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27987e93b447c2" /></Relationships>
</file>

<file path=xl/workbook.xml><?xml version="1.0" encoding="utf-8"?>
<x:workbook xmlns:x="http://schemas.openxmlformats.org/spreadsheetml/2006/main">
  <x:sheets>
    <x:sheet xmlns:r="http://schemas.openxmlformats.org/officeDocument/2006/relationships" name="Panduan" sheetId="1" r:id="R9f90718ef972476f"/>
    <x:sheet xmlns:r="http://schemas.openxmlformats.org/officeDocument/2006/relationships" name="SENA_Train" sheetId="2" r:id="R71e43a1e4c134526"/>
    <x:sheet xmlns:r="http://schemas.openxmlformats.org/officeDocument/2006/relationships" name="NARA_Review" sheetId="3" r:id="R80d1f8a179474fd2"/>
    <x:sheet xmlns:r="http://schemas.openxmlformats.org/officeDocument/2006/relationships" name="SENA_Validation" sheetId="4" r:id="R18892e9d2c164b7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6">
    <x:font>
      <x:sz val="11"/>
      <x:name val="Carlito"/>
    </x:font>
    <x:font>
      <x:sz val="10"/>
      <x:color rgb="FF182E42"/>
      <x:name val="Arial"/>
    </x:font>
    <x:font>
      <x:b/>
      <x:sz val="14"/>
      <x:color rgb="FF182E42"/>
      <x:name val="Arial"/>
    </x:font>
    <x:font>
      <x:sz val="10"/>
      <x:color rgb="FF182E42"/>
      <x:name val="Arial"/>
    </x:font>
    <x:font>
      <x:b/>
      <x:sz val="10"/>
      <x:color rgb="FFFFFFFF"/>
      <x:name val="Arial"/>
    </x:font>
    <x:font>
      <x:sz val="9"/>
      <x:color rgb="FF5B6570"/>
      <x:name val="Arial"/>
    </x:font>
  </x:fonts>
  <x:fills count="7">
    <x:fill>
      <x:patternFill patternType="none"/>
    </x:fill>
    <x:fill>
      <x:patternFill patternType="gray125"/>
    </x:fill>
    <x:fill>
      <x:patternFill patternType="solid">
        <x:fgColor rgb="FFFFFFFF"/>
      </x:patternFill>
    </x:fill>
    <x:fill>
      <x:patternFill patternType="solid">
        <x:fgColor rgb="FF244B6B"/>
      </x:patternFill>
    </x:fill>
    <x:fill>
      <x:patternFill patternType="solid">
        <x:fgColor rgb="FFFFF2CC"/>
      </x:patternFill>
    </x:fill>
    <x:fill>
      <x:patternFill patternType="solid">
        <x:fgColor rgb="FFF0F1F3"/>
      </x:patternFill>
    </x:fill>
    <x:fill>
      <x:patternFill patternType="solid">
        <x:fgColor rgb="FFEAF0F5"/>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2" fillId="2" borderId="0" xfId="0" applyNumberFormat="1" applyFont="1" applyFill="1" applyBorder="1" applyAlignment="1">
      <x:alignment vertical="top" wrapText="0"/>
    </x:xf>
    <x:xf numFmtId="0" fontId="3" fillId="2" borderId="0" xfId="0" applyNumberFormat="1" applyFont="1" applyFill="1" applyBorder="1" applyAlignment="1">
      <x:alignment vertical="top" wrapText="0"/>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0"/>
    </x:xf>
    <x:xf numFmtId="0" fontId="3" fillId="6" borderId="0" xfId="0" applyNumberFormat="1" applyFont="1" applyFill="1" applyBorder="1" applyAlignment="1">
      <x:alignment vertical="top" wrapText="0"/>
    </x:xf>
    <x:xf numFmtId="201" fontId="1" fillId="2" borderId="0" xfId="0" applyNumberFormat="1" applyFont="1" applyFill="1" applyBorder="1" applyAlignment="1">
      <x:alignment vertical="top" wrapText="1"/>
    </x:xf>
  </x:cellXfs>
  <x:cellStyles count="1">
    <x:cellStyle name="Normal" xfId="0"/>
  </x:cellStyles>
  <x:dxfs count="3">
    <x:dxf>
      <x:font>
        <x:color rgb="FF9C2727"/>
      </x:font>
      <x:fill>
        <x:patternFill patternType="solid">
          <x:bgColor rgb="FFFCE8E6"/>
        </x:patternFill>
      </x:fill>
    </x:dxf>
    <x:dxf>
      <x:font>
        <x:color rgb="FF9C2727"/>
      </x:font>
      <x:fill>
        <x:patternFill patternType="solid">
          <x:bgColor rgb="FFFCE8E6"/>
        </x:patternFill>
      </x:fill>
    </x:dxf>
    <x:dxf>
      <x:font>
        <x:color rgb="FF9C2727"/>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4f01d50ebb48ce" /><Relationship Type="http://schemas.openxmlformats.org/officeDocument/2006/relationships/theme" Target="/xl/theme/theme1.xml" Id="Raee4606047984592" /><Relationship Type="http://schemas.openxmlformats.org/officeDocument/2006/relationships/sharedStrings" Target="/xl/sharedStrings.xml" Id="Rc1105f4f132147a8" /><Relationship Type="http://schemas.openxmlformats.org/officeDocument/2006/relationships/worksheet" Target="/xl/worksheets/sheet1.xml" Id="R9f90718ef972476f" /><Relationship Type="http://schemas.openxmlformats.org/officeDocument/2006/relationships/worksheet" Target="/xl/worksheets/sheet2.xml" Id="R71e43a1e4c134526" /><Relationship Type="http://schemas.openxmlformats.org/officeDocument/2006/relationships/worksheet" Target="/xl/worksheets/sheet3.xml" Id="R80d1f8a179474fd2" /><Relationship Type="http://schemas.openxmlformats.org/officeDocument/2006/relationships/worksheet" Target="/xl/worksheets/sheet4.xml" Id="R18892e9d2c164b7b" /></Relationships>
</file>

<file path=xl/tables/table1.xml><?xml version="1.0" encoding="utf-8"?>
<x:table xmlns:x="http://schemas.openxmlformats.org/spreadsheetml/2006/main" id="1" name="SenaTrainReview" displayName="SenaTrainReview" ref="A7:K118" headerRowCount="1" totalsRowCount="0" totalsRowShown="0">
  <x:autoFilter ref="A7:K118"/>
  <x:tableColumns count="11">
    <x:tableColumn id="1" name="ID"/>
    <x:tableColumn id="2" name="Narasi"/>
    <x:tableColumn id="3" name="Label sumber"/>
    <x:tableColumn id="4" name="Usulan"/>
    <x:tableColumn id="5" name="Keputusan"/>
    <x:tableColumn id="6" name="Koreksi label"/>
    <x:tableColumn id="7" name="Catatan reviewer"/>
    <x:tableColumn id="8" name="Label final"/>
    <x:tableColumn id="9" name="Status"/>
    <x:tableColumn id="10" name="Dasar usulan"/>
    <x:tableColumn id="11" name="Kasus terkait"/>
  </x:tableColumns>
  <x:tableStyleInfo name="TableStyleMedium2" showFirstColumn="0" showLastColumn="0" showRowStripes="1" showColumnStripes="0"/>
</x:table>
</file>

<file path=xl/tables/table2.xml><?xml version="1.0" encoding="utf-8"?>
<x:table xmlns:x="http://schemas.openxmlformats.org/spreadsheetml/2006/main" id="3" name="NaraFieldReview" displayName="NaraFieldReview" ref="A7:K91" headerRowCount="1" totalsRowCount="0" totalsRowShown="0">
  <x:autoFilter ref="A7:K91"/>
  <x:tableColumns count="11">
    <x:tableColumn id="1" name="ID"/>
    <x:tableColumn id="2" name="Field"/>
    <x:tableColumn id="3" name="Narasi"/>
    <x:tableColumn id="4" name="Hasil saat ini (JSON)"/>
    <x:tableColumn id="5" name="Usulan (JSON)"/>
    <x:tableColumn id="6" name="Keputusan"/>
    <x:tableColumn id="7" name="Koreksi (JSON)"/>
    <x:tableColumn id="8" name="Catatan reviewer"/>
    <x:tableColumn id="9" name="Final (JSON)"/>
    <x:tableColumn id="10" name="Status"/>
    <x:tableColumn id="11" name="Dasar usulan"/>
  </x:tableColumns>
  <x:tableStyleInfo name="TableStyleMedium2" showFirstColumn="0" showLastColumn="0" showRowStripes="1" showColumnStripes="0"/>
</x:table>
</file>

<file path=xl/tables/table3.xml><?xml version="1.0" encoding="utf-8"?>
<x:table xmlns:x="http://schemas.openxmlformats.org/spreadsheetml/2006/main" id="2" name="SenaValidationReview" displayName="SenaValidationReview" ref="A7:L630" headerRowCount="1" totalsRowCount="0" totalsRowShown="0">
  <x:autoFilter ref="A7:L630"/>
  <x:tableColumns count="12">
    <x:tableColumn id="1" name="ID"/>
    <x:tableColumn id="2" name="Narasi"/>
    <x:tableColumn id="3" name="Label sumber"/>
    <x:tableColumn id="4" name="Usulan"/>
    <x:tableColumn id="5" name="Keputusan"/>
    <x:tableColumn id="6" name="Koreksi label"/>
    <x:tableColumn id="7" name="Catatan reviewer"/>
    <x:tableColumn id="8" name="Label final"/>
    <x:tableColumn id="9" name="Status"/>
    <x:tableColumn id="10" name="Dasar usulan"/>
    <x:tableColumn id="11" name="Prediksi baseline"/>
    <x:tableColumn id="12" name="Confidence baselin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7decc90e6064719" /></Relationships>
</file>

<file path=xl/worksheets/_rels/sheet3.xml.rels>&#65279;<?xml version="1.0" encoding="utf-8"?><Relationships xmlns="http://schemas.openxmlformats.org/package/2006/relationships"><Relationship Type="http://schemas.openxmlformats.org/officeDocument/2006/relationships/table" Target="/xl/tables/table2.xml" Id="R68c821f7e0e54029" /></Relationships>
</file>

<file path=xl/worksheets/_rels/sheet4.xml.rels>&#65279;<?xml version="1.0" encoding="utf-8"?><Relationships xmlns="http://schemas.openxmlformats.org/package/2006/relationships"><Relationship Type="http://schemas.openxmlformats.org/officeDocument/2006/relationships/table" Target="/xl/tables/table3.xml" Id="R8738d3db3b3b42e2" /></Relationships>
</file>

<file path=xl/worksheets/sheet1.xml><?xml version="1.0" encoding="utf-8"?>
<x:worksheet xmlns:x="http://schemas.openxmlformats.org/spreadsheetml/2006/main">
  <x:sheetPr>
    <x:tabColor rgb="FF244B6B"/>
  </x:sheetPr>
  <x:sheetViews>
    <x:sheetView showGridLines="0" workbookViewId="0">
      <x:pane ySplit="7" topLeftCell="A8" activePane="bottomLeft" state="frozen"/>
    </x:sheetView>
  </x:sheetViews>
  <x:sheetFormatPr defaultRowHeight="15"/>
  <x:cols>
    <x:col min="1" max="1" width="26" hidden="0" customWidth="1"/>
    <x:col min="2" max="2" width="31" hidden="0" customWidth="1"/>
    <x:col min="3" max="3" width="24" hidden="0" customWidth="1"/>
    <x:col min="4" max="4" width="24" hidden="0" customWidth="1"/>
    <x:col min="5" max="5" width="24" hidden="0" customWidth="1"/>
    <x:col min="6" max="6" width="24" hidden="0" customWidth="1"/>
  </x:cols>
  <x:sheetData>
    <x:row r="1" ht="34" customHeight="1">
      <x:c r="A1" s="6" t="str">
        <x:v>SLR09 · Selaraskan anotasi sebelum fine-tune</x:v>
      </x:c>
      <x:c r="B1" s="6"/>
      <x:c r="C1" s="6"/>
      <x:c r="D1" s="6"/>
      <x:c r="E1" s="6"/>
      <x:c r="F1" s="6"/>
    </x:row>
    <x:row r="2" ht="26" customHeight="1">
      <x:c r="A2" s="7" t="str">
        <x:v>Batch B1 · Draf review, mempertahankan keputusan yang sudah final</x:v>
      </x:c>
      <x:c r="B2" s="7"/>
      <x:c r="C2" s="7"/>
      <x:c r="D2" s="7"/>
      <x:c r="E2" s="7"/>
      <x:c r="F2" s="7"/>
    </x:row>
    <x:row r="3" ht="26" customHeight="1">
      <x:c r="A3" s="7" t="str">
        <x:v>Review anotasi → validasi &amp; ekspor → tinjau penguncian data → fine-tune → evaluasi baseline</x:v>
      </x:c>
      <x:c r="B3" s="7"/>
      <x:c r="C3" s="7"/>
      <x:c r="D3" s="7"/>
      <x:c r="E3" s="7"/>
      <x:c r="F3" s="7"/>
    </x:row>
    <x:row r="4">
      <x:c r="A4" s="4"/>
      <x:c r="B4" s="4"/>
      <x:c r="C4" s="4"/>
      <x:c r="D4" s="4"/>
      <x:c r="E4" s="4"/>
      <x:c r="F4" s="4"/>
    </x:row>
    <x:row r="5" ht="28" customHeight="1">
      <x:c r="A5" s="4" t="str">
        <x:v>Nama reviewer</x:v>
      </x:c>
      <x:c r="B5" s="12" t="str">
        <x:v>bintang</x:v>
      </x:c>
      <x:c r="C5" s="4"/>
      <x:c r="D5" s="4"/>
      <x:c r="E5" s="4"/>
      <x:c r="F5" s="4"/>
    </x:row>
    <x:row r="6" ht="24" customHeight="1">
      <x:c r="A6" s="4" t="str">
        <x:v>Batch (tetap)</x:v>
      </x:c>
      <x:c r="B6" s="4" t="str">
        <x:v>B1</x:v>
      </x:c>
      <x:c r="C6" s="7" t="str">
        <x:v>Isi nama sekali sebelum mencatat keputusan baru.</x:v>
      </x:c>
      <x:c r="D6" s="7"/>
      <x:c r="E6" s="7"/>
      <x:c r="F6" s="7"/>
    </x:row>
    <x:row r="7" ht="26" customHeight="1">
      <x:c r="A7" s="4" t="str">
        <x:v>SHA manifest (tetap)</x:v>
      </x:c>
      <x:c r="B7" s="15" t="str">
        <x:v>ecd101302d968da1318c7e6823c3b14b171894f4ae2aefc535fba21afdb83ce9</x:v>
      </x:c>
      <x:c r="C7" s="7"/>
      <x:c r="D7" s="7"/>
      <x:c r="E7" s="7"/>
      <x:c r="F7" s="7"/>
    </x:row>
    <x:row r="8">
      <x:c r="A8" s="4"/>
      <x:c r="B8" s="4"/>
      <x:c r="C8" s="4"/>
      <x:c r="D8" s="4"/>
      <x:c r="E8" s="4"/>
      <x:c r="F8" s="4"/>
    </x:row>
    <x:row r="9" ht="32" customHeight="1">
      <x:c r="A9" s="11" t="str">
        <x:v>Cakupan</x:v>
      </x:c>
      <x:c r="B9" s="11" t="str">
        <x:v>Total baris</x:v>
      </x:c>
      <x:c r="C9" s="11" t="str">
        <x:v>Final terwaris</x:v>
      </x:c>
      <x:c r="D9" s="11" t="str">
        <x:v>Perlu review baru</x:v>
      </x:c>
      <x:c r="E9" s="11" t="str">
        <x:v>Baru tercatat</x:v>
      </x:c>
      <x:c r="F9" s="11" t="str">
        <x:v>Belum selesai</x:v>
      </x:c>
    </x:row>
    <x:row r="10" ht="26" customHeight="1">
      <x:c r="A10" s="4" t="str">
        <x:v>SENA train awal</x:v>
      </x:c>
      <x:c r="B10" s="17" t="n">
        <x:v>111</x:v>
      </x:c>
      <x:c r="C10" s="17" t="n">
        <x:v>0</x:v>
      </x:c>
      <x:c r="D10" s="17" t="n">
        <x:v>111</x:v>
      </x:c>
      <x:c r="E10" s="17" t="n">
        <x:f>COUNTIFS('SENA_Train'!I8:I118,"REVIEW_TERCATAT")+COUNTIFS('SENA_Train'!I8:I118,"DIKECUALIKAN")</x:f>
        <x:v>111</x:v>
      </x:c>
      <x:c r="F10" s="17" t="n">
        <x:f>D10-E10</x:f>
        <x:v>0</x:v>
      </x:c>
    </x:row>
    <x:row r="11" ht="26" customHeight="1">
      <x:c r="A11" s="4" t="str">
        <x:v>SENA validation</x:v>
      </x:c>
      <x:c r="B11" s="17" t="n">
        <x:v>623</x:v>
      </x:c>
      <x:c r="C11" s="17" t="n">
        <x:v>71</x:v>
      </x:c>
      <x:c r="D11" s="17" t="n">
        <x:v>552</x:v>
      </x:c>
      <x:c r="E11" s="17" t="n">
        <x:f>COUNTIFS('SENA_Validation'!I8:I630,"REVIEW_TERCATAT")+COUNTIFS('SENA_Validation'!I8:I630,"DIKECUALIKAN")</x:f>
        <x:v>549</x:v>
      </x:c>
      <x:c r="F11" s="17" t="n">
        <x:f>D11-E11</x:f>
        <x:v>3</x:v>
      </x:c>
    </x:row>
    <x:row r="12" ht="26" customHeight="1">
      <x:c r="A12" s="4" t="str">
        <x:v>NARA field</x:v>
      </x:c>
      <x:c r="B12" s="17" t="n">
        <x:v>84</x:v>
      </x:c>
      <x:c r="C12" s="17" t="n">
        <x:v>11</x:v>
      </x:c>
      <x:c r="D12" s="17" t="n">
        <x:v>73</x:v>
      </x:c>
      <x:c r="E12" s="17" t="n">
        <x:f>COUNTIFS('NARA_Review'!J8:J91,"REVIEW_TERCATAT")+COUNTIFS('NARA_Review'!J8:J91,"DIKECUALIKAN")</x:f>
        <x:v>73</x:v>
      </x:c>
      <x:c r="F12" s="17" t="n">
        <x:f>D12-E12</x:f>
        <x:v>0</x:v>
      </x:c>
    </x:row>
    <x:row r="13">
      <x:c r="A13" s="4"/>
      <x:c r="B13" s="4"/>
      <x:c r="C13" s="4"/>
      <x:c r="D13" s="4"/>
      <x:c r="E13" s="4"/>
      <x:c r="F13" s="4"/>
    </x:row>
    <x:row r="14" ht="36" customHeight="1">
      <x:c r="A14" s="7" t="str">
        <x:v>Isi hanya sel kuning. Untuk menyaring/mengurutkan, gunakan filter tabel agar seluruh baris tetap bersama.</x:v>
      </x:c>
      <x:c r="B14" s="7"/>
      <x:c r="C14" s="7"/>
      <x:c r="D14" s="7"/>
      <x:c r="E14" s="7"/>
      <x:c r="F14" s="7"/>
    </x:row>
    <x:row r="15" ht="36" customHeight="1">
      <x:c r="A15" s="7" t="str">
        <x:v>Urutan yang disarankan: SENA_Train → NARA_Review → SENA_Validation. Review boleh bertahap; simpan workbook yang sama.</x:v>
      </x:c>
      <x:c r="B15" s="7"/>
      <x:c r="C15" s="7"/>
      <x:c r="D15" s="7"/>
      <x:c r="E15" s="7"/>
      <x:c r="F15" s="7"/>
    </x:row>
    <x:row r="16" ht="36" customHeight="1">
      <x:c r="A16" s="7" t="str">
        <x:v>TERWARIS / FINAL_TERWARIS = keputusan Anda sebelumnya. Tidak perlu diisi ulang. Revisi keputusan lama dibahas terpisah.</x:v>
      </x:c>
      <x:c r="B16" s="7"/>
      <x:c r="C16" s="7"/>
      <x:c r="D16" s="7"/>
      <x:c r="E16" s="7"/>
      <x:c r="F16" s="7"/>
    </x:row>
    <x:row r="17" ht="36" customHeight="1">
      <x:c r="A17" s="7" t="str">
        <x:v>REVIEW_TERCATAT hanya menandai input tersedia. Notebook memeriksa JSON, frasa sumber, identitas, dan kelengkapan; belum berarti siap training.</x:v>
      </x:c>
      <x:c r="B17" s="7"/>
      <x:c r="C17" s="7"/>
      <x:c r="D17" s="7"/>
      <x:c r="E17" s="7"/>
      <x:c r="F17" s="7"/>
    </x:row>
    <x:row r="18" ht="26" customHeight="1">
      <x:c r="A18" s="4" t="str">
        <x:v>Keputusan</x:v>
      </x:c>
      <x:c r="B18" s="16" t="str">
        <x:v>Cara mengisi</x:v>
      </x:c>
      <x:c r="C18" s="16"/>
      <x:c r="D18" s="16"/>
      <x:c r="E18" s="16"/>
      <x:c r="F18" s="16"/>
    </x:row>
    <x:row r="19" ht="38" customHeight="1">
      <x:c r="A19" s="4" t="str">
        <x:v>SETUJU_USULAN</x:v>
      </x:c>
      <x:c r="B19" s="7" t="str">
        <x:v>Setuju dengan usulan. Biarkan kolom koreksi kosong. Dua usulan SENA yang kosong harus memakai KOREKSI, TUNDA, atau KELUARKAN.</x:v>
      </x:c>
      <x:c r="C19" s="7"/>
      <x:c r="D19" s="7"/>
      <x:c r="E19" s="7"/>
      <x:c r="F19" s="7"/>
    </x:row>
    <x:row r="20" ht="38" customHeight="1">
      <x:c r="A20" s="4" t="str">
        <x:v>KOREKSI</x:v>
      </x:c>
      <x:c r="B20" s="7" t="str">
        <x:v>Pilih/isi nilai final pada kolom koreksi dan tulis alasan pada catatan reviewer.</x:v>
      </x:c>
      <x:c r="C20" s="7"/>
      <x:c r="D20" s="7"/>
      <x:c r="E20" s="7"/>
      <x:c r="F20" s="7"/>
    </x:row>
    <x:row r="21" ht="38" customHeight="1">
      <x:c r="A21" s="4" t="str">
        <x:v>TUNDA</x:v>
      </x:c>
      <x:c r="B21" s="7" t="str">
        <x:v>Belum bisa diputuskan; tetap dihitung belum selesai. Tambahkan pertanyaan pada catatan bila diperlukan.</x:v>
      </x:c>
      <x:c r="C21" s="7"/>
      <x:c r="D21" s="7"/>
      <x:c r="E21" s="7"/>
      <x:c r="F21" s="7"/>
    </x:row>
    <x:row r="22" ht="38" customHeight="1">
      <x:c r="A22" s="4" t="str">
        <x:v>KELUARKAN</x:v>
      </x:c>
      <x:c r="B22" s="7" t="str">
        <x:v>Hanya SENA_Train; keluarkan dari pilot dengan alasan eksplisit. Ini bukan kelas keenam dan tidak berlaku untuk validation.</x:v>
      </x:c>
      <x:c r="C22" s="7"/>
      <x:c r="D22" s="7"/>
      <x:c r="E22" s="7"/>
      <x:c r="F22" s="7"/>
    </x:row>
    <x:row r="23">
      <x:c r="A23" s="4"/>
      <x:c r="B23" s="4"/>
      <x:c r="C23" s="4"/>
      <x:c r="D23" s="4"/>
      <x:c r="E23" s="4"/>
      <x:c r="F23" s="4"/>
    </x:row>
    <x:row r="24" ht="36" customHeight="1">
      <x:c r="A24" s="7" t="str">
        <x:v>NARA: string memakai tanda kutip, contoh "Sukarame". Array: ["warga"]. Kosong scalar: null. Kosong array: [].</x:v>
      </x:c>
      <x:c r="B24" s="7"/>
      <x:c r="C24" s="7"/>
      <x:c r="D24" s="7"/>
      <x:c r="E24" s="7"/>
      <x:c r="F24" s="7"/>
    </x:row>
    <x:row r="25" ht="36" customHeight="1">
      <x:c r="A25" s="7" t="str">
        <x:v>Untuk KOREKSI, isi JSON lengkap dan alasan. occurred_at tetap null pada 12 narasi ini; tanggal/jam/zona waktu tidak ditebak.</x:v>
      </x:c>
      <x:c r="B25" s="7"/>
      <x:c r="C25" s="7"/>
      <x:c r="D25" s="7"/>
      <x:c r="E25" s="7"/>
      <x:c r="F25" s="7"/>
    </x:row>
    <x:row r="26" ht="36" customHeight="1">
      <x:c r="A26" s="7" t="str">
        <x:v>Kehadiran ambulans tidak membuktikan korban luka/meninggal. NON_EVENT tidak otomatis menghapus semua informasi NARA.</x:v>
      </x:c>
      <x:c r="B26" s="7"/>
      <x:c r="C26" s="7"/>
      <x:c r="D26" s="7"/>
      <x:c r="E26" s="7"/>
      <x:c r="F26" s="7"/>
    </x:row>
    <x:row r="27" ht="36" customHeight="1">
      <x:c r="A27" s="7" t="str">
        <x:v>Pemeriksa tidak menilai kebenaran makna secara otomatis. Reviewer tetap menilai relevansi pihak, dampak, korban, objek, lokasi, dan waktu.</x:v>
      </x:c>
      <x:c r="B27" s="7"/>
      <x:c r="C27" s="7"/>
      <x:c r="D27" s="7"/>
      <x:c r="E27" s="7"/>
      <x:c r="F27" s="7"/>
    </x:row>
    <x:row r="28">
      <x:c r="A28" s="4"/>
      <x:c r="B28" s="4"/>
      <x:c r="C28" s="4"/>
      <x:c r="D28" s="4"/>
      <x:c r="E28" s="4"/>
      <x:c r="F28" s="4"/>
    </x:row>
    <x:row r="29" ht="36" customHeight="1">
      <x:c r="A29" s="4" t="str">
        <x:v>R1 · Pernyataan kejadian nyata</x:v>
      </x:c>
      <x:c r="B29" s="7" t="str">
        <x:v>Periksa apakah narasi menyatakan salah satu peristiwa nyata empat kategori. Ini penilaian makna teks, bukan bukti bahwa peristiwa benar terjadi di lapangan.</x:v>
      </x:c>
      <x:c r="C29" s="7"/>
      <x:c r="D29" s="7"/>
      <x:c r="E29" s="7"/>
      <x:c r="F29" s="7"/>
    </x:row>
    <x:row r="30">
      <x:c r="A30" s="4"/>
      <x:c r="B30" s="4"/>
      <x:c r="C30" s="4"/>
      <x:c r="D30" s="4"/>
      <x:c r="E30" s="4"/>
      <x:c r="F30" s="4"/>
    </x:row>
    <x:row r="31">
      <x:c r="A31" s="4"/>
      <x:c r="B31" s="4"/>
      <x:c r="C31" s="4"/>
      <x:c r="D31" s="4"/>
      <x:c r="E31" s="4"/>
      <x:c r="F31" s="4"/>
    </x:row>
    <x:row r="32" ht="36" customHeight="1">
      <x:c r="A32" s="4" t="str">
        <x:v>R2 · Cakupan negasi dan ketidakpastian</x:v>
      </x:c>
      <x:c r="B32" s="7" t="str">
        <x:v>Tidak ada dampak, tidak membesar, atau tidak ada tsunami tidak sama dengan tidak ada kejadian utama. Ketidakpastian penyebab juga berbeda dari penyangkalan kejadian.</x:v>
      </x:c>
      <x:c r="C32" s="7"/>
      <x:c r="D32" s="7"/>
      <x:c r="E32" s="7"/>
      <x:c r="F32" s="7"/>
    </x:row>
    <x:row r="33">
      <x:c r="A33" s="4"/>
      <x:c r="B33" s="4"/>
      <x:c r="C33" s="4"/>
      <x:c r="D33" s="4"/>
      <x:c r="E33" s="4"/>
      <x:c r="F33" s="4"/>
    </x:row>
    <x:row r="34">
      <x:c r="A34" s="4"/>
      <x:c r="B34" s="4"/>
      <x:c r="C34" s="4"/>
      <x:c r="D34" s="4"/>
      <x:c r="E34" s="4"/>
      <x:c r="F34" s="4"/>
    </x:row>
    <x:row r="35" ht="36" customHeight="1">
      <x:c r="A35" s="4" t="str">
        <x:v>R3 · Kiasan, pencegahan dan topik umum</x:v>
      </x:c>
      <x:c r="B35" s="7" t="str">
        <x:v>Jika hanya kiasan, pencegahan, edukasi, daftar atau statistik umum tanpa satu klaim kejadian spesifik, usulkan NON_EVENT. Jangan mengubah label sumber otomatis.</x:v>
      </x:c>
      <x:c r="C35" s="7"/>
      <x:c r="D35" s="7"/>
      <x:c r="E35" s="7"/>
      <x:c r="F35" s="7"/>
    </x:row>
    <x:row r="36">
      <x:c r="A36" s="4"/>
      <x:c r="B36" s="4"/>
      <x:c r="C36" s="4"/>
      <x:c r="D36" s="4"/>
      <x:c r="E36" s="4"/>
      <x:c r="F36" s="4"/>
    </x:row>
    <x:row r="37">
      <x:c r="A37" s="4"/>
      <x:c r="B37" s="4"/>
      <x:c r="C37" s="4"/>
      <x:c r="D37" s="4"/>
      <x:c r="E37" s="4"/>
      <x:c r="F37" s="4"/>
    </x:row>
    <x:row r="38" ht="36" customHeight="1">
      <x:c r="A38" s="4" t="str">
        <x:v>R4 · Jangan menambah syarat pelaporan</x:v>
      </x:c>
      <x:c r="B38" s="7" t="str">
        <x:v>Kekurangan waktu/lokasi/korban atau tidak memakai orang pertama tidak otomatis NON_EVENT. Acuan tidak membatasi ACCIDENT hanya jalan raya maupun klasifikasi hanya</x:v>
      </x:c>
      <x:c r="C38" s="7"/>
      <x:c r="D38" s="7"/>
      <x:c r="E38" s="7"/>
      <x:c r="F38" s="7"/>
    </x:row>
    <x:row r="39" ht="21" customHeight="1">
      <x:c r="A39" s="4"/>
      <x:c r="B39" s="7" t="str">
        <x:v>kejadian dalam negeri.</x:v>
      </x:c>
      <x:c r="C39" s="7"/>
      <x:c r="D39" s="7"/>
      <x:c r="E39" s="7"/>
      <x:c r="F39" s="7"/>
    </x:row>
    <x:row r="40">
      <x:c r="A40" s="4"/>
      <x:c r="B40" s="4"/>
      <x:c r="C40" s="4"/>
      <x:c r="D40" s="4"/>
      <x:c r="E40" s="4"/>
      <x:c r="F40" s="4"/>
    </x:row>
    <x:row r="41" ht="36" customHeight="1">
      <x:c r="A41" s="4" t="str">
        <x:v>R5 · Pisahkan kejadian dan tujuan kiriman</x:v>
      </x:c>
      <x:c r="B41" s="7" t="str">
        <x:v>Nilai kejadian konkret dalam narasi berita, bantuan, dukacita, penyelidikan dan teks terkait media. K3 menilai klaim teks tanpa menyimpulkan isi media yang tidak</x:v>
      </x:c>
      <x:c r="C41" s="7"/>
      <x:c r="D41" s="7"/>
      <x:c r="E41" s="7"/>
      <x:c r="F41" s="7"/>
    </x:row>
    <x:row r="42" ht="21" customHeight="1">
      <x:c r="A42" s="4"/>
      <x:c r="B42" s="7" t="str">
        <x:v>tersedia. Label final per kasus masih perlu review.</x:v>
      </x:c>
      <x:c r="C42" s="7"/>
      <x:c r="D42" s="7"/>
      <x:c r="E42" s="7"/>
      <x:c r="F42" s="7"/>
    </x:row>
    <x:row r="43">
      <x:c r="A43" s="4"/>
      <x:c r="B43" s="4"/>
      <x:c r="C43" s="4"/>
      <x:c r="D43" s="4"/>
      <x:c r="E43" s="4"/>
      <x:c r="F43" s="4"/>
    </x:row>
    <x:row r="44" ht="36" customHeight="1">
      <x:c r="A44" s="4" t="str">
        <x:v>R6 · Waktu sumber tidak diganti tanggal review</x:v>
      </x:c>
      <x:c r="B44" s="7" t="str">
        <x:v>Kejadian lama tetap dinilai dari isi narasinya tanpa menambah batas usia untuk label event. Catat waktu sesuai sumber; jangan menebak tahun atau mengganti waktu</x:v>
      </x:c>
      <x:c r="C44" s="7"/>
      <x:c r="D44" s="7"/>
      <x:c r="E44" s="7"/>
      <x:c r="F44" s="7"/>
    </x:row>
    <x:row r="45" ht="21" customHeight="1">
      <x:c r="A45" s="4"/>
      <x:c r="B45" s="7" t="str">
        <x:v>sumber dengan tanggal review. Label event tidak membuktikan kejadian masih aktif atau terverifikasi di lapangan.</x:v>
      </x:c>
      <x:c r="C45" s="7"/>
      <x:c r="D45" s="7"/>
      <x:c r="E45" s="7"/>
      <x:c r="F45" s="7"/>
    </x:row>
    <x:row r="46">
      <x:c r="A46" s="4"/>
      <x:c r="B46" s="4"/>
      <x:c r="C46" s="4"/>
      <x:c r="D46" s="4"/>
      <x:c r="E46" s="4"/>
      <x:c r="F46" s="4"/>
    </x:row>
    <x:row r="47">
      <x:c r="A47" s="4"/>
      <x:c r="B47" s="4"/>
      <x:c r="C47" s="4"/>
      <x:c r="D47" s="4"/>
      <x:c r="E47" s="4"/>
      <x:c r="F47" s="4"/>
    </x:row>
    <x:row r="48">
      <x:c r="A48" s="4"/>
      <x:c r="B48" s="4"/>
      <x:c r="C48" s="4"/>
      <x:c r="D48" s="4"/>
      <x:c r="E48" s="4"/>
      <x:c r="F48" s="4"/>
    </x:row>
    <x:row r="49">
      <x:c r="A49" s="4"/>
      <x:c r="B49" s="4"/>
      <x:c r="C49" s="4"/>
      <x:c r="D49" s="4"/>
      <x:c r="E49" s="4"/>
      <x:c r="F49" s="4"/>
    </x:row>
    <x:row r="50" ht="36" customHeight="1">
      <x:c r="A50" s="7" t="str">
        <x:v>111 teks train = batch awal dari tetangga 33 error; belum menetapkan jumlah/komposisi train final. 12 narasi NARA hanya diagnostik.</x:v>
      </x:c>
      <x:c r="B50" s="7"/>
      <x:c r="C50" s="7"/>
      <x:c r="D50" s="7"/>
      <x:c r="E50" s="7"/>
      <x:c r="F50" s="7"/>
    </x:row>
    <x:row r="51" ht="36" customHeight="1">
      <x:c r="A51" s="7" t="str">
        <x:v>Validation 623 belum terbukti independen dari training historis; jangan menyebut hasilnya generalisasi independen. Test resmi/blind tidak digunakan di sini.</x:v>
      </x:c>
      <x:c r="B51" s="7"/>
      <x:c r="C51" s="7"/>
      <x:c r="D51" s="7"/>
      <x:c r="E51" s="7"/>
      <x:c r="F51" s="7"/>
    </x:row>
    <x:row r="52" ht="36" customHeight="1">
      <x:c r="A52" s="7" t="str">
        <x:v>Notebook mengekspor label yang sudah direview saja. Usulan belum direview tetap pending. Tidak ada training, threshold baru, atau perubahan arsitektur di batch ini.</x:v>
      </x:c>
      <x:c r="B52" s="7"/>
      <x:c r="C52" s="7"/>
      <x:c r="D52" s="7"/>
      <x:c r="E52" s="7"/>
      <x:c r="F52" s="7"/>
    </x:row>
    <x:row r="53">
      <x:c r="A53" s="4"/>
      <x:c r="B53" s="4"/>
      <x:c r="C53" s="4"/>
      <x:c r="D53" s="4"/>
      <x:c r="E53" s="4"/>
      <x:c r="F53" s="4"/>
    </x:row>
    <x:row r="54" ht="28" customHeight="1">
      <x:c r="A54" s="7" t="str">
        <x:v>Sumber: Semantic Role Labeling Datasets for Crisis Event.zip; all-labeled-data.csv; analisis error v0.1; runtime 17 Okt 2026; review v0.5.</x:v>
      </x:c>
      <x:c r="B54" s="7"/>
      <x:c r="C54" s="7"/>
      <x:c r="D54" s="7"/>
      <x:c r="E54" s="7"/>
      <x:c r="F54" s="7"/>
    </x:row>
    <x:row r="55" ht="28" customHeight="1">
      <x:c r="A55" s="7" t="str">
        <x:v>SHA dataset: 3e22f54044e7b44f49a243aeb3e6fdad3dc2ce0d000ce8a0fd5a33f7d9c56cbf</x:v>
      </x:c>
      <x:c r="B55" s="7"/>
      <x:c r="C55" s="7"/>
      <x:c r="D55" s="7"/>
      <x:c r="E55" s="7"/>
      <x:c r="F55" s="7"/>
    </x:row>
    <x:row r="56" ht="28" customHeight="1">
      <x:c r="A56" s="7" t="str">
        <x:v>SHA runtime: 1dfb8f71a0e9bc41204d3c98df11329e86022201f2c9a3c29a9b1e3d2e87411a</x:v>
      </x:c>
      <x:c r="B56" s="7"/>
      <x:c r="C56" s="7"/>
      <x:c r="D56" s="7"/>
      <x:c r="E56" s="7"/>
      <x:c r="F56" s="7"/>
    </x:row>
    <x:row r="57" ht="28" customHeight="1">
      <x:c r="A57" s="7" t="str">
        <x:v>SHA review terdahulu: f8dbd2c8d782d6737685fb9cc8f4d49e219bf148e666172306f7ab68c5ff3ebd</x:v>
      </x:c>
      <x:c r="B57" s="7"/>
      <x:c r="C57" s="7"/>
      <x:c r="D57" s="7"/>
      <x:c r="E57" s="7"/>
      <x:c r="F57" s="7"/>
    </x:row>
    <x:row r="58">
      <x:c r="A58" s="4"/>
      <x:c r="B58" s="4"/>
      <x:c r="C58" s="4"/>
      <x:c r="D58" s="4"/>
      <x:c r="E58" s="4"/>
      <x:c r="F58" s="4"/>
    </x:row>
    <x:row r="59" ht="36" customHeight="1">
      <x:c r="A59" s="7" t="str">
        <x:v>Setelah selesai: simpan XLSX, jalankan notebook pemeriksa, lalu kirim workbook hasil review dan review_checkpoint.json.</x:v>
      </x:c>
      <x:c r="B59" s="7"/>
      <x:c r="C59" s="7"/>
      <x:c r="D59" s="7"/>
      <x:c r="E59" s="7"/>
      <x:c r="F59" s="7"/>
    </x:row>
    <x:row r="60">
      <x:c r="A60" s="4"/>
      <x:c r="B60" s="4"/>
      <x:c r="C60" s="4"/>
      <x:c r="D60" s="4"/>
      <x:c r="E60" s="4"/>
      <x:c r="F60" s="4"/>
    </x:row>
    <x:row r="61">
      <x:c r="A61" s="4"/>
      <x:c r="B61" s="4"/>
      <x:c r="C61" s="4"/>
      <x:c r="D61" s="4"/>
      <x:c r="E61" s="4"/>
      <x:c r="F61" s="4"/>
    </x:row>
  </x:sheetData>
  <x:pageMargins left="0.7" right="0.7" top="0.75" bottom="0.75" header="0.3" footer="0.3"/>
</x:worksheet>
</file>

<file path=xl/worksheets/sheet2.xml><?xml version="1.0" encoding="utf-8"?>
<x:worksheet xmlns:x="http://schemas.openxmlformats.org/spreadsheetml/2006/main">
  <x:sheetPr>
    <x:tabColor rgb="FF244B6B"/>
  </x:sheetPr>
  <x:sheetViews>
    <x:sheetView showGridLines="0" workbookViewId="0">
      <x:pane xSplit="2" ySplit="7" topLeftCell="C8" activePane="bottomRight" state="frozen"/>
    </x:sheetView>
  </x:sheetViews>
  <x:sheetFormatPr defaultRowHeight="15"/>
  <x:cols>
    <x:col min="1" max="1" width="15" hidden="0" customWidth="1"/>
    <x:col min="2" max="2" width="78" hidden="0" customWidth="1"/>
    <x:col min="3" max="3" width="18" hidden="0" customWidth="1"/>
    <x:col min="4" max="4" width="18" hidden="0" customWidth="1"/>
    <x:col min="5" max="5" width="23" hidden="0" customWidth="1"/>
    <x:col min="6" max="6" width="18" hidden="0" customWidth="1"/>
    <x:col min="7" max="7" width="40" hidden="0" customWidth="1"/>
    <x:col min="8" max="8" width="18" hidden="0" customWidth="1"/>
    <x:col min="9" max="9" width="25" hidden="0" customWidth="1"/>
    <x:col min="10" max="10" width="59" hidden="0" customWidth="1"/>
    <x:col min="11" max="11" width="42" hidden="0" customWidth="1"/>
  </x:cols>
  <x:sheetData>
    <x:row r="1" ht="32" customHeight="1">
      <x:c r="A1" s="6" t="str">
        <x:v>SENA · Review batch train awal</x:v>
      </x:c>
      <x:c r="B1" s="6"/>
      <x:c r="C1" s="6"/>
      <x:c r="D1" s="6"/>
      <x:c r="E1" s="6"/>
      <x:c r="F1" s="6"/>
      <x:c r="G1" s="6"/>
      <x:c r="H1" s="6"/>
      <x:c r="I1" s="6"/>
      <x:c r="J1" s="6"/>
      <x:c r="K1" s="6"/>
    </x:row>
    <x:row r="2" ht="25" customHeight="1">
      <x:c r="A2" s="7" t="str">
        <x:v>111 teks development; 42 usulan perubahan dan 2 kasus tanpa usulan. Ukuran train final belum ditetapkan.</x:v>
      </x:c>
      <x:c r="B2" s="7"/>
      <x:c r="C2" s="7"/>
      <x:c r="D2" s="7"/>
      <x:c r="E2" s="7"/>
      <x:c r="F2" s="7"/>
      <x:c r="G2" s="7"/>
      <x:c r="H2" s="7"/>
      <x:c r="I2" s="7"/>
      <x:c r="J2" s="7"/>
      <x:c r="K2" s="7"/>
    </x:row>
    <x:row r="3" ht="23" customHeight="1">
      <x:c r="A3" s="7" t="str">
        <x:v>Sumber: dataset krisis → analisis error v0.1; runtime 17 Okt 2026; keputusan terdahulu dari workbook review v0.5.</x:v>
      </x:c>
      <x:c r="B3" s="7"/>
      <x:c r="C3" s="7"/>
      <x:c r="D3" s="7"/>
      <x:c r="E3" s="7"/>
      <x:c r="F3" s="7"/>
      <x:c r="G3" s="7"/>
      <x:c r="H3" s="7"/>
      <x:c r="I3" s="7"/>
      <x:c r="J3" s="7"/>
      <x:c r="K3" s="7"/>
    </x:row>
    <x:row r="4" ht="23" customHeight="1">
      <x:c r="A4" s="7" t="str">
        <x:v>Isi sel kuning: keputusan, koreksi bila perlu, dan catatan. Nama reviewer di Panduan!B5.</x:v>
      </x:c>
      <x:c r="B4" s="7"/>
      <x:c r="C4" s="7"/>
      <x:c r="D4" s="7"/>
      <x:c r="E4" s="7"/>
      <x:c r="F4" s="7"/>
      <x:c r="G4" s="7"/>
      <x:c r="H4" s="7"/>
      <x:c r="I4" s="7"/>
      <x:c r="J4" s="7"/>
      <x:c r="K4" s="7"/>
    </x:row>
    <x:row r="5" ht="25" customHeight="1">
      <x:c r="A5" s="7" t="str">
        <x:v>Kasus multi-event tidak otomatis NON_EVENT. KELUARKAN hanya untuk pilot train dan wajib alasan.</x:v>
      </x:c>
      <x:c r="B5" s="7"/>
      <x:c r="C5" s="7"/>
      <x:c r="D5" s="7"/>
      <x:c r="E5" s="7"/>
      <x:c r="F5" s="7"/>
      <x:c r="G5" s="7"/>
      <x:c r="H5" s="7"/>
      <x:c r="I5" s="7"/>
      <x:c r="J5" s="7"/>
      <x:c r="K5" s="7"/>
    </x:row>
    <x:row r="6">
      <x:c r="A6" s="4"/>
      <x:c r="B6" s="4"/>
      <x:c r="C6" s="4"/>
      <x:c r="D6" s="4"/>
      <x:c r="E6" s="4"/>
      <x:c r="F6" s="4"/>
      <x:c r="G6" s="4"/>
      <x:c r="H6" s="4"/>
      <x:c r="I6" s="4"/>
      <x:c r="J6" s="4"/>
      <x:c r="K6" s="4"/>
    </x:row>
    <x:row r="7" ht="36" customHeight="1">
      <x:c r="A7" s="11" t="str">
        <x:v>ID</x:v>
      </x:c>
      <x:c r="B7" s="11" t="str">
        <x:v>Narasi</x:v>
      </x:c>
      <x:c r="C7" s="11" t="str">
        <x:v>Label sumber</x:v>
      </x:c>
      <x:c r="D7" s="11" t="str">
        <x:v>Usulan</x:v>
      </x:c>
      <x:c r="E7" s="11" t="str">
        <x:v>Keputusan</x:v>
      </x:c>
      <x:c r="F7" s="11" t="str">
        <x:v>Koreksi label</x:v>
      </x:c>
      <x:c r="G7" s="11" t="str">
        <x:v>Catatan reviewer</x:v>
      </x:c>
      <x:c r="H7" s="11" t="str">
        <x:v>Label final</x:v>
      </x:c>
      <x:c r="I7" s="11" t="str">
        <x:v>Status</x:v>
      </x:c>
      <x:c r="J7" s="11" t="str">
        <x:v>Dasar usulan</x:v>
      </x:c>
      <x:c r="K7" s="11" t="str">
        <x:v>Kasus terkait</x:v>
      </x:c>
    </x:row>
    <x:row r="8" ht="64" customHeight="1">
      <x:c r="A8" s="4" t="str">
        <x:v>BAN-01439</x:v>
      </x:c>
      <x:c r="B8" s="4" t="str">
        <x:v>ini cara jokowi atasi banjir rob di kota semarang</x:v>
      </x:c>
      <x:c r="C8" s="4" t="str">
        <x:v>NON_EVENT</x:v>
      </x:c>
      <x:c r="D8" s="4" t="str"/>
      <x:c r="E8" s="12" t="str">
        <x:v>KOREKSI</x:v>
      </x:c>
      <x:c r="F8" s="12" t="str">
        <x:v>NON_EVENT</x:v>
      </x:c>
      <x:c r="G8" s="12" t="str">
        <x:v>Judul membahas cara mengatasi banjir rob di Semarang tanpa menyatakan episode banjir tertentu. Dipahami sebagai pembahasan penanganan umum. R3.</x:v>
      </x:c>
      <x:c r="H8" s="4" t="str">
        <x:f>IF(E8="SETUJU_USULAN",D8,IF(E8="KOREKSI",F8,""))</x:f>
        <x:v>NON_EVENT</x:v>
      </x:c>
      <x:c r="I8" s="4" t="str">
        <x:f>IF(E8="","BELUM_DIREVIEW",IF(E8="TUNDA","DITUNDA",IF(TRIM(Panduan!$B$5)="","ISI_REVIEWER",IF(E8="KELUARKAN",IF(F8&lt;&gt;"","HAPUS_KOREKSI",IF(TRIM(G8)="","ISI_CATATAN","DIKECUALIKAN")),IF(AND(E8&lt;&gt;"SETUJU_USULAN",E8&lt;&gt;"KOREKSI"),"CEK_KEPUTUSAN",IF(AND(E8="SETUJU_USULAN",F8&lt;&gt;""),"HAPUS_KOREKSI",IF(H8="","ISI_KOREKSI",IF(NOT(OR(H8="FLOOD",H8="EARTHQUAKE",H8="FIRE",H8="ACCIDENT",H8="NON_EVENT")),"CEK_LABEL",IF(AND(E8="KOREKSI",TRIM(G8)=""),"ISI_CATATAN","REVIEW_TERCATAT")))))))))</x:f>
        <x:v>REVIEW_TERCATAT</x:v>
      </x:c>
      <x:c r="J8" s="4" t="str">
        <x:v>Judul cara Jokowi mengatasi banjir rob Semarang dapat berupa kebijakan umum atau respons kejadian tertentu; label utama memerlukan reviewer. R1,R3,R5.</x:v>
      </x:c>
      <x:c r="K8" s="4" t="str">
        <x:v>BAN-01058</x:v>
      </x:c>
    </x:row>
    <x:row r="9" ht="66" customHeight="1">
      <x:c r="A9" s="4" t="str">
        <x:v>BAN-01543</x:v>
      </x:c>
      <x:c r="B9" s="4" t="str">
        <x:v>komunitas pecandu buku turut berduka cita atas banjir yang menimpa sentani dan jogja serta gempa bumi di lombok</x:v>
      </x:c>
      <x:c r="C9" s="4" t="str">
        <x:v>NON_EVENT</x:v>
      </x:c>
      <x:c r="D9" s="4" t="str"/>
      <x:c r="E9" s="12" t="str">
        <x:v>KELUARKAN</x:v>
      </x:c>
      <x:c r="F9" s="12" t="str"/>
      <x:c r="G9" s="12" t="str">
        <x:v>Narasi memuat banjir Sentani/Jogja dan gempa Lombok sebagai dua kategori MVP tanpa kejadian utama yang jelas. Dikeluarkan dari pilot satu label agar kategori tidak dipilih secara arbitrer. R1.</x:v>
      </x:c>
      <x:c r="H9" s="4" t="str">
        <x:f>IF(E9="SETUJU_USULAN",D9,IF(E9="KOREKSI",F9,""))</x:f>
      </x:c>
      <x:c r="I9" s="4" t="str">
        <x:f>IF(E9="","BELUM_DIREVIEW",IF(E9="TUNDA","DITUNDA",IF(TRIM(Panduan!$B$5)="","ISI_REVIEWER",IF(E9="KELUARKAN",IF(F9&lt;&gt;"","HAPUS_KOREKSI",IF(TRIM(G9)="","ISI_CATATAN","DIKECUALIKAN")),IF(AND(E9&lt;&gt;"SETUJU_USULAN",E9&lt;&gt;"KOREKSI"),"CEK_KEPUTUSAN",IF(AND(E9="SETUJU_USULAN",F9&lt;&gt;""),"HAPUS_KOREKSI",IF(H9="","ISI_KOREKSI",IF(NOT(OR(H9="FLOOD",H9="EARTHQUAKE",H9="FIRE",H9="ACCIDENT",H9="NON_EVENT")),"CEK_LABEL",IF(AND(E9="KOREKSI",TRIM(G9)=""),"ISI_CATATAN","REVIEW_TERCATAT")))))))))</x:f>
        <x:v>DIKECUALIKAN</x:v>
      </x:c>
      <x:c r="J9" s="4" t="str">
        <x:v>Teks memuat banjir Sentani/Jogja dan gempa Lombok sekaligus. Perlu keputusan kategori utama, penundaan, atau pengecualian dari pilot; jangan menjadikan NON_EVENT penampung dua kejadian nyata.</x:v>
      </x:c>
      <x:c r="K9" s="4" t="str">
        <x:v>KEC-01220</x:v>
      </x:c>
    </x:row>
    <x:row r="10" ht="64" customHeight="1">
      <x:c r="A10" s="4" t="str">
        <x:v>BAN-01246</x:v>
      </x:c>
      <x:c r="B10" s="4" t="str">
        <x:v>banjir bandang ditreskrimsus polda sumut terus selidiki pembalakan liar di dairi</x:v>
      </x:c>
      <x:c r="C10" s="4" t="str">
        <x:v>NON_EVENT</x:v>
      </x:c>
      <x:c r="D10" s="4" t="str">
        <x:v>FLOOD</x:v>
      </x:c>
      <x:c r="E10" s="12" t="str">
        <x:v>SETUJU_USULAN</x:v>
      </x:c>
      <x:c r="F10" s="12" t="str"/>
      <x:c r="G10" s="12" t="str">
        <x:v>Penyelidikan pembalakan liar dikaitkan dengan banjir bandang di Dairi. R1,R5.</x:v>
      </x:c>
      <x:c r="H10" s="4" t="str">
        <x:f>IF(E10="SETUJU_USULAN",D10,IF(E10="KOREKSI",F10,""))</x:f>
        <x:v>FLOOD</x:v>
      </x:c>
      <x:c r="I10" s="4" t="str">
        <x:f>IF(E10="","BELUM_DIREVIEW",IF(E10="TUNDA","DITUNDA",IF(TRIM(Panduan!$B$5)="","ISI_REVIEWER",IF(E10="KELUARKAN",IF(F10&lt;&gt;"","HAPUS_KOREKSI",IF(TRIM(G10)="","ISI_CATATAN","DIKECUALIKAN")),IF(AND(E10&lt;&gt;"SETUJU_USULAN",E10&lt;&gt;"KOREKSI"),"CEK_KEPUTUSAN",IF(AND(E10="SETUJU_USULAN",F10&lt;&gt;""),"HAPUS_KOREKSI",IF(H10="","ISI_KOREKSI",IF(NOT(OR(H10="FLOOD",H10="EARTHQUAKE",H10="FIRE",H10="ACCIDENT",H10="NON_EVENT")),"CEK_LABEL",IF(AND(E10="KOREKSI",TRIM(G10)=""),"ISI_CATATAN","REVIEW_TERCATAT")))))))))</x:f>
        <x:v>REVIEW_TERCATAT</x:v>
      </x:c>
      <x:c r="J10" s="4" t="str">
        <x:v>Penyelidikan pembalakan liar dikaitkan dengan banjir bandang di Dairi. R1,R5.</x:v>
      </x:c>
      <x:c r="K10" s="4" t="str">
        <x:v>KEC-01209</x:v>
      </x:c>
    </x:row>
    <x:row r="11" ht="64" customHeight="1">
      <x:c r="A11" s="4" t="str">
        <x:v>BAN-01285</x:v>
      </x:c>
      <x:c r="B11" s="4" t="str">
        <x:v>lpbi nu kebumen melakukan assesment membantu masyarakat yang terjebak macet dan membantu membersihkan rumah dalam peristiwa banjir di kebumen</x:v>
      </x:c>
      <x:c r="C11" s="4" t="str">
        <x:v>NON_EVENT</x:v>
      </x:c>
      <x:c r="D11" s="4" t="str">
        <x:v>FLOOD</x:v>
      </x:c>
      <x:c r="E11" s="12" t="str">
        <x:v>SETUJU_USULAN</x:v>
      </x:c>
      <x:c r="F11" s="12" t="str"/>
      <x:c r="G11" s="12" t="str">
        <x:v>Assessment dan pembersihan rumah merujuk peristiwa banjir di Kebumen. R1,R5.</x:v>
      </x:c>
      <x:c r="H11" s="4" t="str">
        <x:f>IF(E11="SETUJU_USULAN",D11,IF(E11="KOREKSI",F11,""))</x:f>
        <x:v>FLOOD</x:v>
      </x:c>
      <x:c r="I11" s="4" t="str">
        <x:f>IF(E11="","BELUM_DIREVIEW",IF(E11="TUNDA","DITUNDA",IF(TRIM(Panduan!$B$5)="","ISI_REVIEWER",IF(E11="KELUARKAN",IF(F11&lt;&gt;"","HAPUS_KOREKSI",IF(TRIM(G11)="","ISI_CATATAN","DIKECUALIKAN")),IF(AND(E11&lt;&gt;"SETUJU_USULAN",E11&lt;&gt;"KOREKSI"),"CEK_KEPUTUSAN",IF(AND(E11="SETUJU_USULAN",F11&lt;&gt;""),"HAPUS_KOREKSI",IF(H11="","ISI_KOREKSI",IF(NOT(OR(H11="FLOOD",H11="EARTHQUAKE",H11="FIRE",H11="ACCIDENT",H11="NON_EVENT")),"CEK_LABEL",IF(AND(E11="KOREKSI",TRIM(G11)=""),"ISI_CATATAN","REVIEW_TERCATAT")))))))))</x:f>
        <x:v>REVIEW_TERCATAT</x:v>
      </x:c>
      <x:c r="J11" s="4" t="str">
        <x:v>Assessment dan pembersihan rumah merujuk peristiwa banjir di Kebumen. R1,R5.</x:v>
      </x:c>
      <x:c r="K11" s="4" t="str">
        <x:v>BAN-01106</x:v>
      </x:c>
    </x:row>
    <x:row r="12" ht="66" customHeight="1">
      <x:c r="A12" s="4" t="str">
        <x:v>BAN-01336</x:v>
      </x:c>
      <x:c r="B12" s="4" t="str">
        <x:v>para pegawai kpp pratama pekalongan hari ini memberikan bantuan kepada para penduduk desa kandang panjang pekalongan utara yang terdampak banjir semoga kondisi di pekalongan segera pulih dan masyarakat bisa beraktivitas normal seperti sedia kala</x:v>
      </x:c>
      <x:c r="C12" s="4" t="str">
        <x:v>NON_EVENT</x:v>
      </x:c>
      <x:c r="D12" s="4" t="str">
        <x:v>FLOOD</x:v>
      </x:c>
      <x:c r="E12" s="12" t="str">
        <x:v>SETUJU_USULAN</x:v>
      </x:c>
      <x:c r="F12" s="12" t="str"/>
      <x:c r="G12" s="12" t="str">
        <x:v>Bantuan kepada penduduk yang terdampak banjir Pekalongan merujuk kejadian konkret. R1,R5.</x:v>
      </x:c>
      <x:c r="H12" s="4" t="str">
        <x:f>IF(E12="SETUJU_USULAN",D12,IF(E12="KOREKSI",F12,""))</x:f>
        <x:v>FLOOD</x:v>
      </x:c>
      <x:c r="I12" s="4" t="str">
        <x:f>IF(E12="","BELUM_DIREVIEW",IF(E12="TUNDA","DITUNDA",IF(TRIM(Panduan!$B$5)="","ISI_REVIEWER",IF(E12="KELUARKAN",IF(F12&lt;&gt;"","HAPUS_KOREKSI",IF(TRIM(G12)="","ISI_CATATAN","DIKECUALIKAN")),IF(AND(E12&lt;&gt;"SETUJU_USULAN",E12&lt;&gt;"KOREKSI"),"CEK_KEPUTUSAN",IF(AND(E12="SETUJU_USULAN",F12&lt;&gt;""),"HAPUS_KOREKSI",IF(H12="","ISI_KOREKSI",IF(NOT(OR(H12="FLOOD",H12="EARTHQUAKE",H12="FIRE",H12="ACCIDENT",H12="NON_EVENT")),"CEK_LABEL",IF(AND(E12="KOREKSI",TRIM(G12)=""),"ISI_CATATAN","REVIEW_TERCATAT")))))))))</x:f>
        <x:v>REVIEW_TERCATAT</x:v>
      </x:c>
      <x:c r="J12" s="4" t="str">
        <x:v>Bantuan kepada penduduk yang terdampak banjir Pekalongan merujuk kejadian konkret. R1,R5.</x:v>
      </x:c>
      <x:c r="K12" s="4" t="str">
        <x:v>BAN-01287</x:v>
      </x:c>
    </x:row>
    <x:row r="13" ht="66" customHeight="1">
      <x:c r="A13" s="4" t="str">
        <x:v>BAN-01337</x:v>
      </x:c>
      <x:c r="B13" s="4" t="str">
        <x:v>[ pray ] innalilahi wa innailaihi raji'un himpunan mahasiswa kimia fmipa universitas lampung mengucapkan turut berduka cita atas terjadinya musibah banjir bandang di sulawesi selatan semoga para korban yang hilang dapat ditemukan</x:v>
      </x:c>
      <x:c r="C13" s="4" t="str">
        <x:v>NON_EVENT</x:v>
      </x:c>
      <x:c r="D13" s="4" t="str">
        <x:v>FLOOD</x:v>
      </x:c>
      <x:c r="E13" s="12" t="str">
        <x:v>SETUJU_USULAN</x:v>
      </x:c>
      <x:c r="F13" s="12" t="str"/>
      <x:c r="G13" s="12" t="str">
        <x:v>Dukacita menyebut terjadinya banjir bandang Sulawesi Selatan. R1,R5.</x:v>
      </x:c>
      <x:c r="H13" s="4" t="str">
        <x:f>IF(E13="SETUJU_USULAN",D13,IF(E13="KOREKSI",F13,""))</x:f>
        <x:v>FLOOD</x:v>
      </x:c>
      <x:c r="I13" s="4" t="str">
        <x:f>IF(E13="","BELUM_DIREVIEW",IF(E13="TUNDA","DITUNDA",IF(TRIM(Panduan!$B$5)="","ISI_REVIEWER",IF(E13="KELUARKAN",IF(F13&lt;&gt;"","HAPUS_KOREKSI",IF(TRIM(G13)="","ISI_CATATAN","DIKECUALIKAN")),IF(AND(E13&lt;&gt;"SETUJU_USULAN",E13&lt;&gt;"KOREKSI"),"CEK_KEPUTUSAN",IF(AND(E13="SETUJU_USULAN",F13&lt;&gt;""),"HAPUS_KOREKSI",IF(H13="","ISI_KOREKSI",IF(NOT(OR(H13="FLOOD",H13="EARTHQUAKE",H13="FIRE",H13="ACCIDENT",H13="NON_EVENT")),"CEK_LABEL",IF(AND(E13="KOREKSI",TRIM(G13)=""),"ISI_CATATAN","REVIEW_TERCATAT")))))))))</x:f>
        <x:v>REVIEW_TERCATAT</x:v>
      </x:c>
      <x:c r="J13" s="4" t="str">
        <x:v>Dukacita menyebut terjadinya banjir bandang Sulawesi Selatan. R1,R5.</x:v>
      </x:c>
      <x:c r="K13" s="4" t="str">
        <x:v>KEC-01220</x:v>
      </x:c>
    </x:row>
    <x:row r="14" ht="64" customHeight="1">
      <x:c r="A14" s="4" t="str">
        <x:v>BAN-01338</x:v>
      </x:c>
      <x:c r="B14" s="4" t="str">
        <x:v>berikut kronologis dampak bencana banjir kota pekalongan badan upaya yang dilakukan pemerintah kota pekalongan atas bencana banjir di kota pekalongan per 28 januari 2019</x:v>
      </x:c>
      <x:c r="C14" s="4" t="str">
        <x:v>NON_EVENT</x:v>
      </x:c>
      <x:c r="D14" s="4" t="str">
        <x:v>FLOOD</x:v>
      </x:c>
      <x:c r="E14" s="12" t="str">
        <x:v>SETUJU_USULAN</x:v>
      </x:c>
      <x:c r="F14" s="12" t="str"/>
      <x:c r="G14" s="12" t="str">
        <x:v>Kronologi dan dampak merujuk banjir Pekalongan per tanggal sumber. R1,R5,R6.</x:v>
      </x:c>
      <x:c r="H14" s="4" t="str">
        <x:f>IF(E14="SETUJU_USULAN",D14,IF(E14="KOREKSI",F14,""))</x:f>
        <x:v>FLOOD</x:v>
      </x:c>
      <x:c r="I14" s="4" t="str">
        <x:f>IF(E14="","BELUM_DIREVIEW",IF(E14="TUNDA","DITUNDA",IF(TRIM(Panduan!$B$5)="","ISI_REVIEWER",IF(E14="KELUARKAN",IF(F14&lt;&gt;"","HAPUS_KOREKSI",IF(TRIM(G14)="","ISI_CATATAN","DIKECUALIKAN")),IF(AND(E14&lt;&gt;"SETUJU_USULAN",E14&lt;&gt;"KOREKSI"),"CEK_KEPUTUSAN",IF(AND(E14="SETUJU_USULAN",F14&lt;&gt;""),"HAPUS_KOREKSI",IF(H14="","ISI_KOREKSI",IF(NOT(OR(H14="FLOOD",H14="EARTHQUAKE",H14="FIRE",H14="ACCIDENT",H14="NON_EVENT")),"CEK_LABEL",IF(AND(E14="KOREKSI",TRIM(G14)=""),"ISI_CATATAN","REVIEW_TERCATAT")))))))))</x:f>
        <x:v>REVIEW_TERCATAT</x:v>
      </x:c>
      <x:c r="J14" s="4" t="str">
        <x:v>Kronologi dan dampak merujuk banjir Pekalongan per tanggal sumber. R1,R5,R6.</x:v>
      </x:c>
      <x:c r="K14" s="4" t="str">
        <x:v>BAN-01287</x:v>
      </x:c>
    </x:row>
    <x:row r="15" ht="64" customHeight="1">
      <x:c r="A15" s="4" t="str">
        <x:v>BAN-01370</x:v>
      </x:c>
      <x:c r="B15" s="4" t="str">
        <x:v>bantuan sosial kepada korban bencana alam banjir dan longsor di desa sapaya kabgowa</x:v>
      </x:c>
      <x:c r="C15" s="4" t="str">
        <x:v>NON_EVENT</x:v>
      </x:c>
      <x:c r="D15" s="4" t="str">
        <x:v>FLOOD</x:v>
      </x:c>
      <x:c r="E15" s="12" t="str">
        <x:v>SETUJU_USULAN</x:v>
      </x:c>
      <x:c r="F15" s="12" t="str"/>
      <x:c r="G15" s="12" t="str">
        <x:v>Bantuan kepada korban banjir dan longsor di Desa Sapaya merujuk kejadian tertentu. R1,R5.</x:v>
      </x:c>
      <x:c r="H15" s="4" t="str">
        <x:f>IF(E15="SETUJU_USULAN",D15,IF(E15="KOREKSI",F15,""))</x:f>
        <x:v>FLOOD</x:v>
      </x:c>
      <x:c r="I15" s="4" t="str">
        <x:f>IF(E15="","BELUM_DIREVIEW",IF(E15="TUNDA","DITUNDA",IF(TRIM(Panduan!$B$5)="","ISI_REVIEWER",IF(E15="KELUARKAN",IF(F15&lt;&gt;"","HAPUS_KOREKSI",IF(TRIM(G15)="","ISI_CATATAN","DIKECUALIKAN")),IF(AND(E15&lt;&gt;"SETUJU_USULAN",E15&lt;&gt;"KOREKSI"),"CEK_KEPUTUSAN",IF(AND(E15="SETUJU_USULAN",F15&lt;&gt;""),"HAPUS_KOREKSI",IF(H15="","ISI_KOREKSI",IF(NOT(OR(H15="FLOOD",H15="EARTHQUAKE",H15="FIRE",H15="ACCIDENT",H15="NON_EVENT")),"CEK_LABEL",IF(AND(E15="KOREKSI",TRIM(G15)=""),"ISI_CATATAN","REVIEW_TERCATAT")))))))))</x:f>
        <x:v>REVIEW_TERCATAT</x:v>
      </x:c>
      <x:c r="J15" s="4" t="str">
        <x:v>Bantuan kepada korban banjir dan longsor di Desa Sapaya merujuk kejadian tertentu. R1,R5.</x:v>
      </x:c>
      <x:c r="K15" s="4" t="str">
        <x:v>BAN-01074</x:v>
      </x:c>
    </x:row>
    <x:row r="16" ht="64" customHeight="1">
      <x:c r="A16" s="4" t="str">
        <x:v>BAN-01374</x:v>
      </x:c>
      <x:c r="B16" s="4" t="str">
        <x:v>selamat pagi sobat kriskes berikut admin ingin memberikan informasi terkait dengan perkembangan kejadian krisis kesehatan terkait banjir dan tanah longsor yang terjadi di manado sulawesi utara</x:v>
      </x:c>
      <x:c r="C16" s="4" t="str">
        <x:v>NON_EVENT</x:v>
      </x:c>
      <x:c r="D16" s="4" t="str">
        <x:v>FLOOD</x:v>
      </x:c>
      <x:c r="E16" s="12" t="str">
        <x:v>SETUJU_USULAN</x:v>
      </x:c>
      <x:c r="F16" s="12" t="str"/>
      <x:c r="G16" s="12" t="str">
        <x:v>Informasi perkembangan menyebut banjir dan longsor yang terjadi di Manado. R1,R5.</x:v>
      </x:c>
      <x:c r="H16" s="4" t="str">
        <x:f>IF(E16="SETUJU_USULAN",D16,IF(E16="KOREKSI",F16,""))</x:f>
        <x:v>FLOOD</x:v>
      </x:c>
      <x:c r="I16" s="4" t="str">
        <x:f>IF(E16="","BELUM_DIREVIEW",IF(E16="TUNDA","DITUNDA",IF(TRIM(Panduan!$B$5)="","ISI_REVIEWER",IF(E16="KELUARKAN",IF(F16&lt;&gt;"","HAPUS_KOREKSI",IF(TRIM(G16)="","ISI_CATATAN","DIKECUALIKAN")),IF(AND(E16&lt;&gt;"SETUJU_USULAN",E16&lt;&gt;"KOREKSI"),"CEK_KEPUTUSAN",IF(AND(E16="SETUJU_USULAN",F16&lt;&gt;""),"HAPUS_KOREKSI",IF(H16="","ISI_KOREKSI",IF(NOT(OR(H16="FLOOD",H16="EARTHQUAKE",H16="FIRE",H16="ACCIDENT",H16="NON_EVENT")),"CEK_LABEL",IF(AND(E16="KOREKSI",TRIM(G16)=""),"ISI_CATATAN","REVIEW_TERCATAT")))))))))</x:f>
        <x:v>REVIEW_TERCATAT</x:v>
      </x:c>
      <x:c r="J16" s="4" t="str">
        <x:v>Informasi perkembangan menyebut banjir dan longsor yang terjadi di Manado. R1,R5.</x:v>
      </x:c>
      <x:c r="K16" s="4" t="str">
        <x:v>BAN-01945</x:v>
      </x:c>
    </x:row>
    <x:row r="17" ht="64" customHeight="1">
      <x:c r="A17" s="4" t="str">
        <x:v>BAN-01390</x:v>
      </x:c>
      <x:c r="B17" s="4" t="str">
        <x:v>selain telan korban jebolnya tanggul pasirjati bandung berdampak banjir di</x:v>
      </x:c>
      <x:c r="C17" s="4" t="str">
        <x:v>NON_EVENT</x:v>
      </x:c>
      <x:c r="D17" s="4" t="str">
        <x:v>FLOOD</x:v>
      </x:c>
      <x:c r="E17" s="12" t="str">
        <x:v>SETUJU_USULAN</x:v>
      </x:c>
      <x:c r="F17" s="12" t="str"/>
      <x:c r="G17" s="12" t="str">
        <x:v>Tanggul Pasirjati jebol dan berdampak banjir dinyatakan eksplisit meskipun teks terpotong. R1,R4.</x:v>
      </x:c>
      <x:c r="H17" s="4" t="str">
        <x:f>IF(E17="SETUJU_USULAN",D17,IF(E17="KOREKSI",F17,""))</x:f>
        <x:v>FLOOD</x:v>
      </x:c>
      <x:c r="I17" s="4" t="str">
        <x:f>IF(E17="","BELUM_DIREVIEW",IF(E17="TUNDA","DITUNDA",IF(TRIM(Panduan!$B$5)="","ISI_REVIEWER",IF(E17="KELUARKAN",IF(F17&lt;&gt;"","HAPUS_KOREKSI",IF(TRIM(G17)="","ISI_CATATAN","DIKECUALIKAN")),IF(AND(E17&lt;&gt;"SETUJU_USULAN",E17&lt;&gt;"KOREKSI"),"CEK_KEPUTUSAN",IF(AND(E17="SETUJU_USULAN",F17&lt;&gt;""),"HAPUS_KOREKSI",IF(H17="","ISI_KOREKSI",IF(NOT(OR(H17="FLOOD",H17="EARTHQUAKE",H17="FIRE",H17="ACCIDENT",H17="NON_EVENT")),"CEK_LABEL",IF(AND(E17="KOREKSI",TRIM(G17)=""),"ISI_CATATAN","REVIEW_TERCATAT")))))))))</x:f>
        <x:v>REVIEW_TERCATAT</x:v>
      </x:c>
      <x:c r="J17" s="4" t="str">
        <x:v>Tanggul Pasirjati jebol dan berdampak banjir dinyatakan eksplisit meskipun teks terpotong. R1,R4.</x:v>
      </x:c>
      <x:c r="K17" s="4" t="str">
        <x:v>BAN-01033</x:v>
      </x:c>
    </x:row>
    <x:row r="18" ht="64" customHeight="1">
      <x:c r="A18" s="4" t="str">
        <x:v>BAN-01479</x:v>
      </x:c>
      <x:c r="B18" s="4" t="str">
        <x:v>fakta video viral korban banjir di tol madiun sosok penolong ternyata seorang anggota polisi terima kasih pak sujadi ( 48 ) anggota satlantas polres kediri</x:v>
      </x:c>
      <x:c r="C18" s="4" t="str">
        <x:v>NON_EVENT</x:v>
      </x:c>
      <x:c r="D18" s="4" t="str">
        <x:v>FLOOD</x:v>
      </x:c>
      <x:c r="E18" s="12" t="str">
        <x:v>SETUJU_USULAN</x:v>
      </x:c>
      <x:c r="F18" s="12" t="str"/>
      <x:c r="G18" s="12" t="str">
        <x:v>Klaim teks tentang korban banjir Tol Madiun dan tindakan penolong dinilai tanpa menebak foto/video. R1,R5.</x:v>
      </x:c>
      <x:c r="H18" s="4" t="str">
        <x:f>IF(E18="SETUJU_USULAN",D18,IF(E18="KOREKSI",F18,""))</x:f>
        <x:v>FLOOD</x:v>
      </x:c>
      <x:c r="I18" s="4" t="str">
        <x:f>IF(E18="","BELUM_DIREVIEW",IF(E18="TUNDA","DITUNDA",IF(TRIM(Panduan!$B$5)="","ISI_REVIEWER",IF(E18="KELUARKAN",IF(F18&lt;&gt;"","HAPUS_KOREKSI",IF(TRIM(G18)="","ISI_CATATAN","DIKECUALIKAN")),IF(AND(E18&lt;&gt;"SETUJU_USULAN",E18&lt;&gt;"KOREKSI"),"CEK_KEPUTUSAN",IF(AND(E18="SETUJU_USULAN",F18&lt;&gt;""),"HAPUS_KOREKSI",IF(H18="","ISI_KOREKSI",IF(NOT(OR(H18="FLOOD",H18="EARTHQUAKE",H18="FIRE",H18="ACCIDENT",H18="NON_EVENT")),"CEK_LABEL",IF(AND(E18="KOREKSI",TRIM(G18)=""),"ISI_CATATAN","REVIEW_TERCATAT")))))))))</x:f>
        <x:v>REVIEW_TERCATAT</x:v>
      </x:c>
      <x:c r="J18" s="4" t="str">
        <x:v>Klaim teks tentang korban banjir Tol Madiun dan tindakan penolong dinilai tanpa menebak foto/video. R1,R5.</x:v>
      </x:c>
      <x:c r="K18" s="4" t="str">
        <x:v>KEB-00910</x:v>
      </x:c>
    </x:row>
    <x:row r="19" ht="64" customHeight="1">
      <x:c r="A19" s="4" t="str">
        <x:v>BAN-01498</x:v>
      </x:c>
      <x:c r="B19" s="4" t="str">
        <x:v>polri evakuasi korban banjir dan tanah longsor di ntt telah terjadi banjir dan tanah longsor di dusun gorontalo dan dusun nanganae kecamatan komodo kabupaten mabar ntt</x:v>
      </x:c>
      <x:c r="C19" s="4" t="str">
        <x:v>NON_EVENT</x:v>
      </x:c>
      <x:c r="D19" s="4" t="str">
        <x:v>FLOOD</x:v>
      </x:c>
      <x:c r="E19" s="12" t="str">
        <x:v>SETUJU_USULAN</x:v>
      </x:c>
      <x:c r="F19" s="12" t="str"/>
      <x:c r="G19" s="12" t="str">
        <x:v>Teks menyatakan telah terjadi banjir dan longsor di dua dusun Kecamatan Komodo. R1,R5.</x:v>
      </x:c>
      <x:c r="H19" s="4" t="str">
        <x:f>IF(E19="SETUJU_USULAN",D19,IF(E19="KOREKSI",F19,""))</x:f>
        <x:v>FLOOD</x:v>
      </x:c>
      <x:c r="I19" s="4" t="str">
        <x:f>IF(E19="","BELUM_DIREVIEW",IF(E19="TUNDA","DITUNDA",IF(TRIM(Panduan!$B$5)="","ISI_REVIEWER",IF(E19="KELUARKAN",IF(F19&lt;&gt;"","HAPUS_KOREKSI",IF(TRIM(G19)="","ISI_CATATAN","DIKECUALIKAN")),IF(AND(E19&lt;&gt;"SETUJU_USULAN",E19&lt;&gt;"KOREKSI"),"CEK_KEPUTUSAN",IF(AND(E19="SETUJU_USULAN",F19&lt;&gt;""),"HAPUS_KOREKSI",IF(H19="","ISI_KOREKSI",IF(NOT(OR(H19="FLOOD",H19="EARTHQUAKE",H19="FIRE",H19="ACCIDENT",H19="NON_EVENT")),"CEK_LABEL",IF(AND(E19="KOREKSI",TRIM(G19)=""),"ISI_CATATAN","REVIEW_TERCATAT")))))))))</x:f>
        <x:v>REVIEW_TERCATAT</x:v>
      </x:c>
      <x:c r="J19" s="4" t="str">
        <x:v>Teks menyatakan telah terjadi banjir dan longsor di dua dusun Kecamatan Komodo. R1,R5.</x:v>
      </x:c>
      <x:c r="K19" s="4" t="str">
        <x:v>KEB-00573</x:v>
      </x:c>
    </x:row>
    <x:row r="20" ht="64" customHeight="1">
      <x:c r="A20" s="4" t="str">
        <x:v>BAN-01545</x:v>
      </x:c>
      <x:c r="B20" s="4" t="str">
        <x:v>segenap keluarga besar adhi mengucapkan turut berduka atas jatuhnya korban dalam bencana banjir bandang semoga saudara-saudara kita di papua diberi kekuatan kesabaran dan selalu dilindungi tuhan yang maha kuasa</x:v>
      </x:c>
      <x:c r="C20" s="4" t="str">
        <x:v>NON_EVENT</x:v>
      </x:c>
      <x:c r="D20" s="4" t="str">
        <x:v>FLOOD</x:v>
      </x:c>
      <x:c r="E20" s="12" t="str">
        <x:v>SETUJU_USULAN</x:v>
      </x:c>
      <x:c r="F20" s="12" t="str"/>
      <x:c r="G20" s="12" t="str">
        <x:v>Ucapan dukacita merujuk korban banjir bandang di Papua. R1,R5.</x:v>
      </x:c>
      <x:c r="H20" s="4" t="str">
        <x:f>IF(E20="SETUJU_USULAN",D20,IF(E20="KOREKSI",F20,""))</x:f>
        <x:v>FLOOD</x:v>
      </x:c>
      <x:c r="I20" s="4" t="str">
        <x:f>IF(E20="","BELUM_DIREVIEW",IF(E20="TUNDA","DITUNDA",IF(TRIM(Panduan!$B$5)="","ISI_REVIEWER",IF(E20="KELUARKAN",IF(F20&lt;&gt;"","HAPUS_KOREKSI",IF(TRIM(G20)="","ISI_CATATAN","DIKECUALIKAN")),IF(AND(E20&lt;&gt;"SETUJU_USULAN",E20&lt;&gt;"KOREKSI"),"CEK_KEPUTUSAN",IF(AND(E20="SETUJU_USULAN",F20&lt;&gt;""),"HAPUS_KOREKSI",IF(H20="","ISI_KOREKSI",IF(NOT(OR(H20="FLOOD",H20="EARTHQUAKE",H20="FIRE",H20="ACCIDENT",H20="NON_EVENT")),"CEK_LABEL",IF(AND(E20="KOREKSI",TRIM(G20)=""),"ISI_CATATAN","REVIEW_TERCATAT")))))))))</x:f>
        <x:v>REVIEW_TERCATAT</x:v>
      </x:c>
      <x:c r="J20" s="4" t="str">
        <x:v>Ucapan dukacita merujuk korban banjir bandang di Papua. R1,R5.</x:v>
      </x:c>
      <x:c r="K20" s="4" t="str">
        <x:v>BAN-01320</x:v>
      </x:c>
    </x:row>
    <x:row r="21" ht="64" customHeight="1">
      <x:c r="A21" s="4" t="str">
        <x:v>BAN-01549</x:v>
      </x:c>
      <x:c r="B21" s="4" t="str">
        <x:v>segenap pimpinan dan sivitas akademika mengucapkan turut berduka cita untuk saudara - saudara kita yang tertimpa musibah banjir bandang di sentani papua</x:v>
      </x:c>
      <x:c r="C21" s="4" t="str">
        <x:v>NON_EVENT</x:v>
      </x:c>
      <x:c r="D21" s="4" t="str">
        <x:v>FLOOD</x:v>
      </x:c>
      <x:c r="E21" s="12" t="str">
        <x:v>SETUJU_USULAN</x:v>
      </x:c>
      <x:c r="F21" s="12" t="str"/>
      <x:c r="G21" s="12" t="str">
        <x:v>Ucapan dukacita merujuk banjir bandang Sentani. R1,R5.</x:v>
      </x:c>
      <x:c r="H21" s="4" t="str">
        <x:f>IF(E21="SETUJU_USULAN",D21,IF(E21="KOREKSI",F21,""))</x:f>
        <x:v>FLOOD</x:v>
      </x:c>
      <x:c r="I21" s="4" t="str">
        <x:f>IF(E21="","BELUM_DIREVIEW",IF(E21="TUNDA","DITUNDA",IF(TRIM(Panduan!$B$5)="","ISI_REVIEWER",IF(E21="KELUARKAN",IF(F21&lt;&gt;"","HAPUS_KOREKSI",IF(TRIM(G21)="","ISI_CATATAN","DIKECUALIKAN")),IF(AND(E21&lt;&gt;"SETUJU_USULAN",E21&lt;&gt;"KOREKSI"),"CEK_KEPUTUSAN",IF(AND(E21="SETUJU_USULAN",F21&lt;&gt;""),"HAPUS_KOREKSI",IF(H21="","ISI_KOREKSI",IF(NOT(OR(H21="FLOOD",H21="EARTHQUAKE",H21="FIRE",H21="ACCIDENT",H21="NON_EVENT")),"CEK_LABEL",IF(AND(E21="KOREKSI",TRIM(G21)=""),"ISI_CATATAN","REVIEW_TERCATAT")))))))))</x:f>
        <x:v>REVIEW_TERCATAT</x:v>
      </x:c>
      <x:c r="J21" s="4" t="str">
        <x:v>Ucapan dukacita merujuk banjir bandang Sentani. R1,R5.</x:v>
      </x:c>
      <x:c r="K21" s="4" t="str">
        <x:v>BAN-01320</x:v>
      </x:c>
    </x:row>
    <x:row r="22" ht="64" customHeight="1">
      <x:c r="A22" s="4" t="str">
        <x:v>BAN-01781</x:v>
      </x:c>
      <x:c r="B22" s="4" t="str">
        <x:v>dalam hal kemanusiaan enggak yakin pendukung pembubar fpi bisa melakukan seperti ini -foto 1 evakuasi banjir di garut -foto 2 evakuasi tsunami banten</x:v>
      </x:c>
      <x:c r="C22" s="4" t="str">
        <x:v>NON_EVENT</x:v>
      </x:c>
      <x:c r="D22" s="4" t="str">
        <x:v>FLOOD</x:v>
      </x:c>
      <x:c r="E22" s="12" t="str">
        <x:v>SETUJU_USULAN</x:v>
      </x:c>
      <x:c r="F22" s="12" t="str"/>
      <x:c r="G22" s="12" t="str">
        <x:v>Klaim teks menyebut evakuasi banjir Garut; isi media tidak disimpulkan. R1,R5.</x:v>
      </x:c>
      <x:c r="H22" s="4" t="str">
        <x:f>IF(E22="SETUJU_USULAN",D22,IF(E22="KOREKSI",F22,""))</x:f>
        <x:v>FLOOD</x:v>
      </x:c>
      <x:c r="I22" s="4" t="str">
        <x:f>IF(E22="","BELUM_DIREVIEW",IF(E22="TUNDA","DITUNDA",IF(TRIM(Panduan!$B$5)="","ISI_REVIEWER",IF(E22="KELUARKAN",IF(F22&lt;&gt;"","HAPUS_KOREKSI",IF(TRIM(G22)="","ISI_CATATAN","DIKECUALIKAN")),IF(AND(E22&lt;&gt;"SETUJU_USULAN",E22&lt;&gt;"KOREKSI"),"CEK_KEPUTUSAN",IF(AND(E22="SETUJU_USULAN",F22&lt;&gt;""),"HAPUS_KOREKSI",IF(H22="","ISI_KOREKSI",IF(NOT(OR(H22="FLOOD",H22="EARTHQUAKE",H22="FIRE",H22="ACCIDENT",H22="NON_EVENT")),"CEK_LABEL",IF(AND(E22="KOREKSI",TRIM(G22)=""),"ISI_CATATAN","REVIEW_TERCATAT")))))))))</x:f>
        <x:v>REVIEW_TERCATAT</x:v>
      </x:c>
      <x:c r="J22" s="4" t="str">
        <x:v>Klaim teks menyebut evakuasi banjir Garut; isi media tidak disimpulkan. R1,R5.</x:v>
      </x:c>
      <x:c r="K22" s="4" t="str">
        <x:v>KEB-01086</x:v>
      </x:c>
    </x:row>
    <x:row r="23" ht="64" customHeight="1">
      <x:c r="A23" s="4" t="str">
        <x:v>BAN-01885</x:v>
      </x:c>
      <x:c r="B23" s="4" t="str">
        <x:v>aksi baznas tanggap bencana dalam penanganan banjir di konawe</x:v>
      </x:c>
      <x:c r="C23" s="4" t="str">
        <x:v>NON_EVENT</x:v>
      </x:c>
      <x:c r="D23" s="4" t="str">
        <x:v>FLOOD</x:v>
      </x:c>
      <x:c r="E23" s="12" t="str">
        <x:v>SETUJU_USULAN</x:v>
      </x:c>
      <x:c r="F23" s="12" t="str"/>
      <x:c r="G23" s="12" t="str">
        <x:v>Aksi penanganan merujuk banjir di Konawe. R1,R5.</x:v>
      </x:c>
      <x:c r="H23" s="4" t="str">
        <x:f>IF(E23="SETUJU_USULAN",D23,IF(E23="KOREKSI",F23,""))</x:f>
        <x:v>FLOOD</x:v>
      </x:c>
      <x:c r="I23" s="4" t="str">
        <x:f>IF(E23="","BELUM_DIREVIEW",IF(E23="TUNDA","DITUNDA",IF(TRIM(Panduan!$B$5)="","ISI_REVIEWER",IF(E23="KELUARKAN",IF(F23&lt;&gt;"","HAPUS_KOREKSI",IF(TRIM(G23)="","ISI_CATATAN","DIKECUALIKAN")),IF(AND(E23&lt;&gt;"SETUJU_USULAN",E23&lt;&gt;"KOREKSI"),"CEK_KEPUTUSAN",IF(AND(E23="SETUJU_USULAN",F23&lt;&gt;""),"HAPUS_KOREKSI",IF(H23="","ISI_KOREKSI",IF(NOT(OR(H23="FLOOD",H23="EARTHQUAKE",H23="FIRE",H23="ACCIDENT",H23="NON_EVENT")),"CEK_LABEL",IF(AND(E23="KOREKSI",TRIM(G23)=""),"ISI_CATATAN","REVIEW_TERCATAT")))))))))</x:f>
        <x:v>REVIEW_TERCATAT</x:v>
      </x:c>
      <x:c r="J23" s="4" t="str">
        <x:v>Aksi penanganan merujuk banjir di Konawe. R1,R5.</x:v>
      </x:c>
      <x:c r="K23" s="4" t="str">
        <x:v>BAN-01106</x:v>
      </x:c>
    </x:row>
    <x:row r="24" ht="64" customHeight="1">
      <x:c r="A24" s="4" t="str">
        <x:v>BAN-01935</x:v>
      </x:c>
      <x:c r="B24" s="4" t="str">
        <x:v>kesigapan polri salurkan bantuan untuk korban banjir di konawe utara polri memberikan bantuan untuk korban bencana banjir bandang di wilayah konawe utara sulawesi tenggara</x:v>
      </x:c>
      <x:c r="C24" s="4" t="str">
        <x:v>NON_EVENT</x:v>
      </x:c>
      <x:c r="D24" s="4" t="str">
        <x:v>FLOOD</x:v>
      </x:c>
      <x:c r="E24" s="12" t="str">
        <x:v>SETUJU_USULAN</x:v>
      </x:c>
      <x:c r="F24" s="12" t="str"/>
      <x:c r="G24" s="12" t="str">
        <x:v>Bantuan diberikan kepada korban banjir bandang Konawe Utara. R1,R5.</x:v>
      </x:c>
      <x:c r="H24" s="4" t="str">
        <x:f>IF(E24="SETUJU_USULAN",D24,IF(E24="KOREKSI",F24,""))</x:f>
        <x:v>FLOOD</x:v>
      </x:c>
      <x:c r="I24" s="4" t="str">
        <x:f>IF(E24="","BELUM_DIREVIEW",IF(E24="TUNDA","DITUNDA",IF(TRIM(Panduan!$B$5)="","ISI_REVIEWER",IF(E24="KELUARKAN",IF(F24&lt;&gt;"","HAPUS_KOREKSI",IF(TRIM(G24)="","ISI_CATATAN","DIKECUALIKAN")),IF(AND(E24&lt;&gt;"SETUJU_USULAN",E24&lt;&gt;"KOREKSI"),"CEK_KEPUTUSAN",IF(AND(E24="SETUJU_USULAN",F24&lt;&gt;""),"HAPUS_KOREKSI",IF(H24="","ISI_KOREKSI",IF(NOT(OR(H24="FLOOD",H24="EARTHQUAKE",H24="FIRE",H24="ACCIDENT",H24="NON_EVENT")),"CEK_LABEL",IF(AND(E24="KOREKSI",TRIM(G24)=""),"ISI_CATATAN","REVIEW_TERCATAT")))))))))</x:f>
        <x:v>REVIEW_TERCATAT</x:v>
      </x:c>
      <x:c r="J24" s="4" t="str">
        <x:v>Bantuan diberikan kepada korban banjir bandang Konawe Utara. R1,R5.</x:v>
      </x:c>
      <x:c r="K24" s="4" t="str">
        <x:v>BAN-01011, BAN-01945</x:v>
      </x:c>
    </x:row>
    <x:row r="25" ht="64" customHeight="1">
      <x:c r="A25" s="4" t="str">
        <x:v>BAN-01948</x:v>
      </x:c>
      <x:c r="B25" s="4" t="str">
        <x:v>potret personel satbrimob polda sulawesi selatan saat mengevakuasi korban banjir di makassar provinsi sulawesi selatan</x:v>
      </x:c>
      <x:c r="C25" s="4" t="str">
        <x:v>NON_EVENT</x:v>
      </x:c>
      <x:c r="D25" s="4" t="str">
        <x:v>FLOOD</x:v>
      </x:c>
      <x:c r="E25" s="12" t="str">
        <x:v>SETUJU_USULAN</x:v>
      </x:c>
      <x:c r="F25" s="12" t="str"/>
      <x:c r="G25" s="12" t="str">
        <x:v>Teks menyebut evakuasi korban banjir di Makassar. R1,R5.</x:v>
      </x:c>
      <x:c r="H25" s="4" t="str">
        <x:f>IF(E25="SETUJU_USULAN",D25,IF(E25="KOREKSI",F25,""))</x:f>
        <x:v>FLOOD</x:v>
      </x:c>
      <x:c r="I25" s="4" t="str">
        <x:f>IF(E25="","BELUM_DIREVIEW",IF(E25="TUNDA","DITUNDA",IF(TRIM(Panduan!$B$5)="","ISI_REVIEWER",IF(E25="KELUARKAN",IF(F25&lt;&gt;"","HAPUS_KOREKSI",IF(TRIM(G25)="","ISI_CATATAN","DIKECUALIKAN")),IF(AND(E25&lt;&gt;"SETUJU_USULAN",E25&lt;&gt;"KOREKSI"),"CEK_KEPUTUSAN",IF(AND(E25="SETUJU_USULAN",F25&lt;&gt;""),"HAPUS_KOREKSI",IF(H25="","ISI_KOREKSI",IF(NOT(OR(H25="FLOOD",H25="EARTHQUAKE",H25="FIRE",H25="ACCIDENT",H25="NON_EVENT")),"CEK_LABEL",IF(AND(E25="KOREKSI",TRIM(G25)=""),"ISI_CATATAN","REVIEW_TERCATAT")))))))))</x:f>
        <x:v>REVIEW_TERCATAT</x:v>
      </x:c>
      <x:c r="J25" s="4" t="str">
        <x:v>Teks menyebut evakuasi korban banjir di Makassar. R1,R5.</x:v>
      </x:c>
      <x:c r="K25" s="4" t="str">
        <x:v>BAN-01316</x:v>
      </x:c>
    </x:row>
    <x:row r="26" ht="64" customHeight="1">
      <x:c r="A26" s="4" t="str">
        <x:v>GEM-01003</x:v>
      </x:c>
      <x:c r="B26" s="4" t="str">
        <x:v>kementerian kesehatan ri turut berduka cita atas musibah bencana gempa bumi yang terjadi di jawa timur semoga saudara-saudara kita diberikan kekuatan dan nikmat kesehatan</x:v>
      </x:c>
      <x:c r="C26" s="4" t="str">
        <x:v>NON_EVENT</x:v>
      </x:c>
      <x:c r="D26" s="4" t="str">
        <x:v>EARTHQUAKE</x:v>
      </x:c>
      <x:c r="E26" s="12" t="str">
        <x:v>SETUJU_USULAN</x:v>
      </x:c>
      <x:c r="F26" s="12" t="str"/>
      <x:c r="G26" s="12" t="str">
        <x:v>Dukacita menyebut gempa bumi yang terjadi di Jawa Timur. R1,R5.</x:v>
      </x:c>
      <x:c r="H26" s="4" t="str">
        <x:f>IF(E26="SETUJU_USULAN",D26,IF(E26="KOREKSI",F26,""))</x:f>
        <x:v>EARTHQUAKE</x:v>
      </x:c>
      <x:c r="I26" s="4" t="str">
        <x:f>IF(E26="","BELUM_DIREVIEW",IF(E26="TUNDA","DITUNDA",IF(TRIM(Panduan!$B$5)="","ISI_REVIEWER",IF(E26="KELUARKAN",IF(F26&lt;&gt;"","HAPUS_KOREKSI",IF(TRIM(G26)="","ISI_CATATAN","DIKECUALIKAN")),IF(AND(E26&lt;&gt;"SETUJU_USULAN",E26&lt;&gt;"KOREKSI"),"CEK_KEPUTUSAN",IF(AND(E26="SETUJU_USULAN",F26&lt;&gt;""),"HAPUS_KOREKSI",IF(H26="","ISI_KOREKSI",IF(NOT(OR(H26="FLOOD",H26="EARTHQUAKE",H26="FIRE",H26="ACCIDENT",H26="NON_EVENT")),"CEK_LABEL",IF(AND(E26="KOREKSI",TRIM(G26)=""),"ISI_CATATAN","REVIEW_TERCATAT")))))))))</x:f>
        <x:v>REVIEW_TERCATAT</x:v>
      </x:c>
      <x:c r="J26" s="4" t="str">
        <x:v>Dukacita menyebut gempa bumi yang terjadi di Jawa Timur. R1,R5.</x:v>
      </x:c>
      <x:c r="K26" s="4" t="str">
        <x:v>BAN-01320, KEC-01220</x:v>
      </x:c>
    </x:row>
    <x:row r="27" ht="66" customHeight="1">
      <x:c r="A27" s="4" t="str">
        <x:v>GEM-01017</x:v>
      </x:c>
      <x:c r="B27" s="4" t="str">
        <x:v>[ polines peduli palu ] mereka membutuhkan uluran tangan kita '' sehubungan telah terjadi bencana gempa bumi di kabupaten donggala dan tsunami di palu maka akan diadakan penggalangan donasi open donasi : s/d rabu 17 oktober 2018</x:v>
      </x:c>
      <x:c r="C27" s="4" t="str">
        <x:v>NON_EVENT</x:v>
      </x:c>
      <x:c r="D27" s="4" t="str">
        <x:v>EARTHQUAKE</x:v>
      </x:c>
      <x:c r="E27" s="12" t="str">
        <x:v>SETUJU_USULAN</x:v>
      </x:c>
      <x:c r="F27" s="12" t="str"/>
      <x:c r="G27" s="12" t="str">
        <x:v>Ajakan donasi didahului klaim telah terjadi gempa di Donggala dan tsunami Palu. R1,R5,R6.</x:v>
      </x:c>
      <x:c r="H27" s="4" t="str">
        <x:f>IF(E27="SETUJU_USULAN",D27,IF(E27="KOREKSI",F27,""))</x:f>
        <x:v>EARTHQUAKE</x:v>
      </x:c>
      <x:c r="I27" s="4" t="str">
        <x:f>IF(E27="","BELUM_DIREVIEW",IF(E27="TUNDA","DITUNDA",IF(TRIM(Panduan!$B$5)="","ISI_REVIEWER",IF(E27="KELUARKAN",IF(F27&lt;&gt;"","HAPUS_KOREKSI",IF(TRIM(G27)="","ISI_CATATAN","DIKECUALIKAN")),IF(AND(E27&lt;&gt;"SETUJU_USULAN",E27&lt;&gt;"KOREKSI"),"CEK_KEPUTUSAN",IF(AND(E27="SETUJU_USULAN",F27&lt;&gt;""),"HAPUS_KOREKSI",IF(H27="","ISI_KOREKSI",IF(NOT(OR(H27="FLOOD",H27="EARTHQUAKE",H27="FIRE",H27="ACCIDENT",H27="NON_EVENT")),"CEK_LABEL",IF(AND(E27="KOREKSI",TRIM(G27)=""),"ISI_CATATAN","REVIEW_TERCATAT")))))))))</x:f>
        <x:v>REVIEW_TERCATAT</x:v>
      </x:c>
      <x:c r="J27" s="4" t="str">
        <x:v>Ajakan donasi didahului klaim telah terjadi gempa di Donggala dan tsunami Palu. R1,R5,R6.</x:v>
      </x:c>
      <x:c r="K27" s="4" t="str">
        <x:v>KEB-00482</x:v>
      </x:c>
    </x:row>
    <x:row r="28" ht="66" customHeight="1">
      <x:c r="A28" s="4" t="str">
        <x:v>GEM-01037</x:v>
      </x:c>
      <x:c r="B28" s="4" t="str">
        <x:v>pasca gempa bumi dan tsunami yang melanda kota palu dan sekitarnya kisah-kisah tentang karomah bermunculan gempa berkekuatan 7 4 sr disertai tsunami yang terjadi pada jumat ( 28/9/2018 ) itu telah meluluhlantakkan beberapa wilayah di kota palu</x:v>
      </x:c>
      <x:c r="C28" s="4" t="str">
        <x:v>NON_EVENT</x:v>
      </x:c>
      <x:c r="D28" s="4" t="str">
        <x:v>EARTHQUAKE</x:v>
      </x:c>
      <x:c r="E28" s="12" t="str">
        <x:v>SETUJU_USULAN</x:v>
      </x:c>
      <x:c r="F28" s="12" t="str"/>
      <x:c r="G28" s="12" t="str">
        <x:v>Kisah pascabencana memuat klaim gempa Palu bertanggal 28/9/2018. R1,R5,R6.</x:v>
      </x:c>
      <x:c r="H28" s="4" t="str">
        <x:f>IF(E28="SETUJU_USULAN",D28,IF(E28="KOREKSI",F28,""))</x:f>
        <x:v>EARTHQUAKE</x:v>
      </x:c>
      <x:c r="I28" s="4" t="str">
        <x:f>IF(E28="","BELUM_DIREVIEW",IF(E28="TUNDA","DITUNDA",IF(TRIM(Panduan!$B$5)="","ISI_REVIEWER",IF(E28="KELUARKAN",IF(F28&lt;&gt;"","HAPUS_KOREKSI",IF(TRIM(G28)="","ISI_CATATAN","DIKECUALIKAN")),IF(AND(E28&lt;&gt;"SETUJU_USULAN",E28&lt;&gt;"KOREKSI"),"CEK_KEPUTUSAN",IF(AND(E28="SETUJU_USULAN",F28&lt;&gt;""),"HAPUS_KOREKSI",IF(H28="","ISI_KOREKSI",IF(NOT(OR(H28="FLOOD",H28="EARTHQUAKE",H28="FIRE",H28="ACCIDENT",H28="NON_EVENT")),"CEK_LABEL",IF(AND(E28="KOREKSI",TRIM(G28)=""),"ISI_CATATAN","REVIEW_TERCATAT")))))))))</x:f>
        <x:v>REVIEW_TERCATAT</x:v>
      </x:c>
      <x:c r="J28" s="4" t="str">
        <x:v>Kisah pascabencana memuat klaim gempa Palu bertanggal 28/9/2018. R1,R5,R6.</x:v>
      </x:c>
      <x:c r="K28" s="4" t="str">
        <x:v>GEM-01317</x:v>
      </x:c>
    </x:row>
    <x:row r="29" ht="64" customHeight="1">
      <x:c r="A29" s="4" t="str">
        <x:v>GEM-01261</x:v>
      </x:c>
      <x:c r="B29" s="4" t="str">
        <x:v>rumah zakat siap bangun 500 huntara untuk korban bencana sulawesi tengah palu pasca bencana gempa bumi dan tsunami di palu - donggala rumah zakat menginisiasi program penangan bencana</x:v>
      </x:c>
      <x:c r="C29" s="4" t="str">
        <x:v>NON_EVENT</x:v>
      </x:c>
      <x:c r="D29" s="4" t="str">
        <x:v>EARTHQUAKE</x:v>
      </x:c>
      <x:c r="E29" s="12" t="str">
        <x:v>SETUJU_USULAN</x:v>
      </x:c>
      <x:c r="F29" s="12" t="str"/>
      <x:c r="G29" s="12" t="str">
        <x:v>Rencana hunian sementara merujuk korban pascagempa Palu-Donggala. R1,R5.</x:v>
      </x:c>
      <x:c r="H29" s="4" t="str">
        <x:f>IF(E29="SETUJU_USULAN",D29,IF(E29="KOREKSI",F29,""))</x:f>
        <x:v>EARTHQUAKE</x:v>
      </x:c>
      <x:c r="I29" s="4" t="str">
        <x:f>IF(E29="","BELUM_DIREVIEW",IF(E29="TUNDA","DITUNDA",IF(TRIM(Panduan!$B$5)="","ISI_REVIEWER",IF(E29="KELUARKAN",IF(F29&lt;&gt;"","HAPUS_KOREKSI",IF(TRIM(G29)="","ISI_CATATAN","DIKECUALIKAN")),IF(AND(E29&lt;&gt;"SETUJU_USULAN",E29&lt;&gt;"KOREKSI"),"CEK_KEPUTUSAN",IF(AND(E29="SETUJU_USULAN",F29&lt;&gt;""),"HAPUS_KOREKSI",IF(H29="","ISI_KOREKSI",IF(NOT(OR(H29="FLOOD",H29="EARTHQUAKE",H29="FIRE",H29="ACCIDENT",H29="NON_EVENT")),"CEK_LABEL",IF(AND(E29="KOREKSI",TRIM(G29)=""),"ISI_CATATAN","REVIEW_TERCATAT")))))))))</x:f>
        <x:v>REVIEW_TERCATAT</x:v>
      </x:c>
      <x:c r="J29" s="4" t="str">
        <x:v>Rencana hunian sementara merujuk korban pascagempa Palu-Donggala. R1,R5.</x:v>
      </x:c>
      <x:c r="K29" s="4" t="str">
        <x:v>BAN-01011</x:v>
      </x:c>
    </x:row>
    <x:row r="30" ht="66" customHeight="1">
      <x:c r="A30" s="4" t="str">
        <x:v>GEM-01277</x:v>
      </x:c>
      <x:c r="B30" s="4" t="str">
        <x:v>13 0 keluarga yang terjejas dalam kejadian gempa bumi di lombok utara menarik nafas lega apabila menerima bantuan kewangan berjumlah rp650 bilion ( kira-kira rm1809 juta ) daripada kerajaan indonesia untuk membina semula rumah mereka yang musnah akibat bencana alam itu</x:v>
      </x:c>
      <x:c r="C30" s="4" t="str">
        <x:v>NON_EVENT</x:v>
      </x:c>
      <x:c r="D30" s="4" t="str">
        <x:v>EARTHQUAKE</x:v>
      </x:c>
      <x:c r="E30" s="12" t="str">
        <x:v>SETUJU_USULAN</x:v>
      </x:c>
      <x:c r="F30" s="12" t="str"/>
      <x:c r="G30" s="12" t="str">
        <x:v>Bantuan rekonstruksi merujuk kejadian gempa Lombok Utara. R1,R5.</x:v>
      </x:c>
      <x:c r="H30" s="4" t="str">
        <x:f>IF(E30="SETUJU_USULAN",D30,IF(E30="KOREKSI",F30,""))</x:f>
        <x:v>EARTHQUAKE</x:v>
      </x:c>
      <x:c r="I30" s="4" t="str">
        <x:f>IF(E30="","BELUM_DIREVIEW",IF(E30="TUNDA","DITUNDA",IF(TRIM(Panduan!$B$5)="","ISI_REVIEWER",IF(E30="KELUARKAN",IF(F30&lt;&gt;"","HAPUS_KOREKSI",IF(TRIM(G30)="","ISI_CATATAN","DIKECUALIKAN")),IF(AND(E30&lt;&gt;"SETUJU_USULAN",E30&lt;&gt;"KOREKSI"),"CEK_KEPUTUSAN",IF(AND(E30="SETUJU_USULAN",F30&lt;&gt;""),"HAPUS_KOREKSI",IF(H30="","ISI_KOREKSI",IF(NOT(OR(H30="FLOOD",H30="EARTHQUAKE",H30="FIRE",H30="ACCIDENT",H30="NON_EVENT")),"CEK_LABEL",IF(AND(E30="KOREKSI",TRIM(G30)=""),"ISI_CATATAN","REVIEW_TERCATAT")))))))))</x:f>
        <x:v>REVIEW_TERCATAT</x:v>
      </x:c>
      <x:c r="J30" s="4" t="str">
        <x:v>Bantuan rekonstruksi merujuk kejadian gempa Lombok Utara. R1,R5.</x:v>
      </x:c>
      <x:c r="K30" s="4" t="str">
        <x:v>KEB-00482</x:v>
      </x:c>
    </x:row>
    <x:row r="31" ht="64" customHeight="1">
      <x:c r="A31" s="4" t="str">
        <x:v>GEM-01385</x:v>
      </x:c>
      <x:c r="B31" s="4" t="str">
        <x:v>membuka rekening donasi untuk membantu korban gempa bumi dan tsunami yang terjadi di palu dan donggala sulawesi tengah pada jumat ( 28/9 )</x:v>
      </x:c>
      <x:c r="C31" s="4" t="str">
        <x:v>NON_EVENT</x:v>
      </x:c>
      <x:c r="D31" s="4" t="str">
        <x:v>EARTHQUAKE</x:v>
      </x:c>
      <x:c r="E31" s="12" t="str">
        <x:v>SETUJU_USULAN</x:v>
      </x:c>
      <x:c r="F31" s="12" t="str"/>
      <x:c r="G31" s="12" t="str">
        <x:v>Donasi merujuk korban gempa Palu-Donggala pada Jumat 28/9. R1,R5,R6.</x:v>
      </x:c>
      <x:c r="H31" s="4" t="str">
        <x:f>IF(E31="SETUJU_USULAN",D31,IF(E31="KOREKSI",F31,""))</x:f>
        <x:v>EARTHQUAKE</x:v>
      </x:c>
      <x:c r="I31" s="4" t="str">
        <x:f>IF(E31="","BELUM_DIREVIEW",IF(E31="TUNDA","DITUNDA",IF(TRIM(Panduan!$B$5)="","ISI_REVIEWER",IF(E31="KELUARKAN",IF(F31&lt;&gt;"","HAPUS_KOREKSI",IF(TRIM(G31)="","ISI_CATATAN","DIKECUALIKAN")),IF(AND(E31&lt;&gt;"SETUJU_USULAN",E31&lt;&gt;"KOREKSI"),"CEK_KEPUTUSAN",IF(AND(E31="SETUJU_USULAN",F31&lt;&gt;""),"HAPUS_KOREKSI",IF(H31="","ISI_KOREKSI",IF(NOT(OR(H31="FLOOD",H31="EARTHQUAKE",H31="FIRE",H31="ACCIDENT",H31="NON_EVENT")),"CEK_LABEL",IF(AND(E31="KOREKSI",TRIM(G31)=""),"ISI_CATATAN","REVIEW_TERCATAT")))))))))</x:f>
        <x:v>REVIEW_TERCATAT</x:v>
      </x:c>
      <x:c r="J31" s="4" t="str">
        <x:v>Donasi merujuk korban gempa Palu-Donggala pada Jumat 28/9. R1,R5,R6.</x:v>
      </x:c>
      <x:c r="K31" s="4" t="str">
        <x:v>GEM-01317</x:v>
      </x:c>
    </x:row>
    <x:row r="32" ht="64" customHeight="1">
      <x:c r="A32" s="4" t="str">
        <x:v>GEM-01572</x:v>
      </x:c>
      <x:c r="B32" s="4" t="str">
        <x:v>dipicu gempa bumi magnitudo 9 1 di samudera hindia gempa bumi terbesar ketiga di dunia ini mengakibatkan tsunami setinggi 30 meter korban tewas 286000 orang dari 14 negara indonesia sekitar 170000 tewas dan 50000 hilang</x:v>
      </x:c>
      <x:c r="C32" s="4" t="str">
        <x:v>NON_EVENT</x:v>
      </x:c>
      <x:c r="D32" s="4" t="str">
        <x:v>EARTHQUAKE</x:v>
      </x:c>
      <x:c r="E32" s="12" t="str">
        <x:v>SETUJU_USULAN</x:v>
      </x:c>
      <x:c r="F32" s="12" t="str"/>
      <x:c r="G32" s="12" t="str">
        <x:v>Gempa magnitudo 9,1 di Samudera Hindia dan dampaknya dinyatakan; tahun tidak ditebak. R1,R6.</x:v>
      </x:c>
      <x:c r="H32" s="4" t="str">
        <x:f>IF(E32="SETUJU_USULAN",D32,IF(E32="KOREKSI",F32,""))</x:f>
        <x:v>EARTHQUAKE</x:v>
      </x:c>
      <x:c r="I32" s="4" t="str">
        <x:f>IF(E32="","BELUM_DIREVIEW",IF(E32="TUNDA","DITUNDA",IF(TRIM(Panduan!$B$5)="","ISI_REVIEWER",IF(E32="KELUARKAN",IF(F32&lt;&gt;"","HAPUS_KOREKSI",IF(TRIM(G32)="","ISI_CATATAN","DIKECUALIKAN")),IF(AND(E32&lt;&gt;"SETUJU_USULAN",E32&lt;&gt;"KOREKSI"),"CEK_KEPUTUSAN",IF(AND(E32="SETUJU_USULAN",F32&lt;&gt;""),"HAPUS_KOREKSI",IF(H32="","ISI_KOREKSI",IF(NOT(OR(H32="FLOOD",H32="EARTHQUAKE",H32="FIRE",H32="ACCIDENT",H32="NON_EVENT")),"CEK_LABEL",IF(AND(E32="KOREKSI",TRIM(G32)=""),"ISI_CATATAN","REVIEW_TERCATAT")))))))))</x:f>
        <x:v>REVIEW_TERCATAT</x:v>
      </x:c>
      <x:c r="J32" s="4" t="str">
        <x:v>Gempa magnitudo 9,1 di Samudera Hindia dan dampaknya dinyatakan; tahun tidak ditebak. R1,R6.</x:v>
      </x:c>
      <x:c r="K32" s="4" t="str">
        <x:v>GEM-01439</x:v>
      </x:c>
    </x:row>
    <x:row r="33" ht="64" customHeight="1">
      <x:c r="A33" s="4" t="str">
        <x:v>KEB-00284</x:v>
      </x:c>
      <x:c r="B33" s="4" t="str">
        <x:v>200 hidran sumber air pemadam kebakaran bertebaran di kota bandung , hanya 5 yang berfungsi</x:v>
      </x:c>
      <x:c r="C33" s="4" t="str">
        <x:v>FIRE</x:v>
      </x:c>
      <x:c r="D33" s="4" t="str">
        <x:v>NON_EVENT</x:v>
      </x:c>
      <x:c r="E33" s="12" t="str">
        <x:v>SETUJU_USULAN</x:v>
      </x:c>
      <x:c r="F33" s="12" t="str"/>
      <x:c r="G33" s="12" t="str">
        <x:v>Jumlah dan kondisi hidran merupakan informasi sarana umum, tanpa klaim kebakaran tertentu. R3.</x:v>
      </x:c>
      <x:c r="H33" s="4" t="str">
        <x:f>IF(E33="SETUJU_USULAN",D33,IF(E33="KOREKSI",F33,""))</x:f>
        <x:v>NON_EVENT</x:v>
      </x:c>
      <x:c r="I33" s="4" t="str">
        <x:f>IF(E33="","BELUM_DIREVIEW",IF(E33="TUNDA","DITUNDA",IF(TRIM(Panduan!$B$5)="","ISI_REVIEWER",IF(E33="KELUARKAN",IF(F33&lt;&gt;"","HAPUS_KOREKSI",IF(TRIM(G33)="","ISI_CATATAN","DIKECUALIKAN")),IF(AND(E33&lt;&gt;"SETUJU_USULAN",E33&lt;&gt;"KOREKSI"),"CEK_KEPUTUSAN",IF(AND(E33="SETUJU_USULAN",F33&lt;&gt;""),"HAPUS_KOREKSI",IF(H33="","ISI_KOREKSI",IF(NOT(OR(H33="FLOOD",H33="EARTHQUAKE",H33="FIRE",H33="ACCIDENT",H33="NON_EVENT")),"CEK_LABEL",IF(AND(E33="KOREKSI",TRIM(G33)=""),"ISI_CATATAN","REVIEW_TERCATAT")))))))))</x:f>
        <x:v>REVIEW_TERCATAT</x:v>
      </x:c>
      <x:c r="J33" s="4" t="str">
        <x:v>Jumlah dan kondisi hidran merupakan informasi sarana umum, tanpa klaim kebakaran tertentu. R3.</x:v>
      </x:c>
      <x:c r="K33" s="4" t="str">
        <x:v>KEB-00402</x:v>
      </x:c>
    </x:row>
    <x:row r="34" ht="64" customHeight="1">
      <x:c r="A34" s="4" t="str">
        <x:v>KEB-00320</x:v>
      </x:c>
      <x:c r="B34" s="4" t="str">
        <x:v>mualem serahkan bantuan untuk korban kebakaran di aceh timur</x:v>
      </x:c>
      <x:c r="C34" s="4" t="str">
        <x:v>NON_EVENT</x:v>
      </x:c>
      <x:c r="D34" s="4" t="str">
        <x:v>FIRE</x:v>
      </x:c>
      <x:c r="E34" s="12" t="str">
        <x:v>SETUJU_USULAN</x:v>
      </x:c>
      <x:c r="F34" s="12" t="str"/>
      <x:c r="G34" s="12" t="str">
        <x:v>Penyerahan bantuan merujuk korban kebakaran di Aceh Timur. R1,R5.</x:v>
      </x:c>
      <x:c r="H34" s="4" t="str">
        <x:f>IF(E34="SETUJU_USULAN",D34,IF(E34="KOREKSI",F34,""))</x:f>
        <x:v>FIRE</x:v>
      </x:c>
      <x:c r="I34" s="4" t="str">
        <x:f>IF(E34="","BELUM_DIREVIEW",IF(E34="TUNDA","DITUNDA",IF(TRIM(Panduan!$B$5)="","ISI_REVIEWER",IF(E34="KELUARKAN",IF(F34&lt;&gt;"","HAPUS_KOREKSI",IF(TRIM(G34)="","ISI_CATATAN","DIKECUALIKAN")),IF(AND(E34&lt;&gt;"SETUJU_USULAN",E34&lt;&gt;"KOREKSI"),"CEK_KEPUTUSAN",IF(AND(E34="SETUJU_USULAN",F34&lt;&gt;""),"HAPUS_KOREKSI",IF(H34="","ISI_KOREKSI",IF(NOT(OR(H34="FLOOD",H34="EARTHQUAKE",H34="FIRE",H34="ACCIDENT",H34="NON_EVENT")),"CEK_LABEL",IF(AND(E34="KOREKSI",TRIM(G34)=""),"ISI_CATATAN","REVIEW_TERCATAT")))))))))</x:f>
        <x:v>REVIEW_TERCATAT</x:v>
      </x:c>
      <x:c r="J34" s="4" t="str">
        <x:v>Penyerahan bantuan merujuk korban kebakaran di Aceh Timur. R1,R5.</x:v>
      </x:c>
      <x:c r="K34" s="4" t="str">
        <x:v>BAN-01011</x:v>
      </x:c>
    </x:row>
    <x:row r="35" ht="64" customHeight="1">
      <x:c r="A35" s="4" t="str">
        <x:v>KEB-00363</x:v>
      </x:c>
      <x:c r="B35" s="4" t="str">
        <x:v>katar labuhanbatu berikan bantuan sembako kepada korban kebakaran di pematang seleng</x:v>
      </x:c>
      <x:c r="C35" s="4" t="str">
        <x:v>NON_EVENT</x:v>
      </x:c>
      <x:c r="D35" s="4" t="str">
        <x:v>FIRE</x:v>
      </x:c>
      <x:c r="E35" s="12" t="str">
        <x:v>SETUJU_USULAN</x:v>
      </x:c>
      <x:c r="F35" s="12" t="str"/>
      <x:c r="G35" s="12" t="str">
        <x:v>Bantuan sembako merujuk korban kebakaran Pematang Seleng. R1,R5.</x:v>
      </x:c>
      <x:c r="H35" s="4" t="str">
        <x:f>IF(E35="SETUJU_USULAN",D35,IF(E35="KOREKSI",F35,""))</x:f>
        <x:v>FIRE</x:v>
      </x:c>
      <x:c r="I35" s="4" t="str">
        <x:f>IF(E35="","BELUM_DIREVIEW",IF(E35="TUNDA","DITUNDA",IF(TRIM(Panduan!$B$5)="","ISI_REVIEWER",IF(E35="KELUARKAN",IF(F35&lt;&gt;"","HAPUS_KOREKSI",IF(TRIM(G35)="","ISI_CATATAN","DIKECUALIKAN")),IF(AND(E35&lt;&gt;"SETUJU_USULAN",E35&lt;&gt;"KOREKSI"),"CEK_KEPUTUSAN",IF(AND(E35="SETUJU_USULAN",F35&lt;&gt;""),"HAPUS_KOREKSI",IF(H35="","ISI_KOREKSI",IF(NOT(OR(H35="FLOOD",H35="EARTHQUAKE",H35="FIRE",H35="ACCIDENT",H35="NON_EVENT")),"CEK_LABEL",IF(AND(E35="KOREKSI",TRIM(G35)=""),"ISI_CATATAN","REVIEW_TERCATAT")))))))))</x:f>
        <x:v>REVIEW_TERCATAT</x:v>
      </x:c>
      <x:c r="J35" s="4" t="str">
        <x:v>Bantuan sembako merujuk korban kebakaran Pematang Seleng. R1,R5.</x:v>
      </x:c>
      <x:c r="K35" s="4" t="str">
        <x:v>KEB-00475</x:v>
      </x:c>
    </x:row>
    <x:row r="36" ht="64" customHeight="1">
      <x:c r="A36" s="4" t="str">
        <x:v>KEB-00393</x:v>
      </x:c>
      <x:c r="B36" s="4" t="str">
        <x:v>dpc komunitas sabua raa ndai mbojo ( srnm ) kabupaten bima dan kota bima menggalang dana untuk membantu korban kebakaran di desa ngali kecamatan kecamatan belo selatan kabupaten bima .</x:v>
      </x:c>
      <x:c r="C36" s="4" t="str">
        <x:v>NON_EVENT</x:v>
      </x:c>
      <x:c r="D36" s="4" t="str">
        <x:v>FIRE</x:v>
      </x:c>
      <x:c r="E36" s="12" t="str">
        <x:v>SETUJU_USULAN</x:v>
      </x:c>
      <x:c r="F36" s="12" t="str"/>
      <x:c r="G36" s="12" t="str">
        <x:v>Penggalangan dana merujuk korban kebakaran Desa Ngali. R1,R5.</x:v>
      </x:c>
      <x:c r="H36" s="4" t="str">
        <x:f>IF(E36="SETUJU_USULAN",D36,IF(E36="KOREKSI",F36,""))</x:f>
        <x:v>FIRE</x:v>
      </x:c>
      <x:c r="I36" s="4" t="str">
        <x:f>IF(E36="","BELUM_DIREVIEW",IF(E36="TUNDA","DITUNDA",IF(TRIM(Panduan!$B$5)="","ISI_REVIEWER",IF(E36="KELUARKAN",IF(F36&lt;&gt;"","HAPUS_KOREKSI",IF(TRIM(G36)="","ISI_CATATAN","DIKECUALIKAN")),IF(AND(E36&lt;&gt;"SETUJU_USULAN",E36&lt;&gt;"KOREKSI"),"CEK_KEPUTUSAN",IF(AND(E36="SETUJU_USULAN",F36&lt;&gt;""),"HAPUS_KOREKSI",IF(H36="","ISI_KOREKSI",IF(NOT(OR(H36="FLOOD",H36="EARTHQUAKE",H36="FIRE",H36="ACCIDENT",H36="NON_EVENT")),"CEK_LABEL",IF(AND(E36="KOREKSI",TRIM(G36)=""),"ISI_CATATAN","REVIEW_TERCATAT")))))))))</x:f>
        <x:v>REVIEW_TERCATAT</x:v>
      </x:c>
      <x:c r="J36" s="4" t="str">
        <x:v>Penggalangan dana merujuk korban kebakaran Desa Ngali. R1,R5.</x:v>
      </x:c>
      <x:c r="K36" s="4" t="str">
        <x:v>KEB-00386</x:v>
      </x:c>
    </x:row>
    <x:row r="37" ht="64" customHeight="1">
      <x:c r="A37" s="4" t="str">
        <x:v>KEB-00462</x:v>
      </x:c>
      <x:c r="B37" s="4" t="str">
        <x:v>yuk , selalu waspada terhadap potensi kebakaran yang ada di sekitar kita . cek kembali apakah semua sudah aman ? ingat ! ! kebakaran tidak dapat diduga tetapi kita dapat mencegah nya . via</x:v>
      </x:c>
      <x:c r="C37" s="4" t="str">
        <x:v>FIRE</x:v>
      </x:c>
      <x:c r="D37" s="4" t="str">
        <x:v>NON_EVENT</x:v>
      </x:c>
      <x:c r="E37" s="12" t="str">
        <x:v>SETUJU_USULAN</x:v>
      </x:c>
      <x:c r="F37" s="12" t="str"/>
      <x:c r="G37" s="12" t="str">
        <x:v>Teks berisi kewaspadaan, potensi dan pencegahan kebakaran tanpa satu kejadian. R3.</x:v>
      </x:c>
      <x:c r="H37" s="4" t="str">
        <x:f>IF(E37="SETUJU_USULAN",D37,IF(E37="KOREKSI",F37,""))</x:f>
        <x:v>NON_EVENT</x:v>
      </x:c>
      <x:c r="I37" s="4" t="str">
        <x:f>IF(E37="","BELUM_DIREVIEW",IF(E37="TUNDA","DITUNDA",IF(TRIM(Panduan!$B$5)="","ISI_REVIEWER",IF(E37="KELUARKAN",IF(F37&lt;&gt;"","HAPUS_KOREKSI",IF(TRIM(G37)="","ISI_CATATAN","DIKECUALIKAN")),IF(AND(E37&lt;&gt;"SETUJU_USULAN",E37&lt;&gt;"KOREKSI"),"CEK_KEPUTUSAN",IF(AND(E37="SETUJU_USULAN",F37&lt;&gt;""),"HAPUS_KOREKSI",IF(H37="","ISI_KOREKSI",IF(NOT(OR(H37="FLOOD",H37="EARTHQUAKE",H37="FIRE",H37="ACCIDENT",H37="NON_EVENT")),"CEK_LABEL",IF(AND(E37="KOREKSI",TRIM(G37)=""),"ISI_CATATAN","REVIEW_TERCATAT")))))))))</x:f>
        <x:v>REVIEW_TERCATAT</x:v>
      </x:c>
      <x:c r="J37" s="4" t="str">
        <x:v>Teks berisi kewaspadaan, potensi dan pencegahan kebakaran tanpa satu kejadian. R3.</x:v>
      </x:c>
      <x:c r="K37" s="4" t="str">
        <x:v>KEB-00789</x:v>
      </x:c>
    </x:row>
    <x:row r="38" ht="64" customHeight="1">
      <x:c r="A38" s="4" t="str">
        <x:v>KEB-00490</x:v>
      </x:c>
      <x:c r="B38" s="4" t="str">
        <x:v>polsek medan baru salurkan bantuan sembako kepada korban kebakaran di pasar meranti</x:v>
      </x:c>
      <x:c r="C38" s="4" t="str">
        <x:v>NON_EVENT</x:v>
      </x:c>
      <x:c r="D38" s="4" t="str">
        <x:v>FIRE</x:v>
      </x:c>
      <x:c r="E38" s="12" t="str">
        <x:v>SETUJU_USULAN</x:v>
      </x:c>
      <x:c r="F38" s="12" t="str"/>
      <x:c r="G38" s="12" t="str">
        <x:v>Bantuan sembako merujuk korban kebakaran Pasar Meranti. R1,R5.</x:v>
      </x:c>
      <x:c r="H38" s="4" t="str">
        <x:f>IF(E38="SETUJU_USULAN",D38,IF(E38="KOREKSI",F38,""))</x:f>
        <x:v>FIRE</x:v>
      </x:c>
      <x:c r="I38" s="4" t="str">
        <x:f>IF(E38="","BELUM_DIREVIEW",IF(E38="TUNDA","DITUNDA",IF(TRIM(Panduan!$B$5)="","ISI_REVIEWER",IF(E38="KELUARKAN",IF(F38&lt;&gt;"","HAPUS_KOREKSI",IF(TRIM(G38)="","ISI_CATATAN","DIKECUALIKAN")),IF(AND(E38&lt;&gt;"SETUJU_USULAN",E38&lt;&gt;"KOREKSI"),"CEK_KEPUTUSAN",IF(AND(E38="SETUJU_USULAN",F38&lt;&gt;""),"HAPUS_KOREKSI",IF(H38="","ISI_KOREKSI",IF(NOT(OR(H38="FLOOD",H38="EARTHQUAKE",H38="FIRE",H38="ACCIDENT",H38="NON_EVENT")),"CEK_LABEL",IF(AND(E38="KOREKSI",TRIM(G38)=""),"ISI_CATATAN","REVIEW_TERCATAT")))))))))</x:f>
        <x:v>REVIEW_TERCATAT</x:v>
      </x:c>
      <x:c r="J38" s="4" t="str">
        <x:v>Bantuan sembako merujuk korban kebakaran Pasar Meranti. R1,R5.</x:v>
      </x:c>
      <x:c r="K38" s="4" t="str">
        <x:v>KEB-00388</x:v>
      </x:c>
    </x:row>
    <x:row r="39" ht="64" customHeight="1">
      <x:c r="A39" s="4" t="str">
        <x:v>KEB-00522</x:v>
      </x:c>
      <x:c r="B39" s="4" t="str">
        <x:v>iswara kabupaten bima bantu korban kebakaran di wera -</x:v>
      </x:c>
      <x:c r="C39" s="4" t="str">
        <x:v>NON_EVENT</x:v>
      </x:c>
      <x:c r="D39" s="4" t="str">
        <x:v>FIRE</x:v>
      </x:c>
      <x:c r="E39" s="12" t="str">
        <x:v>SETUJU_USULAN</x:v>
      </x:c>
      <x:c r="F39" s="12" t="str"/>
      <x:c r="G39" s="12" t="str">
        <x:v>Bantuan merujuk korban kebakaran di Wera. R1,R5.</x:v>
      </x:c>
      <x:c r="H39" s="4" t="str">
        <x:f>IF(E39="SETUJU_USULAN",D39,IF(E39="KOREKSI",F39,""))</x:f>
        <x:v>FIRE</x:v>
      </x:c>
      <x:c r="I39" s="4" t="str">
        <x:f>IF(E39="","BELUM_DIREVIEW",IF(E39="TUNDA","DITUNDA",IF(TRIM(Panduan!$B$5)="","ISI_REVIEWER",IF(E39="KELUARKAN",IF(F39&lt;&gt;"","HAPUS_KOREKSI",IF(TRIM(G39)="","ISI_CATATAN","DIKECUALIKAN")),IF(AND(E39&lt;&gt;"SETUJU_USULAN",E39&lt;&gt;"KOREKSI"),"CEK_KEPUTUSAN",IF(AND(E39="SETUJU_USULAN",F39&lt;&gt;""),"HAPUS_KOREKSI",IF(H39="","ISI_KOREKSI",IF(NOT(OR(H39="FLOOD",H39="EARTHQUAKE",H39="FIRE",H39="ACCIDENT",H39="NON_EVENT")),"CEK_LABEL",IF(AND(E39="KOREKSI",TRIM(G39)=""),"ISI_CATATAN","REVIEW_TERCATAT")))))))))</x:f>
        <x:v>REVIEW_TERCATAT</x:v>
      </x:c>
      <x:c r="J39" s="4" t="str">
        <x:v>Bantuan merujuk korban kebakaran di Wera. R1,R5.</x:v>
      </x:c>
      <x:c r="K39" s="4" t="str">
        <x:v>KEB-00386</x:v>
      </x:c>
    </x:row>
    <x:row r="40" ht="64" customHeight="1">
      <x:c r="A40" s="4" t="str">
        <x:v>KEB-00639</x:v>
      </x:c>
      <x:c r="B40" s="4" t="str">
        <x:v>saat reses , aleg pks berikan bantuan kepada korban kebakaran di malangbong garut</x:v>
      </x:c>
      <x:c r="C40" s="4" t="str">
        <x:v>NON_EVENT</x:v>
      </x:c>
      <x:c r="D40" s="4" t="str">
        <x:v>FIRE</x:v>
      </x:c>
      <x:c r="E40" s="12" t="str">
        <x:v>SETUJU_USULAN</x:v>
      </x:c>
      <x:c r="F40" s="12" t="str"/>
      <x:c r="G40" s="12" t="str">
        <x:v>Kegiatan reses disertai bantuan kepada korban kebakaran Malangbong. R1,R5.</x:v>
      </x:c>
      <x:c r="H40" s="4" t="str">
        <x:f>IF(E40="SETUJU_USULAN",D40,IF(E40="KOREKSI",F40,""))</x:f>
        <x:v>FIRE</x:v>
      </x:c>
      <x:c r="I40" s="4" t="str">
        <x:f>IF(E40="","BELUM_DIREVIEW",IF(E40="TUNDA","DITUNDA",IF(TRIM(Panduan!$B$5)="","ISI_REVIEWER",IF(E40="KELUARKAN",IF(F40&lt;&gt;"","HAPUS_KOREKSI",IF(TRIM(G40)="","ISI_CATATAN","DIKECUALIKAN")),IF(AND(E40&lt;&gt;"SETUJU_USULAN",E40&lt;&gt;"KOREKSI"),"CEK_KEPUTUSAN",IF(AND(E40="SETUJU_USULAN",F40&lt;&gt;""),"HAPUS_KOREKSI",IF(H40="","ISI_KOREKSI",IF(NOT(OR(H40="FLOOD",H40="EARTHQUAKE",H40="FIRE",H40="ACCIDENT",H40="NON_EVENT")),"CEK_LABEL",IF(AND(E40="KOREKSI",TRIM(G40)=""),"ISI_CATATAN","REVIEW_TERCATAT")))))))))</x:f>
        <x:v>REVIEW_TERCATAT</x:v>
      </x:c>
      <x:c r="J40" s="4" t="str">
        <x:v>Kegiatan reses disertai bantuan kepada korban kebakaran Malangbong. R1,R5.</x:v>
      </x:c>
      <x:c r="K40" s="4" t="str">
        <x:v>KEB-00475</x:v>
      </x:c>
    </x:row>
    <x:row r="41" ht="64" customHeight="1">
      <x:c r="A41" s="4" t="str">
        <x:v>KEB-00647</x:v>
      </x:c>
      <x:c r="B41" s="4" t="str">
        <x:v>bapak kapolres pekalongan kota di dampingi bapak kasatlantas polres pekalongan kota melakukan pengecekan lokasi kebakaran di jalan kh . mansyur @ pekalongan</x:v>
      </x:c>
      <x:c r="C41" s="4" t="str">
        <x:v>NON_EVENT</x:v>
      </x:c>
      <x:c r="D41" s="4" t="str">
        <x:v>FIRE</x:v>
      </x:c>
      <x:c r="E41" s="12" t="str">
        <x:v>SETUJU_USULAN</x:v>
      </x:c>
      <x:c r="F41" s="12" t="str"/>
      <x:c r="G41" s="12" t="str">
        <x:v>Pengecekan dilakukan pada lokasi kebakaran di Jalan KH Mansyur, Pekalongan. R1,R5.</x:v>
      </x:c>
      <x:c r="H41" s="4" t="str">
        <x:f>IF(E41="SETUJU_USULAN",D41,IF(E41="KOREKSI",F41,""))</x:f>
        <x:v>FIRE</x:v>
      </x:c>
      <x:c r="I41" s="4" t="str">
        <x:f>IF(E41="","BELUM_DIREVIEW",IF(E41="TUNDA","DITUNDA",IF(TRIM(Panduan!$B$5)="","ISI_REVIEWER",IF(E41="KELUARKAN",IF(F41&lt;&gt;"","HAPUS_KOREKSI",IF(TRIM(G41)="","ISI_CATATAN","DIKECUALIKAN")),IF(AND(E41&lt;&gt;"SETUJU_USULAN",E41&lt;&gt;"KOREKSI"),"CEK_KEPUTUSAN",IF(AND(E41="SETUJU_USULAN",F41&lt;&gt;""),"HAPUS_KOREKSI",IF(H41="","ISI_KOREKSI",IF(NOT(OR(H41="FLOOD",H41="EARTHQUAKE",H41="FIRE",H41="ACCIDENT",H41="NON_EVENT")),"CEK_LABEL",IF(AND(E41="KOREKSI",TRIM(G41)=""),"ISI_CATATAN","REVIEW_TERCATAT")))))))))</x:f>
        <x:v>REVIEW_TERCATAT</x:v>
      </x:c>
      <x:c r="J41" s="4" t="str">
        <x:v>Pengecekan dilakukan pada lokasi kebakaran di Jalan KH Mansyur, Pekalongan. R1,R5.</x:v>
      </x:c>
      <x:c r="K41" s="4" t="str">
        <x:v>BAN-01287</x:v>
      </x:c>
    </x:row>
    <x:row r="42" ht="64" customHeight="1">
      <x:c r="A42" s="4" t="str">
        <x:v>KEB-00670</x:v>
      </x:c>
      <x:c r="B42" s="4" t="str">
        <x:v>siasatan juga mendapati kebakaran di kilang mercun itu disahkan berpunca daripada bahagian makmal yang menjalankan kerja-kerja menguji mercun yang siap untuk dipasarkan .</x:v>
      </x:c>
      <x:c r="C42" s="4" t="str">
        <x:v>NON_EVENT</x:v>
      </x:c>
      <x:c r="D42" s="4" t="str">
        <x:v>FIRE</x:v>
      </x:c>
      <x:c r="E42" s="12" t="str">
        <x:v>SETUJU_USULAN</x:v>
      </x:c>
      <x:c r="F42" s="12" t="str"/>
      <x:c r="G42" s="12" t="str">
        <x:v>Penyelidikan merujuk kebakaran kilang mercun; ketidakpastian sebab tidak meniadakan kejadian. R1,R2,R5.</x:v>
      </x:c>
      <x:c r="H42" s="4" t="str">
        <x:f>IF(E42="SETUJU_USULAN",D42,IF(E42="KOREKSI",F42,""))</x:f>
        <x:v>FIRE</x:v>
      </x:c>
      <x:c r="I42" s="4" t="str">
        <x:f>IF(E42="","BELUM_DIREVIEW",IF(E42="TUNDA","DITUNDA",IF(TRIM(Panduan!$B$5)="","ISI_REVIEWER",IF(E42="KELUARKAN",IF(F42&lt;&gt;"","HAPUS_KOREKSI",IF(TRIM(G42)="","ISI_CATATAN","DIKECUALIKAN")),IF(AND(E42&lt;&gt;"SETUJU_USULAN",E42&lt;&gt;"KOREKSI"),"CEK_KEPUTUSAN",IF(AND(E42="SETUJU_USULAN",F42&lt;&gt;""),"HAPUS_KOREKSI",IF(H42="","ISI_KOREKSI",IF(NOT(OR(H42="FLOOD",H42="EARTHQUAKE",H42="FIRE",H42="ACCIDENT",H42="NON_EVENT")),"CEK_LABEL",IF(AND(E42="KOREKSI",TRIM(G42)=""),"ISI_CATATAN","REVIEW_TERCATAT")))))))))</x:f>
        <x:v>REVIEW_TERCATAT</x:v>
      </x:c>
      <x:c r="J42" s="4" t="str">
        <x:v>Penyelidikan merujuk kebakaran kilang mercun; ketidakpastian sebab tidak meniadakan kejadian. R1,R2,R5.</x:v>
      </x:c>
      <x:c r="K42" s="4" t="str">
        <x:v>KEB-00364</x:v>
      </x:c>
    </x:row>
    <x:row r="43" ht="64" customHeight="1">
      <x:c r="A43" s="4" t="str">
        <x:v>KEB-00695</x:v>
      </x:c>
      <x:c r="B43" s="4" t="str">
        <x:v>gedung telkom ada yg kebakaran gi kata nya di pekanbaru , makanya jaringan langsung pada keputus .</x:v>
      </x:c>
      <x:c r="C43" s="4" t="str">
        <x:v>NON_EVENT</x:v>
      </x:c>
      <x:c r="D43" s="4" t="str">
        <x:v>FIRE</x:v>
      </x:c>
      <x:c r="E43" s="12" t="str">
        <x:v>SETUJU_USULAN</x:v>
      </x:c>
      <x:c r="F43" s="12" t="str"/>
      <x:c r="G43" s="12" t="str">
        <x:v>Teks mengklaim gedung Telkom kebakaran dan jaringan terputus; penanda katanya tidak otomatis meniadakan klaim. R1,R4.</x:v>
      </x:c>
      <x:c r="H43" s="4" t="str">
        <x:f>IF(E43="SETUJU_USULAN",D43,IF(E43="KOREKSI",F43,""))</x:f>
        <x:v>FIRE</x:v>
      </x:c>
      <x:c r="I43" s="4" t="str">
        <x:f>IF(E43="","BELUM_DIREVIEW",IF(E43="TUNDA","DITUNDA",IF(TRIM(Panduan!$B$5)="","ISI_REVIEWER",IF(E43="KELUARKAN",IF(F43&lt;&gt;"","HAPUS_KOREKSI",IF(TRIM(G43)="","ISI_CATATAN","DIKECUALIKAN")),IF(AND(E43&lt;&gt;"SETUJU_USULAN",E43&lt;&gt;"KOREKSI"),"CEK_KEPUTUSAN",IF(AND(E43="SETUJU_USULAN",F43&lt;&gt;""),"HAPUS_KOREKSI",IF(H43="","ISI_KOREKSI",IF(NOT(OR(H43="FLOOD",H43="EARTHQUAKE",H43="FIRE",H43="ACCIDENT",H43="NON_EVENT")),"CEK_LABEL",IF(AND(E43="KOREKSI",TRIM(G43)=""),"ISI_CATATAN","REVIEW_TERCATAT")))))))))</x:f>
        <x:v>REVIEW_TERCATAT</x:v>
      </x:c>
      <x:c r="J43" s="4" t="str">
        <x:v>Teks mengklaim gedung Telkom kebakaran dan jaringan terputus; penanda katanya tidak otomatis meniadakan klaim. R1,R4.</x:v>
      </x:c>
      <x:c r="K43" s="4" t="str">
        <x:v>KEB-01100</x:v>
      </x:c>
    </x:row>
    <x:row r="44" ht="64" customHeight="1">
      <x:c r="A44" s="4" t="str">
        <x:v>KEB-00783</x:v>
      </x:c>
      <x:c r="B44" s="4" t="str">
        <x:v>bakar sate : warga bandung bakar rumah : peristiwa bandung lautan api adalah peristiwa kebakaran besar yang terjadi di kota bandung , provinsi jawa barat , indonesia pada 23 maret 1946 . dalam waktu tujuh jam ,</x:v>
      </x:c>
      <x:c r="C44" s="4" t="str">
        <x:v>NON_EVENT</x:v>
      </x:c>
      <x:c r="D44" s="4" t="str">
        <x:v>FIRE</x:v>
      </x:c>
      <x:c r="E44" s="12" t="str">
        <x:v>SETUJU_USULAN</x:v>
      </x:c>
      <x:c r="F44" s="12" t="str"/>
      <x:c r="G44" s="12" t="str">
        <x:v>Narasi menyatakan kebakaran besar Bandung Lautan Api pada 23 Maret 1946. Kejadian historis tetap dinilai dari isi. R1,R6.</x:v>
      </x:c>
      <x:c r="H44" s="4" t="str">
        <x:f>IF(E44="SETUJU_USULAN",D44,IF(E44="KOREKSI",F44,""))</x:f>
        <x:v>FIRE</x:v>
      </x:c>
      <x:c r="I44" s="4" t="str">
        <x:f>IF(E44="","BELUM_DIREVIEW",IF(E44="TUNDA","DITUNDA",IF(TRIM(Panduan!$B$5)="","ISI_REVIEWER",IF(E44="KELUARKAN",IF(F44&lt;&gt;"","HAPUS_KOREKSI",IF(TRIM(G44)="","ISI_CATATAN","DIKECUALIKAN")),IF(AND(E44&lt;&gt;"SETUJU_USULAN",E44&lt;&gt;"KOREKSI"),"CEK_KEPUTUSAN",IF(AND(E44="SETUJU_USULAN",F44&lt;&gt;""),"HAPUS_KOREKSI",IF(H44="","ISI_KOREKSI",IF(NOT(OR(H44="FLOOD",H44="EARTHQUAKE",H44="FIRE",H44="ACCIDENT",H44="NON_EVENT")),"CEK_LABEL",IF(AND(E44="KOREKSI",TRIM(G44)=""),"ISI_CATATAN","REVIEW_TERCATAT")))))))))</x:f>
        <x:v>REVIEW_TERCATAT</x:v>
      </x:c>
      <x:c r="J44" s="4" t="str">
        <x:v>Narasi menyatakan kebakaran besar Bandung Lautan Api pada 23 Maret 1946. Kejadian historis tetap dinilai dari isi. R1,R6.</x:v>
      </x:c>
      <x:c r="K44" s="4" t="str">
        <x:v>KEB-00402</x:v>
      </x:c>
    </x:row>
    <x:row r="45" ht="66" customHeight="1">
      <x:c r="A45" s="4" t="str">
        <x:v>KEB-00828</x:v>
      </x:c>
      <x:c r="B45" s="4" t="str">
        <x:v>pmi sragen distribusikan bantuan untuk korban kebakaran rumah di di . dawangan rt . 17 purwosuman , sidoharjo sragen ( 4/9/20 ) bantuan berupa uang tunai , paket by higiene kit , paket phbs , sarung , matras &amp; amp paket sembako semoga bermanfaat</x:v>
      </x:c>
      <x:c r="C45" s="4" t="str">
        <x:v>NON_EVENT</x:v>
      </x:c>
      <x:c r="D45" s="4" t="str">
        <x:v>FIRE</x:v>
      </x:c>
      <x:c r="E45" s="12" t="str">
        <x:v>SETUJU_USULAN</x:v>
      </x:c>
      <x:c r="F45" s="12" t="str"/>
      <x:c r="G45" s="12" t="str">
        <x:v>Bantuan PMI merujuk korban kebakaran rumah di Sragen pada 4/9/20. R1,R5,R6.</x:v>
      </x:c>
      <x:c r="H45" s="4" t="str">
        <x:f>IF(E45="SETUJU_USULAN",D45,IF(E45="KOREKSI",F45,""))</x:f>
        <x:v>FIRE</x:v>
      </x:c>
      <x:c r="I45" s="4" t="str">
        <x:f>IF(E45="","BELUM_DIREVIEW",IF(E45="TUNDA","DITUNDA",IF(TRIM(Panduan!$B$5)="","ISI_REVIEWER",IF(E45="KELUARKAN",IF(F45&lt;&gt;"","HAPUS_KOREKSI",IF(TRIM(G45)="","ISI_CATATAN","DIKECUALIKAN")),IF(AND(E45&lt;&gt;"SETUJU_USULAN",E45&lt;&gt;"KOREKSI"),"CEK_KEPUTUSAN",IF(AND(E45="SETUJU_USULAN",F45&lt;&gt;""),"HAPUS_KOREKSI",IF(H45="","ISI_KOREKSI",IF(NOT(OR(H45="FLOOD",H45="EARTHQUAKE",H45="FIRE",H45="ACCIDENT",H45="NON_EVENT")),"CEK_LABEL",IF(AND(E45="KOREKSI",TRIM(G45)=""),"ISI_CATATAN","REVIEW_TERCATAT")))))))))</x:f>
        <x:v>REVIEW_TERCATAT</x:v>
      </x:c>
      <x:c r="J45" s="4" t="str">
        <x:v>Bantuan PMI merujuk korban kebakaran rumah di Sragen pada 4/9/20. R1,R5,R6.</x:v>
      </x:c>
      <x:c r="K45" s="4" t="str">
        <x:v>KEB-00904</x:v>
      </x:c>
    </x:row>
    <x:row r="46" ht="66" customHeight="1">
      <x:c r="A46" s="4" t="str">
        <x:v>KEB-00831</x:v>
      </x:c>
      <x:c r="B46" s="4" t="str">
        <x:v>jadi cerita nya ada kebakaran , trus pemadam dateng , pemandm nya langsung nyiremin rumah2 di samping rumah yg lagi kebakaran nya trus pemadam kebakaran nya di lemparin batu warga , kata nya pemadam nya malah bercanda wkwk dasar orang2 tolol lu kira api nabun bisa di pademin pake aer</x:v>
      </x:c>
      <x:c r="C46" s="4" t="str">
        <x:v>NON_EVENT</x:v>
      </x:c>
      <x:c r="D46" s="4" t="str">
        <x:v>FIRE</x:v>
      </x:c>
      <x:c r="E46" s="12" t="str">
        <x:v>SETUJU_USULAN</x:v>
      </x:c>
      <x:c r="F46" s="12" t="str"/>
      <x:c r="G46" s="12" t="str">
        <x:v>Narasi menceritakan kebakaran dan respons pemadam tanpa penyangkalan/simulasi eksplisit. R1,R4.</x:v>
      </x:c>
      <x:c r="H46" s="4" t="str">
        <x:f>IF(E46="SETUJU_USULAN",D46,IF(E46="KOREKSI",F46,""))</x:f>
        <x:v>FIRE</x:v>
      </x:c>
      <x:c r="I46" s="4" t="str">
        <x:f>IF(E46="","BELUM_DIREVIEW",IF(E46="TUNDA","DITUNDA",IF(TRIM(Panduan!$B$5)="","ISI_REVIEWER",IF(E46="KELUARKAN",IF(F46&lt;&gt;"","HAPUS_KOREKSI",IF(TRIM(G46)="","ISI_CATATAN","DIKECUALIKAN")),IF(AND(E46&lt;&gt;"SETUJU_USULAN",E46&lt;&gt;"KOREKSI"),"CEK_KEPUTUSAN",IF(AND(E46="SETUJU_USULAN",F46&lt;&gt;""),"HAPUS_KOREKSI",IF(H46="","ISI_KOREKSI",IF(NOT(OR(H46="FLOOD",H46="EARTHQUAKE",H46="FIRE",H46="ACCIDENT",H46="NON_EVENT")),"CEK_LABEL",IF(AND(E46="KOREKSI",TRIM(G46)=""),"ISI_CATATAN","REVIEW_TERCATAT")))))))))</x:f>
        <x:v>REVIEW_TERCATAT</x:v>
      </x:c>
      <x:c r="J46" s="4" t="str">
        <x:v>Narasi menceritakan kebakaran dan respons pemadam tanpa penyangkalan/simulasi eksplisit. Perlu reviewer memeriksa maknanya. R1,R4.</x:v>
      </x:c>
      <x:c r="K46" s="4" t="str">
        <x:v>KEB-01100</x:v>
      </x:c>
    </x:row>
    <x:row r="47" ht="64" customHeight="1">
      <x:c r="A47" s="4" t="str">
        <x:v>KEB-00833</x:v>
      </x:c>
      <x:c r="B47" s="4" t="str">
        <x:v>walkot h affan alfian bintang langsung turun ke lokasi beberapa saat musibah kebakaran melanda rumah warga di pertigaan menuju kantor pemerintahan kota subulussalam tersebut .</x:v>
      </x:c>
      <x:c r="C47" s="4" t="str">
        <x:v>NON_EVENT</x:v>
      </x:c>
      <x:c r="D47" s="4" t="str">
        <x:v>FIRE</x:v>
      </x:c>
      <x:c r="E47" s="12" t="str">
        <x:v>SETUJU_USULAN</x:v>
      </x:c>
      <x:c r="F47" s="12" t="str"/>
      <x:c r="G47" s="12" t="str">
        <x:v>Kunjungan wali kota merujuk kebakaran rumah di Subulussalam. R1,R5.</x:v>
      </x:c>
      <x:c r="H47" s="4" t="str">
        <x:f>IF(E47="SETUJU_USULAN",D47,IF(E47="KOREKSI",F47,""))</x:f>
        <x:v>FIRE</x:v>
      </x:c>
      <x:c r="I47" s="4" t="str">
        <x:f>IF(E47="","BELUM_DIREVIEW",IF(E47="TUNDA","DITUNDA",IF(TRIM(Panduan!$B$5)="","ISI_REVIEWER",IF(E47="KELUARKAN",IF(F47&lt;&gt;"","HAPUS_KOREKSI",IF(TRIM(G47)="","ISI_CATATAN","DIKECUALIKAN")),IF(AND(E47&lt;&gt;"SETUJU_USULAN",E47&lt;&gt;"KOREKSI"),"CEK_KEPUTUSAN",IF(AND(E47="SETUJU_USULAN",F47&lt;&gt;""),"HAPUS_KOREKSI",IF(H47="","ISI_KOREKSI",IF(NOT(OR(H47="FLOOD",H47="EARTHQUAKE",H47="FIRE",H47="ACCIDENT",H47="NON_EVENT")),"CEK_LABEL",IF(AND(E47="KOREKSI",TRIM(G47)=""),"ISI_CATATAN","REVIEW_TERCATAT")))))))))</x:f>
        <x:v>REVIEW_TERCATAT</x:v>
      </x:c>
      <x:c r="J47" s="4" t="str">
        <x:v>Kunjungan wali kota merujuk kebakaran rumah di Subulussalam. R1,R5.</x:v>
      </x:c>
      <x:c r="K47" s="4" t="str">
        <x:v>KEC-01200</x:v>
      </x:c>
    </x:row>
    <x:row r="48" ht="64" customHeight="1">
      <x:c r="A48" s="4" t="str">
        <x:v>KEB-00969</x:v>
      </x:c>
      <x:c r="B48" s="4" t="str">
        <x:v>bupati bener meriah kembali salurkan bantuan kepada korban kebakaran di pintu rime gayo</x:v>
      </x:c>
      <x:c r="C48" s="4" t="str">
        <x:v>NON_EVENT</x:v>
      </x:c>
      <x:c r="D48" s="4" t="str">
        <x:v>FIRE</x:v>
      </x:c>
      <x:c r="E48" s="12" t="str">
        <x:v>SETUJU_USULAN</x:v>
      </x:c>
      <x:c r="F48" s="12" t="str"/>
      <x:c r="G48" s="12" t="str">
        <x:v>Penyaluran bantuan merujuk korban kebakaran Pintu Rime Gayo. R1,R5.</x:v>
      </x:c>
      <x:c r="H48" s="4" t="str">
        <x:f>IF(E48="SETUJU_USULAN",D48,IF(E48="KOREKSI",F48,""))</x:f>
        <x:v>FIRE</x:v>
      </x:c>
      <x:c r="I48" s="4" t="str">
        <x:f>IF(E48="","BELUM_DIREVIEW",IF(E48="TUNDA","DITUNDA",IF(TRIM(Panduan!$B$5)="","ISI_REVIEWER",IF(E48="KELUARKAN",IF(F48&lt;&gt;"","HAPUS_KOREKSI",IF(TRIM(G48)="","ISI_CATATAN","DIKECUALIKAN")),IF(AND(E48&lt;&gt;"SETUJU_USULAN",E48&lt;&gt;"KOREKSI"),"CEK_KEPUTUSAN",IF(AND(E48="SETUJU_USULAN",F48&lt;&gt;""),"HAPUS_KOREKSI",IF(H48="","ISI_KOREKSI",IF(NOT(OR(H48="FLOOD",H48="EARTHQUAKE",H48="FIRE",H48="ACCIDENT",H48="NON_EVENT")),"CEK_LABEL",IF(AND(E48="KOREKSI",TRIM(G48)=""),"ISI_CATATAN","REVIEW_TERCATAT")))))))))</x:f>
        <x:v>REVIEW_TERCATAT</x:v>
      </x:c>
      <x:c r="J48" s="4" t="str">
        <x:v>Penyaluran bantuan merujuk korban kebakaran Pintu Rime Gayo. R1,R5.</x:v>
      </x:c>
      <x:c r="K48" s="4" t="str">
        <x:v>KEB-00475</x:v>
      </x:c>
    </x:row>
    <x:row r="49" ht="66" customHeight="1">
      <x:c r="A49" s="4" t="str">
        <x:v>KEB-01056</x:v>
      </x:c>
      <x:c r="B49" s="4" t="str">
        <x:v>kapolsek jatiwangi turun langsung bantu padamkan api bersama petugas damkar dan warga polres majalengka-personil polsek jatiwangi di pimpin langsung kapolsek jatiwangi kompol asep saepudin fiqih . sh . mh , ikut membantu memadamkan api kebakaran rumah di</x:v>
      </x:c>
      <x:c r="C49" s="4" t="str">
        <x:v>NON_EVENT</x:v>
      </x:c>
      <x:c r="D49" s="4" t="str">
        <x:v>FIRE</x:v>
      </x:c>
      <x:c r="E49" s="12" t="str">
        <x:v>SETUJU_USULAN</x:v>
      </x:c>
      <x:c r="F49" s="12" t="str"/>
      <x:c r="G49" s="12" t="str">
        <x:v>Petugas dan warga dinyatakan memadamkan kebakaran rumah walau bagian alamat terpotong. R1,R4,R5.</x:v>
      </x:c>
      <x:c r="H49" s="4" t="str">
        <x:f>IF(E49="SETUJU_USULAN",D49,IF(E49="KOREKSI",F49,""))</x:f>
        <x:v>FIRE</x:v>
      </x:c>
      <x:c r="I49" s="4" t="str">
        <x:f>IF(E49="","BELUM_DIREVIEW",IF(E49="TUNDA","DITUNDA",IF(TRIM(Panduan!$B$5)="","ISI_REVIEWER",IF(E49="KELUARKAN",IF(F49&lt;&gt;"","HAPUS_KOREKSI",IF(TRIM(G49)="","ISI_CATATAN","DIKECUALIKAN")),IF(AND(E49&lt;&gt;"SETUJU_USULAN",E49&lt;&gt;"KOREKSI"),"CEK_KEPUTUSAN",IF(AND(E49="SETUJU_USULAN",F49&lt;&gt;""),"HAPUS_KOREKSI",IF(H49="","ISI_KOREKSI",IF(NOT(OR(H49="FLOOD",H49="EARTHQUAKE",H49="FIRE",H49="ACCIDENT",H49="NON_EVENT")),"CEK_LABEL",IF(AND(E49="KOREKSI",TRIM(G49)=""),"ISI_CATATAN","REVIEW_TERCATAT")))))))))</x:f>
        <x:v>REVIEW_TERCATAT</x:v>
      </x:c>
      <x:c r="J49" s="4" t="str">
        <x:v>Petugas dan warga dinyatakan memadamkan kebakaran rumah walau bagian alamat terpotong. R1,R4,R5.</x:v>
      </x:c>
      <x:c r="K49" s="4" t="str">
        <x:v>KEB-00388</x:v>
      </x:c>
    </x:row>
    <x:row r="50" ht="64" customHeight="1">
      <x:c r="A50" s="4" t="str">
        <x:v>KEB-01124</x:v>
      </x:c>
      <x:c r="B50" s="4" t="str">
        <x:v>detik detik kebakaran ruko ratu ku di jalan iskandar tsani kota langsa aceh</x:v>
      </x:c>
      <x:c r="C50" s="4" t="str">
        <x:v>NON_EVENT</x:v>
      </x:c>
      <x:c r="D50" s="4" t="str">
        <x:v>FIRE</x:v>
      </x:c>
      <x:c r="E50" s="12" t="str">
        <x:v>SETUJU_USULAN</x:v>
      </x:c>
      <x:c r="F50" s="12" t="str"/>
      <x:c r="G50" s="12" t="str">
        <x:v>Judul menyatakan kebakaran ruko di Jalan Iskandar Tsani, Langsa. R1,R4.</x:v>
      </x:c>
      <x:c r="H50" s="4" t="str">
        <x:f>IF(E50="SETUJU_USULAN",D50,IF(E50="KOREKSI",F50,""))</x:f>
        <x:v>FIRE</x:v>
      </x:c>
      <x:c r="I50" s="4" t="str">
        <x:f>IF(E50="","BELUM_DIREVIEW",IF(E50="TUNDA","DITUNDA",IF(TRIM(Panduan!$B$5)="","ISI_REVIEWER",IF(E50="KELUARKAN",IF(F50&lt;&gt;"","HAPUS_KOREKSI",IF(TRIM(G50)="","ISI_CATATAN","DIKECUALIKAN")),IF(AND(E50&lt;&gt;"SETUJU_USULAN",E50&lt;&gt;"KOREKSI"),"CEK_KEPUTUSAN",IF(AND(E50="SETUJU_USULAN",F50&lt;&gt;""),"HAPUS_KOREKSI",IF(H50="","ISI_KOREKSI",IF(NOT(OR(H50="FLOOD",H50="EARTHQUAKE",H50="FIRE",H50="ACCIDENT",H50="NON_EVENT")),"CEK_LABEL",IF(AND(E50="KOREKSI",TRIM(G50)=""),"ISI_CATATAN","REVIEW_TERCATAT")))))))))</x:f>
        <x:v>REVIEW_TERCATAT</x:v>
      </x:c>
      <x:c r="J50" s="4" t="str">
        <x:v>Judul menyatakan kebakaran ruko di Jalan Iskandar Tsani, Langsa. R1,R4.</x:v>
      </x:c>
      <x:c r="K50" s="4" t="str">
        <x:v>BAN-01075</x:v>
      </x:c>
    </x:row>
    <x:row r="51" ht="64" customHeight="1">
      <x:c r="A51" s="4" t="str">
        <x:v>KEC-01340</x:v>
      </x:c>
      <x:c r="B51" s="4" t="str">
        <x:v>np - hard time || tahun ini angka kecelakaan di jalur bandung selatan menurun</x:v>
      </x:c>
      <x:c r="C51" s="4" t="str">
        <x:v>ACCIDENT</x:v>
      </x:c>
      <x:c r="D51" s="4" t="str">
        <x:v>NON_EVENT</x:v>
      </x:c>
      <x:c r="E51" s="12" t="str">
        <x:v>SETUJU_USULAN</x:v>
      </x:c>
      <x:c r="F51" s="12" t="str"/>
      <x:c r="G51" s="12" t="str">
        <x:v>Penurunan angka kecelakaan tahunan merupakan statistik wilayah tanpa uraian satu kejadian. R3.</x:v>
      </x:c>
      <x:c r="H51" s="4" t="str">
        <x:f>IF(E51="SETUJU_USULAN",D51,IF(E51="KOREKSI",F51,""))</x:f>
        <x:v>NON_EVENT</x:v>
      </x:c>
      <x:c r="I51" s="4" t="str">
        <x:f>IF(E51="","BELUM_DIREVIEW",IF(E51="TUNDA","DITUNDA",IF(TRIM(Panduan!$B$5)="","ISI_REVIEWER",IF(E51="KELUARKAN",IF(F51&lt;&gt;"","HAPUS_KOREKSI",IF(TRIM(G51)="","ISI_CATATAN","DIKECUALIKAN")),IF(AND(E51&lt;&gt;"SETUJU_USULAN",E51&lt;&gt;"KOREKSI"),"CEK_KEPUTUSAN",IF(AND(E51="SETUJU_USULAN",F51&lt;&gt;""),"HAPUS_KOREKSI",IF(H51="","ISI_KOREKSI",IF(NOT(OR(H51="FLOOD",H51="EARTHQUAKE",H51="FIRE",H51="ACCIDENT",H51="NON_EVENT")),"CEK_LABEL",IF(AND(E51="KOREKSI",TRIM(G51)=""),"ISI_CATATAN","REVIEW_TERCATAT")))))))))</x:f>
        <x:v>REVIEW_TERCATAT</x:v>
      </x:c>
      <x:c r="J51" s="4" t="str">
        <x:v>Penurunan angka kecelakaan tahunan merupakan statistik wilayah tanpa uraian satu kejadian. R3.</x:v>
      </x:c>
      <x:c r="K51" s="4" t="str">
        <x:v>BAN-01692</x:v>
      </x:c>
    </x:row>
    <x:row r="52" ht="64" customHeight="1">
      <x:c r="A52" s="4" t="str">
        <x:v>BAN-01016</x:v>
      </x:c>
      <x:c r="B52" s="4" t="str">
        <x:v>foto : 11000 karung pasir disiapkan untuk antisipasi banjir di jakarta utara</x:v>
      </x:c>
      <x:c r="C52" s="4" t="str">
        <x:v>NON_EVENT</x:v>
      </x:c>
      <x:c r="D52" s="4" t="str">
        <x:v>NON_EVENT</x:v>
      </x:c>
      <x:c r="E52" s="12" t="str">
        <x:v>SETUJU_USULAN</x:v>
      </x:c>
      <x:c r="F52" s="12" t="str"/>
      <x:c r="G52" s="12" t="str">
        <x:v>Persiapan karung pasir untuk antisipasi, tanpa klaim banjir sudah terjadi. R3.</x:v>
      </x:c>
      <x:c r="H52" s="4" t="str">
        <x:f>IF(E52="SETUJU_USULAN",D52,IF(E52="KOREKSI",F52,""))</x:f>
        <x:v>NON_EVENT</x:v>
      </x:c>
      <x:c r="I52" s="4" t="str">
        <x:f>IF(E52="","BELUM_DIREVIEW",IF(E52="TUNDA","DITUNDA",IF(TRIM(Panduan!$B$5)="","ISI_REVIEWER",IF(E52="KELUARKAN",IF(F52&lt;&gt;"","HAPUS_KOREKSI",IF(TRIM(G52)="","ISI_CATATAN","DIKECUALIKAN")),IF(AND(E52&lt;&gt;"SETUJU_USULAN",E52&lt;&gt;"KOREKSI"),"CEK_KEPUTUSAN",IF(AND(E52="SETUJU_USULAN",F52&lt;&gt;""),"HAPUS_KOREKSI",IF(H52="","ISI_KOREKSI",IF(NOT(OR(H52="FLOOD",H52="EARTHQUAKE",H52="FIRE",H52="ACCIDENT",H52="NON_EVENT")),"CEK_LABEL",IF(AND(E52="KOREKSI",TRIM(G52)=""),"ISI_CATATAN","REVIEW_TERCATAT")))))))))</x:f>
        <x:v>REVIEW_TERCATAT</x:v>
      </x:c>
      <x:c r="J52" s="4" t="str">
        <x:v>Persiapan karung pasir untuk antisipasi, tanpa klaim banjir sudah terjadi. R3.</x:v>
      </x:c>
      <x:c r="K52" s="4" t="str">
        <x:v>BAN-01058</x:v>
      </x:c>
    </x:row>
    <x:row r="53" ht="64" customHeight="1">
      <x:c r="A53" s="4" t="str">
        <x:v>BAN-01063</x:v>
      </x:c>
      <x:c r="B53" s="4" t="str">
        <x:v>`` jadi pak gubernur ini simulasi bagaimana menyetir kendaraan di tengah-tengah banjir di jakarta ''</x:v>
      </x:c>
      <x:c r="C53" s="4" t="str">
        <x:v>NON_EVENT</x:v>
      </x:c>
      <x:c r="D53" s="4" t="str">
        <x:v>NON_EVENT</x:v>
      </x:c>
      <x:c r="E53" s="12" t="str">
        <x:v>SETUJU_USULAN</x:v>
      </x:c>
      <x:c r="F53" s="12" t="str"/>
      <x:c r="G53" s="12" t="str">
        <x:v>Teks menyebut simulasi menyetir di tengah banjir. R3.</x:v>
      </x:c>
      <x:c r="H53" s="4" t="str">
        <x:f>IF(E53="SETUJU_USULAN",D53,IF(E53="KOREKSI",F53,""))</x:f>
        <x:v>NON_EVENT</x:v>
      </x:c>
      <x:c r="I53" s="4" t="str">
        <x:f>IF(E53="","BELUM_DIREVIEW",IF(E53="TUNDA","DITUNDA",IF(TRIM(Panduan!$B$5)="","ISI_REVIEWER",IF(E53="KELUARKAN",IF(F53&lt;&gt;"","HAPUS_KOREKSI",IF(TRIM(G53)="","ISI_CATATAN","DIKECUALIKAN")),IF(AND(E53&lt;&gt;"SETUJU_USULAN",E53&lt;&gt;"KOREKSI"),"CEK_KEPUTUSAN",IF(AND(E53="SETUJU_USULAN",F53&lt;&gt;""),"HAPUS_KOREKSI",IF(H53="","ISI_KOREKSI",IF(NOT(OR(H53="FLOOD",H53="EARTHQUAKE",H53="FIRE",H53="ACCIDENT",H53="NON_EVENT")),"CEK_LABEL",IF(AND(E53="KOREKSI",TRIM(G53)=""),"ISI_CATATAN","REVIEW_TERCATAT")))))))))</x:f>
        <x:v>REVIEW_TERCATAT</x:v>
      </x:c>
      <x:c r="J53" s="4" t="str">
        <x:v>Teks menyebut simulasi menyetir di tengah banjir. R3.</x:v>
      </x:c>
      <x:c r="K53" s="4" t="str">
        <x:v>KEB-00386</x:v>
      </x:c>
    </x:row>
    <x:row r="54" ht="64" customHeight="1">
      <x:c r="A54" s="4" t="str">
        <x:v>BAN-01066</x:v>
      </x:c>
      <x:c r="B54" s="4" t="str">
        <x:v>bagana ( banser tanggap bencana ) satkorcab trenggalek berbaur bersama santri dan masyarakat bakti sosial bersih2 diberbagai titik bencana banjir dan longsor di kabupaten trenggalek jatim</x:v>
      </x:c>
      <x:c r="C54" s="4" t="str">
        <x:v>FLOOD</x:v>
      </x:c>
      <x:c r="D54" s="4" t="str">
        <x:v>FLOOD</x:v>
      </x:c>
      <x:c r="E54" s="12" t="str">
        <x:v>SETUJU_USULAN</x:v>
      </x:c>
      <x:c r="F54" s="12" t="str"/>
      <x:c r="G54" s="12" t="str">
        <x:v>Narasi menyatakan kejadian banjir secara literal. Label mengikuti isi kejadian yang dirujuk. R1,R4.</x:v>
      </x:c>
      <x:c r="H54" s="4" t="str">
        <x:f>IF(E54="SETUJU_USULAN",D54,IF(E54="KOREKSI",F54,""))</x:f>
        <x:v>FLOOD</x:v>
      </x:c>
      <x:c r="I54" s="4" t="str">
        <x:f>IF(E54="","BELUM_DIREVIEW",IF(E54="TUNDA","DITUNDA",IF(TRIM(Panduan!$B$5)="","ISI_REVIEWER",IF(E54="KELUARKAN",IF(F54&lt;&gt;"","HAPUS_KOREKSI",IF(TRIM(G54)="","ISI_CATATAN","DIKECUALIKAN")),IF(AND(E54&lt;&gt;"SETUJU_USULAN",E54&lt;&gt;"KOREKSI"),"CEK_KEPUTUSAN",IF(AND(E54="SETUJU_USULAN",F54&lt;&gt;""),"HAPUS_KOREKSI",IF(H54="","ISI_KOREKSI",IF(NOT(OR(H54="FLOOD",H54="EARTHQUAKE",H54="FIRE",H54="ACCIDENT",H54="NON_EVENT")),"CEK_LABEL",IF(AND(E54="KOREKSI",TRIM(G54)=""),"ISI_CATATAN","REVIEW_TERCATAT")))))))))</x:f>
        <x:v>REVIEW_TERCATAT</x:v>
      </x:c>
      <x:c r="J54" s="4" t="str">
        <x:v>Klaim kejadian literal dengan lokasi/dampak/konteks yang disebut; label sumber dipertahankan sebagai usulan. R1,R2,R4,R6.</x:v>
      </x:c>
      <x:c r="K54" s="4" t="str">
        <x:v>BAN-01106</x:v>
      </x:c>
    </x:row>
    <x:row r="55" ht="64" customHeight="1">
      <x:c r="A55" s="4" t="str">
        <x:v>BAN-01107</x:v>
      </x:c>
      <x:c r="B55" s="4" t="str">
        <x:v>bagana ( banser tanggap bencana ) kota semarang membantu membersihkan kotoran akibat bencana banjir di kaligawe yang kami tahu membantu sesama merupakan tugas mulia tak perduli apapun agama budaya suku dan latar belakangnya</x:v>
      </x:c>
      <x:c r="C55" s="4" t="str">
        <x:v>FLOOD</x:v>
      </x:c>
      <x:c r="D55" s="4" t="str">
        <x:v>FLOOD</x:v>
      </x:c>
      <x:c r="E55" s="12" t="str">
        <x:v>SETUJU_USULAN</x:v>
      </x:c>
      <x:c r="F55" s="12" t="str"/>
      <x:c r="G55" s="12" t="str">
        <x:v>Narasi menyatakan kejadian banjir secara literal. Label mengikuti isi kejadian yang dirujuk. R1,R4.</x:v>
      </x:c>
      <x:c r="H55" s="4" t="str">
        <x:f>IF(E55="SETUJU_USULAN",D55,IF(E55="KOREKSI",F55,""))</x:f>
        <x:v>FLOOD</x:v>
      </x:c>
      <x:c r="I55" s="4" t="str">
        <x:f>IF(E55="","BELUM_DIREVIEW",IF(E55="TUNDA","DITUNDA",IF(TRIM(Panduan!$B$5)="","ISI_REVIEWER",IF(E55="KELUARKAN",IF(F55&lt;&gt;"","HAPUS_KOREKSI",IF(TRIM(G55)="","ISI_CATATAN","DIKECUALIKAN")),IF(AND(E55&lt;&gt;"SETUJU_USULAN",E55&lt;&gt;"KOREKSI"),"CEK_KEPUTUSAN",IF(AND(E55="SETUJU_USULAN",F55&lt;&gt;""),"HAPUS_KOREKSI",IF(H55="","ISI_KOREKSI",IF(NOT(OR(H55="FLOOD",H55="EARTHQUAKE",H55="FIRE",H55="ACCIDENT",H55="NON_EVENT")),"CEK_LABEL",IF(AND(E55="KOREKSI",TRIM(G55)=""),"ISI_CATATAN","REVIEW_TERCATAT")))))))))</x:f>
        <x:v>REVIEW_TERCATAT</x:v>
      </x:c>
      <x:c r="J55" s="4" t="str">
        <x:v>Klaim kejadian literal dengan lokasi/dampak/konteks yang disebut; label sumber dipertahankan sebagai usulan. R1,R2,R4,R6.</x:v>
      </x:c>
      <x:c r="K55" s="4" t="str">
        <x:v>BAN-01106</x:v>
      </x:c>
    </x:row>
    <x:row r="56" ht="64" customHeight="1">
      <x:c r="A56" s="4" t="str">
        <x:v>BAN-01155</x:v>
      </x:c>
      <x:c r="B56" s="4" t="str">
        <x:v>banjir dukungan untuk cinta laura maju di ajang miss universe 2019</x:v>
      </x:c>
      <x:c r="C56" s="4" t="str">
        <x:v>NON_EVENT</x:v>
      </x:c>
      <x:c r="D56" s="4" t="str">
        <x:v>NON_EVENT</x:v>
      </x:c>
      <x:c r="E56" s="12" t="str">
        <x:v>SETUJU_USULAN</x:v>
      </x:c>
      <x:c r="F56" s="12" t="str"/>
      <x:c r="G56" s="12" t="str">
        <x:v>Banjir dukungan adalah kiasan. R3.</x:v>
      </x:c>
      <x:c r="H56" s="4" t="str">
        <x:f>IF(E56="SETUJU_USULAN",D56,IF(E56="KOREKSI",F56,""))</x:f>
        <x:v>NON_EVENT</x:v>
      </x:c>
      <x:c r="I56" s="4" t="str">
        <x:f>IF(E56="","BELUM_DIREVIEW",IF(E56="TUNDA","DITUNDA",IF(TRIM(Panduan!$B$5)="","ISI_REVIEWER",IF(E56="KELUARKAN",IF(F56&lt;&gt;"","HAPUS_KOREKSI",IF(TRIM(G56)="","ISI_CATATAN","DIKECUALIKAN")),IF(AND(E56&lt;&gt;"SETUJU_USULAN",E56&lt;&gt;"KOREKSI"),"CEK_KEPUTUSAN",IF(AND(E56="SETUJU_USULAN",F56&lt;&gt;""),"HAPUS_KOREKSI",IF(H56="","ISI_KOREKSI",IF(NOT(OR(H56="FLOOD",H56="EARTHQUAKE",H56="FIRE",H56="ACCIDENT",H56="NON_EVENT")),"CEK_LABEL",IF(AND(E56="KOREKSI",TRIM(G56)=""),"ISI_CATATAN","REVIEW_TERCATAT")))))))))</x:f>
        <x:v>REVIEW_TERCATAT</x:v>
      </x:c>
      <x:c r="J56" s="4" t="str">
        <x:v>Banjir dukungan adalah kiasan. R3.</x:v>
      </x:c>
      <x:c r="K56" s="4" t="str">
        <x:v>BAN-01692</x:v>
      </x:c>
    </x:row>
    <x:row r="57" ht="64" customHeight="1">
      <x:c r="A57" s="4" t="str">
        <x:v>BAN-01157</x:v>
      </x:c>
      <x:c r="B57" s="4" t="str">
        <x:v>banjir dukungan untuk mewakili indonesia di ajang miss universe cinta laura justru tak tertarik</x:v>
      </x:c>
      <x:c r="C57" s="4" t="str">
        <x:v>NON_EVENT</x:v>
      </x:c>
      <x:c r="D57" s="4" t="str">
        <x:v>NON_EVENT</x:v>
      </x:c>
      <x:c r="E57" s="12" t="str">
        <x:v>SETUJU_USULAN</x:v>
      </x:c>
      <x:c r="F57" s="12" t="str"/>
      <x:c r="G57" s="12" t="str">
        <x:v>Banjir dukungan adalah kiasan. R3.</x:v>
      </x:c>
      <x:c r="H57" s="4" t="str">
        <x:f>IF(E57="SETUJU_USULAN",D57,IF(E57="KOREKSI",F57,""))</x:f>
        <x:v>NON_EVENT</x:v>
      </x:c>
      <x:c r="I57" s="4" t="str">
        <x:f>IF(E57="","BELUM_DIREVIEW",IF(E57="TUNDA","DITUNDA",IF(TRIM(Panduan!$B$5)="","ISI_REVIEWER",IF(E57="KELUARKAN",IF(F57&lt;&gt;"","HAPUS_KOREKSI",IF(TRIM(G57)="","ISI_CATATAN","DIKECUALIKAN")),IF(AND(E57&lt;&gt;"SETUJU_USULAN",E57&lt;&gt;"KOREKSI"),"CEK_KEPUTUSAN",IF(AND(E57="SETUJU_USULAN",F57&lt;&gt;""),"HAPUS_KOREKSI",IF(H57="","ISI_KOREKSI",IF(NOT(OR(H57="FLOOD",H57="EARTHQUAKE",H57="FIRE",H57="ACCIDENT",H57="NON_EVENT")),"CEK_LABEL",IF(AND(E57="KOREKSI",TRIM(G57)=""),"ISI_CATATAN","REVIEW_TERCATAT")))))))))</x:f>
        <x:v>REVIEW_TERCATAT</x:v>
      </x:c>
      <x:c r="J57" s="4" t="str">
        <x:v>Banjir dukungan adalah kiasan. R3.</x:v>
      </x:c>
      <x:c r="K57" s="4" t="str">
        <x:v>BAN-01692</x:v>
      </x:c>
    </x:row>
    <x:row r="58" ht="64" customHeight="1">
      <x:c r="A58" s="4" t="str">
        <x:v>BAN-01171</x:v>
      </x:c>
      <x:c r="B58" s="4" t="str">
        <x:v>lok dusun kedung langkap kecamatan kencong kabupaten jember jawa timur hari ini banjir seluruh desa di sebelah timur tanggul sungai terendam air setinggi lutut</x:v>
      </x:c>
      <x:c r="C58" s="4" t="str">
        <x:v>FLOOD</x:v>
      </x:c>
      <x:c r="D58" s="4" t="str">
        <x:v>FLOOD</x:v>
      </x:c>
      <x:c r="E58" s="12" t="str">
        <x:v>SETUJU_USULAN</x:v>
      </x:c>
      <x:c r="F58" s="12" t="str"/>
      <x:c r="G58" s="12" t="str">
        <x:v>Narasi menyatakan kejadian banjir secara literal. Label mengikuti isi kejadian yang dirujuk. R1,R4.</x:v>
      </x:c>
      <x:c r="H58" s="4" t="str">
        <x:f>IF(E58="SETUJU_USULAN",D58,IF(E58="KOREKSI",F58,""))</x:f>
        <x:v>FLOOD</x:v>
      </x:c>
      <x:c r="I58" s="4" t="str">
        <x:f>IF(E58="","BELUM_DIREVIEW",IF(E58="TUNDA","DITUNDA",IF(TRIM(Panduan!$B$5)="","ISI_REVIEWER",IF(E58="KELUARKAN",IF(F58&lt;&gt;"","HAPUS_KOREKSI",IF(TRIM(G58)="","ISI_CATATAN","DIKECUALIKAN")),IF(AND(E58&lt;&gt;"SETUJU_USULAN",E58&lt;&gt;"KOREKSI"),"CEK_KEPUTUSAN",IF(AND(E58="SETUJU_USULAN",F58&lt;&gt;""),"HAPUS_KOREKSI",IF(H58="","ISI_KOREKSI",IF(NOT(OR(H58="FLOOD",H58="EARTHQUAKE",H58="FIRE",H58="ACCIDENT",H58="NON_EVENT")),"CEK_LABEL",IF(AND(E58="KOREKSI",TRIM(G58)=""),"ISI_CATATAN","REVIEW_TERCATAT")))))))))</x:f>
        <x:v>REVIEW_TERCATAT</x:v>
      </x:c>
      <x:c r="J58" s="4" t="str">
        <x:v>Klaim kejadian literal dengan lokasi/dampak/konteks yang disebut; label sumber dipertahankan sebagai usulan. R1,R2,R4,R6.</x:v>
      </x:c>
      <x:c r="K58" s="4" t="str">
        <x:v>BAN-01033</x:v>
      </x:c>
    </x:row>
    <x:row r="59" ht="64" customHeight="1">
      <x:c r="A59" s="4" t="str">
        <x:v>BAN-01189</x:v>
      </x:c>
      <x:c r="B59" s="4" t="str">
        <x:v>kado akhir tahun dari banjir rob rendam 4 rt di jakarta utara dan jakarta barat lewat</x:v>
      </x:c>
      <x:c r="C59" s="4" t="str">
        <x:v>FLOOD</x:v>
      </x:c>
      <x:c r="D59" s="4" t="str">
        <x:v>FLOOD</x:v>
      </x:c>
      <x:c r="E59" s="12" t="str">
        <x:v>SETUJU_USULAN</x:v>
      </x:c>
      <x:c r="F59" s="12" t="str"/>
      <x:c r="G59" s="12" t="str">
        <x:v>Narasi menyatakan kejadian banjir secara literal. Label mengikuti isi kejadian yang dirujuk. R1,R4.</x:v>
      </x:c>
      <x:c r="H59" s="4" t="str">
        <x:f>IF(E59="SETUJU_USULAN",D59,IF(E59="KOREKSI",F59,""))</x:f>
        <x:v>FLOOD</x:v>
      </x:c>
      <x:c r="I59" s="4" t="str">
        <x:f>IF(E59="","BELUM_DIREVIEW",IF(E59="TUNDA","DITUNDA",IF(TRIM(Panduan!$B$5)="","ISI_REVIEWER",IF(E59="KELUARKAN",IF(F59&lt;&gt;"","HAPUS_KOREKSI",IF(TRIM(G59)="","ISI_CATATAN","DIKECUALIKAN")),IF(AND(E59&lt;&gt;"SETUJU_USULAN",E59&lt;&gt;"KOREKSI"),"CEK_KEPUTUSAN",IF(AND(E59="SETUJU_USULAN",F59&lt;&gt;""),"HAPUS_KOREKSI",IF(H59="","ISI_KOREKSI",IF(NOT(OR(H59="FLOOD",H59="EARTHQUAKE",H59="FIRE",H59="ACCIDENT",H59="NON_EVENT")),"CEK_LABEL",IF(AND(E59="KOREKSI",TRIM(G59)=""),"ISI_CATATAN","REVIEW_TERCATAT")))))))))</x:f>
        <x:v>REVIEW_TERCATAT</x:v>
      </x:c>
      <x:c r="J59" s="4" t="str">
        <x:v>Klaim kejadian literal dengan lokasi/dampak/konteks yang disebut; label sumber dipertahankan sebagai usulan. R1,R2,R4,R6.</x:v>
      </x:c>
      <x:c r="K59" s="4" t="str">
        <x:v>BAN-01058</x:v>
      </x:c>
    </x:row>
    <x:row r="60" ht="64" customHeight="1">
      <x:c r="A60" s="4" t="str">
        <x:v>BAN-01219</x:v>
      </x:c>
      <x:c r="B60" s="4" t="str">
        <x:v>akses jalan lumpuh banjir bandang landa beberapa desa di aceh tenggara</x:v>
      </x:c>
      <x:c r="C60" s="4" t="str">
        <x:v>FLOOD</x:v>
      </x:c>
      <x:c r="D60" s="4" t="str">
        <x:v>FLOOD</x:v>
      </x:c>
      <x:c r="E60" s="12" t="str">
        <x:v>SETUJU_USULAN</x:v>
      </x:c>
      <x:c r="F60" s="12" t="str"/>
      <x:c r="G60" s="12" t="str">
        <x:v>Narasi menyatakan kejadian banjir secara literal. Label mengikuti isi kejadian yang dirujuk. R1,R4.</x:v>
      </x:c>
      <x:c r="H60" s="4" t="str">
        <x:f>IF(E60="SETUJU_USULAN",D60,IF(E60="KOREKSI",F60,""))</x:f>
        <x:v>FLOOD</x:v>
      </x:c>
      <x:c r="I60" s="4" t="str">
        <x:f>IF(E60="","BELUM_DIREVIEW",IF(E60="TUNDA","DITUNDA",IF(TRIM(Panduan!$B$5)="","ISI_REVIEWER",IF(E60="KELUARKAN",IF(F60&lt;&gt;"","HAPUS_KOREKSI",IF(TRIM(G60)="","ISI_CATATAN","DIKECUALIKAN")),IF(AND(E60&lt;&gt;"SETUJU_USULAN",E60&lt;&gt;"KOREKSI"),"CEK_KEPUTUSAN",IF(AND(E60="SETUJU_USULAN",F60&lt;&gt;""),"HAPUS_KOREKSI",IF(H60="","ISI_KOREKSI",IF(NOT(OR(H60="FLOOD",H60="EARTHQUAKE",H60="FIRE",H60="ACCIDENT",H60="NON_EVENT")),"CEK_LABEL",IF(AND(E60="KOREKSI",TRIM(G60)=""),"ISI_CATATAN","REVIEW_TERCATAT")))))))))</x:f>
        <x:v>REVIEW_TERCATAT</x:v>
      </x:c>
      <x:c r="J60" s="4" t="str">
        <x:v>Klaim kejadian literal dengan lokasi/dampak/konteks yang disebut; label sumber dipertahankan sebagai usulan. R1,R2,R4,R6.</x:v>
      </x:c>
      <x:c r="K60" s="4" t="str">
        <x:v>BAN-01075</x:v>
      </x:c>
    </x:row>
    <x:row r="61" ht="64" customHeight="1">
      <x:c r="A61" s="4" t="str">
        <x:v>BAN-01261</x:v>
      </x:c>
      <x:c r="B61" s="4" t="str">
        <x:v>iklim di bumi semakin ekstrim ? longsor ? banjir dimana-mana ? panas tak terhingga ? mungkin bumi sedang lelah yuk tanam pohon di sekitar rumahmu demi masa depan yang lebih segar ! selamat</x:v>
      </x:c>
      <x:c r="C61" s="4" t="str">
        <x:v>NON_EVENT</x:v>
      </x:c>
      <x:c r="D61" s="4" t="str">
        <x:v>NON_EVENT</x:v>
      </x:c>
      <x:c r="E61" s="12" t="str">
        <x:v>SETUJU_USULAN</x:v>
      </x:c>
      <x:c r="F61" s="12" t="str"/>
      <x:c r="G61" s="12" t="str">
        <x:v>Pertanyaan umum tentang iklim dan ajakan menanam pohon, tanpa kejadian banjir tertentu yang diuraikan. R3.</x:v>
      </x:c>
      <x:c r="H61" s="4" t="str">
        <x:f>IF(E61="SETUJU_USULAN",D61,IF(E61="KOREKSI",F61,""))</x:f>
        <x:v>NON_EVENT</x:v>
      </x:c>
      <x:c r="I61" s="4" t="str">
        <x:f>IF(E61="","BELUM_DIREVIEW",IF(E61="TUNDA","DITUNDA",IF(TRIM(Panduan!$B$5)="","ISI_REVIEWER",IF(E61="KELUARKAN",IF(F61&lt;&gt;"","HAPUS_KOREKSI",IF(TRIM(G61)="","ISI_CATATAN","DIKECUALIKAN")),IF(AND(E61&lt;&gt;"SETUJU_USULAN",E61&lt;&gt;"KOREKSI"),"CEK_KEPUTUSAN",IF(AND(E61="SETUJU_USULAN",F61&lt;&gt;""),"HAPUS_KOREKSI",IF(H61="","ISI_KOREKSI",IF(NOT(OR(H61="FLOOD",H61="EARTHQUAKE",H61="FIRE",H61="ACCIDENT",H61="NON_EVENT")),"CEK_LABEL",IF(AND(E61="KOREKSI",TRIM(G61)=""),"ISI_CATATAN","REVIEW_TERCATAT")))))))))</x:f>
        <x:v>REVIEW_TERCATAT</x:v>
      </x:c>
      <x:c r="J61" s="4" t="str">
        <x:v>Pertanyaan umum tentang iklim dan ajakan menanam pohon, tanpa kejadian banjir tertentu yang diuraikan. R3.</x:v>
      </x:c>
      <x:c r="K61" s="4" t="str">
        <x:v>BAN-01074</x:v>
      </x:c>
    </x:row>
    <x:row r="62" ht="64" customHeight="1">
      <x:c r="A62" s="4" t="str">
        <x:v>BAN-01297</x:v>
      </x:c>
      <x:c r="B62" s="4" t="str">
        <x:v>detik2 sebuah rumah panggung hanyut terbawa banjir besar di kecamatan tamaletea kabupaten jeneponto selasa siang ( 22/1 ) via</x:v>
      </x:c>
      <x:c r="C62" s="4" t="str">
        <x:v>FLOOD</x:v>
      </x:c>
      <x:c r="D62" s="4" t="str">
        <x:v>FLOOD</x:v>
      </x:c>
      <x:c r="E62" s="12" t="str">
        <x:v>SETUJU_USULAN</x:v>
      </x:c>
      <x:c r="F62" s="12" t="str"/>
      <x:c r="G62" s="12" t="str">
        <x:v>Narasi menyatakan kejadian banjir secara literal. Label mengikuti isi kejadian yang dirujuk. R1,R4.</x:v>
      </x:c>
      <x:c r="H62" s="4" t="str">
        <x:f>IF(E62="SETUJU_USULAN",D62,IF(E62="KOREKSI",F62,""))</x:f>
        <x:v>FLOOD</x:v>
      </x:c>
      <x:c r="I62" s="4" t="str">
        <x:f>IF(E62="","BELUM_DIREVIEW",IF(E62="TUNDA","DITUNDA",IF(TRIM(Panduan!$B$5)="","ISI_REVIEWER",IF(E62="KELUARKAN",IF(F62&lt;&gt;"","HAPUS_KOREKSI",IF(TRIM(G62)="","ISI_CATATAN","DIKECUALIKAN")),IF(AND(E62&lt;&gt;"SETUJU_USULAN",E62&lt;&gt;"KOREKSI"),"CEK_KEPUTUSAN",IF(AND(E62="SETUJU_USULAN",F62&lt;&gt;""),"HAPUS_KOREKSI",IF(H62="","ISI_KOREKSI",IF(NOT(OR(H62="FLOOD",H62="EARTHQUAKE",H62="FIRE",H62="ACCIDENT",H62="NON_EVENT")),"CEK_LABEL",IF(AND(E62="KOREKSI",TRIM(G62)=""),"ISI_CATATAN","REVIEW_TERCATAT")))))))))</x:f>
        <x:v>REVIEW_TERCATAT</x:v>
      </x:c>
      <x:c r="J62" s="4" t="str">
        <x:v>Klaim kejadian literal dengan lokasi/dampak/konteks yang disebut; label sumber dipertahankan sebagai usulan. R1,R2,R4,R6.</x:v>
      </x:c>
      <x:c r="K62" s="4" t="str">
        <x:v>KEB-00904</x:v>
      </x:c>
    </x:row>
    <x:row r="63" ht="64" customHeight="1">
      <x:c r="A63" s="4" t="str">
        <x:v>BAN-01302</x:v>
      </x:c>
      <x:c r="B63" s="4" t="str">
        <x:v>banjir bandang melanda 6 kabupaten di sulsel terparah gowa dan jeneponto banjir menghanyutkan rumah merendam sekolah dan masjid sampai ke atap dan menghancurkan jembatan mohon bantuannya</x:v>
      </x:c>
      <x:c r="C63" s="4" t="str">
        <x:v>FLOOD</x:v>
      </x:c>
      <x:c r="D63" s="4" t="str">
        <x:v>FLOOD</x:v>
      </x:c>
      <x:c r="E63" s="12" t="str">
        <x:v>SETUJU_USULAN</x:v>
      </x:c>
      <x:c r="F63" s="12" t="str"/>
      <x:c r="G63" s="12" t="str">
        <x:v>Narasi menyatakan kejadian banjir secara literal. Label mengikuti isi kejadian yang dirujuk. R1,R4.</x:v>
      </x:c>
      <x:c r="H63" s="4" t="str">
        <x:f>IF(E63="SETUJU_USULAN",D63,IF(E63="KOREKSI",F63,""))</x:f>
        <x:v>FLOOD</x:v>
      </x:c>
      <x:c r="I63" s="4" t="str">
        <x:f>IF(E63="","BELUM_DIREVIEW",IF(E63="TUNDA","DITUNDA",IF(TRIM(Panduan!$B$5)="","ISI_REVIEWER",IF(E63="KELUARKAN",IF(F63&lt;&gt;"","HAPUS_KOREKSI",IF(TRIM(G63)="","ISI_CATATAN","DIKECUALIKAN")),IF(AND(E63&lt;&gt;"SETUJU_USULAN",E63&lt;&gt;"KOREKSI"),"CEK_KEPUTUSAN",IF(AND(E63="SETUJU_USULAN",F63&lt;&gt;""),"HAPUS_KOREKSI",IF(H63="","ISI_KOREKSI",IF(NOT(OR(H63="FLOOD",H63="EARTHQUAKE",H63="FIRE",H63="ACCIDENT",H63="NON_EVENT")),"CEK_LABEL",IF(AND(E63="KOREKSI",TRIM(G63)=""),"ISI_CATATAN","REVIEW_TERCATAT")))))))))</x:f>
        <x:v>REVIEW_TERCATAT</x:v>
      </x:c>
      <x:c r="J63" s="4" t="str">
        <x:v>Klaim kejadian literal dengan lokasi/dampak/konteks yang disebut; label sumber dipertahankan sebagai usulan. R1,R2,R4,R6.</x:v>
      </x:c>
      <x:c r="K63" s="4" t="str">
        <x:v>KEC-01200</x:v>
      </x:c>
    </x:row>
    <x:row r="64" ht="66" customHeight="1">
      <x:c r="A64" s="4" t="str">
        <x:v>BAN-01317</x:v>
      </x:c>
      <x:c r="B64" s="4" t="str">
        <x:v>infografis dampak banjir dan longsor yang melanda 10 kabupaten/kota di sulawesi selatan per 24/1/2019 penanganan darurat masih dilakukan luasnya wilayah yang terdampak dan cuaca hujan menyebabkan kendala dalam penanganan di lapangan</x:v>
      </x:c>
      <x:c r="C64" s="4" t="str">
        <x:v>FLOOD</x:v>
      </x:c>
      <x:c r="D64" s="4" t="str">
        <x:v>FLOOD</x:v>
      </x:c>
      <x:c r="E64" s="12" t="str">
        <x:v>SETUJU_USULAN</x:v>
      </x:c>
      <x:c r="F64" s="12" t="str"/>
      <x:c r="G64" s="12" t="str">
        <x:v>Narasi menyatakan kejadian banjir secara literal. Label mengikuti isi kejadian yang dirujuk. R1,R4.</x:v>
      </x:c>
      <x:c r="H64" s="4" t="str">
        <x:f>IF(E64="SETUJU_USULAN",D64,IF(E64="KOREKSI",F64,""))</x:f>
        <x:v>FLOOD</x:v>
      </x:c>
      <x:c r="I64" s="4" t="str">
        <x:f>IF(E64="","BELUM_DIREVIEW",IF(E64="TUNDA","DITUNDA",IF(TRIM(Panduan!$B$5)="","ISI_REVIEWER",IF(E64="KELUARKAN",IF(F64&lt;&gt;"","HAPUS_KOREKSI",IF(TRIM(G64)="","ISI_CATATAN","DIKECUALIKAN")),IF(AND(E64&lt;&gt;"SETUJU_USULAN",E64&lt;&gt;"KOREKSI"),"CEK_KEPUTUSAN",IF(AND(E64="SETUJU_USULAN",F64&lt;&gt;""),"HAPUS_KOREKSI",IF(H64="","ISI_KOREKSI",IF(NOT(OR(H64="FLOOD",H64="EARTHQUAKE",H64="FIRE",H64="ACCIDENT",H64="NON_EVENT")),"CEK_LABEL",IF(AND(E64="KOREKSI",TRIM(G64)=""),"ISI_CATATAN","REVIEW_TERCATAT")))))))))</x:f>
        <x:v>REVIEW_TERCATAT</x:v>
      </x:c>
      <x:c r="J64" s="4" t="str">
        <x:v>Klaim kejadian literal dengan lokasi/dampak/konteks yang disebut; label sumber dipertahankan sebagai usulan. R1,R2,R4,R6.</x:v>
      </x:c>
      <x:c r="K64" s="4" t="str">
        <x:v>BAN-01316</x:v>
      </x:c>
    </x:row>
    <x:row r="65" ht="64" customHeight="1">
      <x:c r="A65" s="4" t="str">
        <x:v>BAN-01344</x:v>
      </x:c>
      <x:c r="B65" s="4" t="str">
        <x:v>man teman yang punya info tanah / pekarangan kecil ( sekitar 60-100 m2 ) dijual silakan dm gue ya must ! wilayah dki jakarta akses masuk mobil bukan daerah banjir di dalam wilayah perumahan</x:v>
      </x:c>
      <x:c r="C65" s="4" t="str">
        <x:v>NON_EVENT</x:v>
      </x:c>
      <x:c r="D65" s="4" t="str">
        <x:v>NON_EVENT</x:v>
      </x:c>
      <x:c r="E65" s="12" t="str">
        <x:v>SETUJU_USULAN</x:v>
      </x:c>
      <x:c r="F65" s="12" t="str"/>
      <x:c r="G65" s="12" t="str">
        <x:v>Pencarian tanah dengan syarat bukan daerah banjir bukan laporan kejadian. R3.</x:v>
      </x:c>
      <x:c r="H65" s="4" t="str">
        <x:f>IF(E65="SETUJU_USULAN",D65,IF(E65="KOREKSI",F65,""))</x:f>
        <x:v>NON_EVENT</x:v>
      </x:c>
      <x:c r="I65" s="4" t="str">
        <x:f>IF(E65="","BELUM_DIREVIEW",IF(E65="TUNDA","DITUNDA",IF(TRIM(Panduan!$B$5)="","ISI_REVIEWER",IF(E65="KELUARKAN",IF(F65&lt;&gt;"","HAPUS_KOREKSI",IF(TRIM(G65)="","ISI_CATATAN","DIKECUALIKAN")),IF(AND(E65&lt;&gt;"SETUJU_USULAN",E65&lt;&gt;"KOREKSI"),"CEK_KEPUTUSAN",IF(AND(E65="SETUJU_USULAN",F65&lt;&gt;""),"HAPUS_KOREKSI",IF(H65="","ISI_KOREKSI",IF(NOT(OR(H65="FLOOD",H65="EARTHQUAKE",H65="FIRE",H65="ACCIDENT",H65="NON_EVENT")),"CEK_LABEL",IF(AND(E65="KOREKSI",TRIM(G65)=""),"ISI_CATATAN","REVIEW_TERCATAT")))))))))</x:f>
        <x:v>REVIEW_TERCATAT</x:v>
      </x:c>
      <x:c r="J65" s="4" t="str">
        <x:v>Pencarian tanah dengan syarat bukan daerah banjir bukan laporan kejadian. R3.</x:v>
      </x:c>
      <x:c r="K65" s="4" t="str">
        <x:v>KEC-01209</x:v>
      </x:c>
    </x:row>
    <x:row r="66" ht="64" customHeight="1">
      <x:c r="A66" s="4" t="str">
        <x:v>BAN-01449</x:v>
      </x:c>
      <x:c r="B66" s="4" t="str">
        <x:v>1404 : banjir di gatsu padahal sebelumnya tidak pernah banjir cc : |</x:v>
      </x:c>
      <x:c r="C66" s="4" t="str">
        <x:v>FLOOD</x:v>
      </x:c>
      <x:c r="D66" s="4" t="str">
        <x:v>FLOOD</x:v>
      </x:c>
      <x:c r="E66" s="12" t="str">
        <x:v>SETUJU_USULAN</x:v>
      </x:c>
      <x:c r="F66" s="12" t="str"/>
      <x:c r="G66" s="12" t="str">
        <x:v>Narasi menyatakan kejadian banjir secara literal. Label mengikuti isi kejadian yang dirujuk. R1,R4.</x:v>
      </x:c>
      <x:c r="H66" s="4" t="str">
        <x:f>IF(E66="SETUJU_USULAN",D66,IF(E66="KOREKSI",F66,""))</x:f>
        <x:v>FLOOD</x:v>
      </x:c>
      <x:c r="I66" s="4" t="str">
        <x:f>IF(E66="","BELUM_DIREVIEW",IF(E66="TUNDA","DITUNDA",IF(TRIM(Panduan!$B$5)="","ISI_REVIEWER",IF(E66="KELUARKAN",IF(F66&lt;&gt;"","HAPUS_KOREKSI",IF(TRIM(G66)="","ISI_CATATAN","DIKECUALIKAN")),IF(AND(E66&lt;&gt;"SETUJU_USULAN",E66&lt;&gt;"KOREKSI"),"CEK_KEPUTUSAN",IF(AND(E66="SETUJU_USULAN",F66&lt;&gt;""),"HAPUS_KOREKSI",IF(H66="","ISI_KOREKSI",IF(NOT(OR(H66="FLOOD",H66="EARTHQUAKE",H66="FIRE",H66="ACCIDENT",H66="NON_EVENT")),"CEK_LABEL",IF(AND(E66="KOREKSI",TRIM(G66)=""),"ISI_CATATAN","REVIEW_TERCATAT")))))))))</x:f>
        <x:v>REVIEW_TERCATAT</x:v>
      </x:c>
      <x:c r="J66" s="4" t="str">
        <x:v>Klaim kejadian literal dengan lokasi/dampak/konteks yang disebut; label sumber dipertahankan sebagai usulan. R1,R2,R4,R6.</x:v>
      </x:c>
      <x:c r="K66" s="4" t="str">
        <x:v>BAN-01692</x:v>
      </x:c>
    </x:row>
    <x:row r="67" ht="64" customHeight="1">
      <x:c r="A67" s="4" t="str">
        <x:v>BAN-01561</x:v>
      </x:c>
      <x:c r="B67" s="4" t="str">
        <x:v>2 tanggul terbuat dari tanah atau beton dan seringkali dibangun sejajar badan sungai atau pantai * tanggul biasanya dibuat untuk mencegah banjir di dataran yang dilindunginya</x:v>
      </x:c>
      <x:c r="C67" s="4" t="str">
        <x:v>NON_EVENT</x:v>
      </x:c>
      <x:c r="D67" s="4" t="str">
        <x:v>NON_EVENT</x:v>
      </x:c>
      <x:c r="E67" s="12" t="str">
        <x:v>SETUJU_USULAN</x:v>
      </x:c>
      <x:c r="F67" s="12" t="str"/>
      <x:c r="G67" s="12" t="str">
        <x:v>Penjelasan fungsi tanggul untuk pencegahan. R3.</x:v>
      </x:c>
      <x:c r="H67" s="4" t="str">
        <x:f>IF(E67="SETUJU_USULAN",D67,IF(E67="KOREKSI",F67,""))</x:f>
        <x:v>NON_EVENT</x:v>
      </x:c>
      <x:c r="I67" s="4" t="str">
        <x:f>IF(E67="","BELUM_DIREVIEW",IF(E67="TUNDA","DITUNDA",IF(TRIM(Panduan!$B$5)="","ISI_REVIEWER",IF(E67="KELUARKAN",IF(F67&lt;&gt;"","HAPUS_KOREKSI",IF(TRIM(G67)="","ISI_CATATAN","DIKECUALIKAN")),IF(AND(E67&lt;&gt;"SETUJU_USULAN",E67&lt;&gt;"KOREKSI"),"CEK_KEPUTUSAN",IF(AND(E67="SETUJU_USULAN",F67&lt;&gt;""),"HAPUS_KOREKSI",IF(H67="","ISI_KOREKSI",IF(NOT(OR(H67="FLOOD",H67="EARTHQUAKE",H67="FIRE",H67="ACCIDENT",H67="NON_EVENT")),"CEK_LABEL",IF(AND(E67="KOREKSI",TRIM(G67)=""),"ISI_CATATAN","REVIEW_TERCATAT")))))))))</x:f>
        <x:v>REVIEW_TERCATAT</x:v>
      </x:c>
      <x:c r="J67" s="4" t="str">
        <x:v>Penjelasan fungsi tanggul untuk pencegahan. R3.</x:v>
      </x:c>
      <x:c r="K67" s="4" t="str">
        <x:v>BAN-01033</x:v>
      </x:c>
    </x:row>
    <x:row r="68" ht="66" customHeight="1">
      <x:c r="A68" s="4" t="str">
        <x:v>BAN-01640</x:v>
      </x:c>
      <x:c r="B68" s="4" t="str">
        <x:v>waspadai hujan deras disertai angin kencang petir dan kilat pada musim transisi saat ini awan cumulonimbus tumbuh menjulang menghasilkan hujan deras sesaat ini kondisi banjir di cawang pada 2/4/2019 sekitar 1500 - 0:18 wib banjir segera surut saya ikut terjebak banjir</x:v>
      </x:c>
      <x:c r="C68" s="4" t="str">
        <x:v>FLOOD</x:v>
      </x:c>
      <x:c r="D68" s="4" t="str">
        <x:v>FLOOD</x:v>
      </x:c>
      <x:c r="E68" s="12" t="str">
        <x:v>SETUJU_USULAN</x:v>
      </x:c>
      <x:c r="F68" s="12" t="str"/>
      <x:c r="G68" s="12" t="str">
        <x:v>Narasi menyatakan kejadian banjir secara literal. Label mengikuti isi kejadian yang dirujuk. R1,R4.</x:v>
      </x:c>
      <x:c r="H68" s="4" t="str">
        <x:f>IF(E68="SETUJU_USULAN",D68,IF(E68="KOREKSI",F68,""))</x:f>
        <x:v>FLOOD</x:v>
      </x:c>
      <x:c r="I68" s="4" t="str">
        <x:f>IF(E68="","BELUM_DIREVIEW",IF(E68="TUNDA","DITUNDA",IF(TRIM(Panduan!$B$5)="","ISI_REVIEWER",IF(E68="KELUARKAN",IF(F68&lt;&gt;"","HAPUS_KOREKSI",IF(TRIM(G68)="","ISI_CATATAN","DIKECUALIKAN")),IF(AND(E68&lt;&gt;"SETUJU_USULAN",E68&lt;&gt;"KOREKSI"),"CEK_KEPUTUSAN",IF(AND(E68="SETUJU_USULAN",F68&lt;&gt;""),"HAPUS_KOREKSI",IF(H68="","ISI_KOREKSI",IF(NOT(OR(H68="FLOOD",H68="EARTHQUAKE",H68="FIRE",H68="ACCIDENT",H68="NON_EVENT")),"CEK_LABEL",IF(AND(E68="KOREKSI",TRIM(G68)=""),"ISI_CATATAN","REVIEW_TERCATAT")))))))))</x:f>
        <x:v>REVIEW_TERCATAT</x:v>
      </x:c>
      <x:c r="J68" s="4" t="str">
        <x:v>Klaim kejadian literal dengan lokasi/dampak/konteks yang disebut; label sumber dipertahankan sebagai usulan. R1,R2,R4,R6.</x:v>
      </x:c>
      <x:c r="K68" s="4" t="str">
        <x:v>BAN-01361</x:v>
      </x:c>
    </x:row>
    <x:row r="69" ht="66" customHeight="1">
      <x:c r="A69" s="4" t="str">
        <x:v>BAN-01721</x:v>
      </x:c>
      <x:c r="B69" s="4" t="str">
        <x:v>sebagian banjir sudah surut di jakarta sebagian warga kembali ke rumahnya saat ini pengungsi 338 kakak dan 1317 jiwa lokasi pengungsi berada berada di 10 titik lokasi 7 titik di wilayah jakarta timur 2 titik di wilayah jakarta selatan dan 1 titik di wilayah jakarta barat</x:v>
      </x:c>
      <x:c r="C69" s="4" t="str">
        <x:v>FLOOD</x:v>
      </x:c>
      <x:c r="D69" s="4" t="str">
        <x:v>FLOOD</x:v>
      </x:c>
      <x:c r="E69" s="12" t="str">
        <x:v>SETUJU_USULAN</x:v>
      </x:c>
      <x:c r="F69" s="12" t="str"/>
      <x:c r="G69" s="12" t="str">
        <x:v>Narasi menyatakan kejadian banjir secara literal. Label mengikuti isi kejadian yang dirujuk. R1,R4.</x:v>
      </x:c>
      <x:c r="H69" s="4" t="str">
        <x:f>IF(E69="SETUJU_USULAN",D69,IF(E69="KOREKSI",F69,""))</x:f>
        <x:v>FLOOD</x:v>
      </x:c>
      <x:c r="I69" s="4" t="str">
        <x:f>IF(E69="","BELUM_DIREVIEW",IF(E69="TUNDA","DITUNDA",IF(TRIM(Panduan!$B$5)="","ISI_REVIEWER",IF(E69="KELUARKAN",IF(F69&lt;&gt;"","HAPUS_KOREKSI",IF(TRIM(G69)="","ISI_CATATAN","DIKECUALIKAN")),IF(AND(E69&lt;&gt;"SETUJU_USULAN",E69&lt;&gt;"KOREKSI"),"CEK_KEPUTUSAN",IF(AND(E69="SETUJU_USULAN",F69&lt;&gt;""),"HAPUS_KOREKSI",IF(H69="","ISI_KOREKSI",IF(NOT(OR(H69="FLOOD",H69="EARTHQUAKE",H69="FIRE",H69="ACCIDENT",H69="NON_EVENT")),"CEK_LABEL",IF(AND(E69="KOREKSI",TRIM(G69)=""),"ISI_CATATAN","REVIEW_TERCATAT")))))))))</x:f>
        <x:v>REVIEW_TERCATAT</x:v>
      </x:c>
      <x:c r="J69" s="4" t="str">
        <x:v>Klaim kejadian literal dengan lokasi/dampak/konteks yang disebut; label sumber dipertahankan sebagai usulan. R1,R2,R4,R6.</x:v>
      </x:c>
      <x:c r="K69" s="4" t="str">
        <x:v>KEC-01209</x:v>
      </x:c>
    </x:row>
    <x:row r="70" ht="64" customHeight="1">
      <x:c r="A70" s="4" t="str">
        <x:v>BAN-01743</x:v>
      </x:c>
      <x:c r="B70" s="4" t="str">
        <x:v>mensos : cegah banjir di bengkulu dengan pembangunan kanal</x:v>
      </x:c>
      <x:c r="C70" s="4" t="str">
        <x:v>NON_EVENT</x:v>
      </x:c>
      <x:c r="D70" s="4" t="str">
        <x:v>NON_EVENT</x:v>
      </x:c>
      <x:c r="E70" s="12" t="str">
        <x:v>SETUJU_USULAN</x:v>
      </x:c>
      <x:c r="F70" s="12" t="str"/>
      <x:c r="G70" s="12" t="str">
        <x:v>Rencana pembangunan kanal untuk pencegahan. R3.</x:v>
      </x:c>
      <x:c r="H70" s="4" t="str">
        <x:f>IF(E70="SETUJU_USULAN",D70,IF(E70="KOREKSI",F70,""))</x:f>
        <x:v>NON_EVENT</x:v>
      </x:c>
      <x:c r="I70" s="4" t="str">
        <x:f>IF(E70="","BELUM_DIREVIEW",IF(E70="TUNDA","DITUNDA",IF(TRIM(Panduan!$B$5)="","ISI_REVIEWER",IF(E70="KELUARKAN",IF(F70&lt;&gt;"","HAPUS_KOREKSI",IF(TRIM(G70)="","ISI_CATATAN","DIKECUALIKAN")),IF(AND(E70&lt;&gt;"SETUJU_USULAN",E70&lt;&gt;"KOREKSI"),"CEK_KEPUTUSAN",IF(AND(E70="SETUJU_USULAN",F70&lt;&gt;""),"HAPUS_KOREKSI",IF(H70="","ISI_KOREKSI",IF(NOT(OR(H70="FLOOD",H70="EARTHQUAKE",H70="FIRE",H70="ACCIDENT",H70="NON_EVENT")),"CEK_LABEL",IF(AND(E70="KOREKSI",TRIM(G70)=""),"ISI_CATATAN","REVIEW_TERCATAT")))))))))</x:f>
        <x:v>REVIEW_TERCATAT</x:v>
      </x:c>
      <x:c r="J70" s="4" t="str">
        <x:v>Rencana pembangunan kanal untuk pencegahan. R3.</x:v>
      </x:c>
      <x:c r="K70" s="4" t="str">
        <x:v>BAN-01074</x:v>
      </x:c>
    </x:row>
    <x:row r="71" ht="64" customHeight="1">
      <x:c r="A71" s="4" t="str">
        <x:v>BAN-01786</x:v>
      </x:c>
      <x:c r="B71" s="4" t="str">
        <x:v>tak perlu hujan untuk membuat sendu selat malaka cukup tambahkan mendung patah hati serta rindu yang cukup lalu lihatlah banjir di pelupuk sang wanita</x:v>
      </x:c>
      <x:c r="C71" s="4" t="str">
        <x:v>NON_EVENT</x:v>
      </x:c>
      <x:c r="D71" s="4" t="str">
        <x:v>NON_EVENT</x:v>
      </x:c>
      <x:c r="E71" s="12" t="str">
        <x:v>SETUJU_USULAN</x:v>
      </x:c>
      <x:c r="F71" s="12" t="str"/>
      <x:c r="G71" s="12" t="str">
        <x:v>Banjir di pelupuk mata merupakan kiasan kesedihan. R3.</x:v>
      </x:c>
      <x:c r="H71" s="4" t="str">
        <x:f>IF(E71="SETUJU_USULAN",D71,IF(E71="KOREKSI",F71,""))</x:f>
        <x:v>NON_EVENT</x:v>
      </x:c>
      <x:c r="I71" s="4" t="str">
        <x:f>IF(E71="","BELUM_DIREVIEW",IF(E71="TUNDA","DITUNDA",IF(TRIM(Panduan!$B$5)="","ISI_REVIEWER",IF(E71="KELUARKAN",IF(F71&lt;&gt;"","HAPUS_KOREKSI",IF(TRIM(G71)="","ISI_CATATAN","DIKECUALIKAN")),IF(AND(E71&lt;&gt;"SETUJU_USULAN",E71&lt;&gt;"KOREKSI"),"CEK_KEPUTUSAN",IF(AND(E71="SETUJU_USULAN",F71&lt;&gt;""),"HAPUS_KOREKSI",IF(H71="","ISI_KOREKSI",IF(NOT(OR(H71="FLOOD",H71="EARTHQUAKE",H71="FIRE",H71="ACCIDENT",H71="NON_EVENT")),"CEK_LABEL",IF(AND(E71="KOREKSI",TRIM(G71)=""),"ISI_CATATAN","REVIEW_TERCATAT")))))))))</x:f>
        <x:v>REVIEW_TERCATAT</x:v>
      </x:c>
      <x:c r="J71" s="4" t="str">
        <x:v>Banjir di pelupuk mata merupakan kiasan kesedihan. R3.</x:v>
      </x:c>
      <x:c r="K71" s="4" t="str">
        <x:v>BAN-01361</x:v>
      </x:c>
    </x:row>
    <x:row r="72" ht="64" customHeight="1">
      <x:c r="A72" s="4" t="str">
        <x:v>BAN-01825</x:v>
      </x:c>
      <x:c r="B72" s="4" t="str">
        <x:v>reposted from pemkomedan - wali kota medan drsht dzulmi eldin dihadiri wakil wali kota medan ir hakhyar nasution msi menghadiri rapat koordinasi penangan banjir di kota medan di kantor gubernur</x:v>
      </x:c>
      <x:c r="C72" s="4" t="str">
        <x:v>NON_EVENT</x:v>
      </x:c>
      <x:c r="D72" s="4" t="str">
        <x:v>NON_EVENT</x:v>
      </x:c>
      <x:c r="E72" s="12" t="str">
        <x:v>SETUJU_USULAN</x:v>
      </x:c>
      <x:c r="F72" s="12" t="str"/>
      <x:c r="G72" s="12" t="str">
        <x:v>Rapat koordinasi penanganan membahas topik banjir; teks tidak menyatakan satu kejadian telah terjadi. R3,R5.</x:v>
      </x:c>
      <x:c r="H72" s="4" t="str">
        <x:f>IF(E72="SETUJU_USULAN",D72,IF(E72="KOREKSI",F72,""))</x:f>
        <x:v>NON_EVENT</x:v>
      </x:c>
      <x:c r="I72" s="4" t="str">
        <x:f>IF(E72="","BELUM_DIREVIEW",IF(E72="TUNDA","DITUNDA",IF(TRIM(Panduan!$B$5)="","ISI_REVIEWER",IF(E72="KELUARKAN",IF(F72&lt;&gt;"","HAPUS_KOREKSI",IF(TRIM(G72)="","ISI_CATATAN","DIKECUALIKAN")),IF(AND(E72&lt;&gt;"SETUJU_USULAN",E72&lt;&gt;"KOREKSI"),"CEK_KEPUTUSAN",IF(AND(E72="SETUJU_USULAN",F72&lt;&gt;""),"HAPUS_KOREKSI",IF(H72="","ISI_KOREKSI",IF(NOT(OR(H72="FLOOD",H72="EARTHQUAKE",H72="FIRE",H72="ACCIDENT",H72="NON_EVENT")),"CEK_LABEL",IF(AND(E72="KOREKSI",TRIM(G72)=""),"ISI_CATATAN","REVIEW_TERCATAT")))))))))</x:f>
        <x:v>REVIEW_TERCATAT</x:v>
      </x:c>
      <x:c r="J72" s="4" t="str">
        <x:v>Rapat koordinasi penanganan membahas topik banjir; teks tidak menyatakan satu kejadian telah terjadi. Periksa pembacaan ini saat review. R3,R5.</x:v>
      </x:c>
      <x:c r="K72" s="4" t="str">
        <x:v>KEB-00910</x:v>
      </x:c>
    </x:row>
    <x:row r="73" ht="64" customHeight="1">
      <x:c r="A73" s="4" t="str">
        <x:v>BAN-01850</x:v>
      </x:c>
      <x:c r="B73" s="4" t="str">
        <x:v>banjir di konawe utara rendam 13 desa</x:v>
      </x:c>
      <x:c r="C73" s="4" t="str">
        <x:v>FLOOD</x:v>
      </x:c>
      <x:c r="D73" s="4" t="str">
        <x:v>FLOOD</x:v>
      </x:c>
      <x:c r="E73" s="12" t="str">
        <x:v>SETUJU_USULAN</x:v>
      </x:c>
      <x:c r="F73" s="12" t="str"/>
      <x:c r="G73" s="12" t="str">
        <x:v>Narasi menyatakan kejadian banjir secara literal. Label mengikuti isi kejadian yang dirujuk. R1,R4.</x:v>
      </x:c>
      <x:c r="H73" s="4" t="str">
        <x:f>IF(E73="SETUJU_USULAN",D73,IF(E73="KOREKSI",F73,""))</x:f>
        <x:v>FLOOD</x:v>
      </x:c>
      <x:c r="I73" s="4" t="str">
        <x:f>IF(E73="","BELUM_DIREVIEW",IF(E73="TUNDA","DITUNDA",IF(TRIM(Panduan!$B$5)="","ISI_REVIEWER",IF(E73="KELUARKAN",IF(F73&lt;&gt;"","HAPUS_KOREKSI",IF(TRIM(G73)="","ISI_CATATAN","DIKECUALIKAN")),IF(AND(E73&lt;&gt;"SETUJU_USULAN",E73&lt;&gt;"KOREKSI"),"CEK_KEPUTUSAN",IF(AND(E73="SETUJU_USULAN",F73&lt;&gt;""),"HAPUS_KOREKSI",IF(H73="","ISI_KOREKSI",IF(NOT(OR(H73="FLOOD",H73="EARTHQUAKE",H73="FIRE",H73="ACCIDENT",H73="NON_EVENT")),"CEK_LABEL",IF(AND(E73="KOREKSI",TRIM(G73)=""),"ISI_CATATAN","REVIEW_TERCATAT")))))))))</x:f>
        <x:v>REVIEW_TERCATAT</x:v>
      </x:c>
      <x:c r="J73" s="4" t="str">
        <x:v>Klaim kejadian literal dengan lokasi/dampak/konteks yang disebut; label sumber dipertahankan sebagai usulan. R1,R2,R4,R6.</x:v>
      </x:c>
      <x:c r="K73" s="4" t="str">
        <x:v>BAN-01945</x:v>
      </x:c>
    </x:row>
    <x:row r="74" ht="66" customHeight="1">
      <x:c r="A74" s="4" t="str">
        <x:v>GEM-01201</x:v>
      </x:c>
      <x:c r="B74" s="4" t="str">
        <x:v>gempa bumi &amp; tsunami di negara barat = bala '' dari tuhan gempa bumi &amp; tsunami di negara islam = `` ujian '' dari tuhan ini tonight 's vim article ahmad reza highlights the hypocrisy of some malaysians who just love playing god cc :</x:v>
      </x:c>
      <x:c r="C74" s="4" t="str">
        <x:v>NON_EVENT</x:v>
      </x:c>
      <x:c r="D74" s="4" t="str">
        <x:v>NON_EVENT</x:v>
      </x:c>
      <x:c r="E74" s="12" t="str">
        <x:v>SETUJU_USULAN</x:v>
      </x:c>
      <x:c r="F74" s="12" t="str"/>
      <x:c r="G74" s="12" t="str">
        <x:v>Perbandingan pandangan agama tentang gempa bersifat umum, tanpa kejadian tertentu. R3.</x:v>
      </x:c>
      <x:c r="H74" s="4" t="str">
        <x:f>IF(E74="SETUJU_USULAN",D74,IF(E74="KOREKSI",F74,""))</x:f>
        <x:v>NON_EVENT</x:v>
      </x:c>
      <x:c r="I74" s="4" t="str">
        <x:f>IF(E74="","BELUM_DIREVIEW",IF(E74="TUNDA","DITUNDA",IF(TRIM(Panduan!$B$5)="","ISI_REVIEWER",IF(E74="KELUARKAN",IF(F74&lt;&gt;"","HAPUS_KOREKSI",IF(TRIM(G74)="","ISI_CATATAN","DIKECUALIKAN")),IF(AND(E74&lt;&gt;"SETUJU_USULAN",E74&lt;&gt;"KOREKSI"),"CEK_KEPUTUSAN",IF(AND(E74="SETUJU_USULAN",F74&lt;&gt;""),"HAPUS_KOREKSI",IF(H74="","ISI_KOREKSI",IF(NOT(OR(H74="FLOOD",H74="EARTHQUAKE",H74="FIRE",H74="ACCIDENT",H74="NON_EVENT")),"CEK_LABEL",IF(AND(E74="KOREKSI",TRIM(G74)=""),"ISI_CATATAN","REVIEW_TERCATAT")))))))))</x:f>
        <x:v>REVIEW_TERCATAT</x:v>
      </x:c>
      <x:c r="J74" s="4" t="str">
        <x:v>Perbandingan pandangan agama tentang gempa bersifat umum, tanpa kejadian tertentu. R3.</x:v>
      </x:c>
      <x:c r="K74" s="4" t="str">
        <x:v>GEM-01439</x:v>
      </x:c>
    </x:row>
    <x:row r="75" ht="64" customHeight="1">
      <x:c r="A75" s="4" t="str">
        <x:v>GEM-01202</x:v>
      </x:c>
      <x:c r="B75" s="4" t="str">
        <x:v>jika gempa bumi karena maksiat kenapa tidak terjadi di negara kafir ?</x:v>
      </x:c>
      <x:c r="C75" s="4" t="str">
        <x:v>NON_EVENT</x:v>
      </x:c>
      <x:c r="D75" s="4" t="str">
        <x:v>NON_EVENT</x:v>
      </x:c>
      <x:c r="E75" s="12" t="str">
        <x:v>SETUJU_USULAN</x:v>
      </x:c>
      <x:c r="F75" s="12" t="str"/>
      <x:c r="G75" s="12" t="str">
        <x:v>Pertanyaan bersyarat tentang maksiat dan gempa tanpa kejadian tertentu. R3.</x:v>
      </x:c>
      <x:c r="H75" s="4" t="str">
        <x:f>IF(E75="SETUJU_USULAN",D75,IF(E75="KOREKSI",F75,""))</x:f>
        <x:v>NON_EVENT</x:v>
      </x:c>
      <x:c r="I75" s="4" t="str">
        <x:f>IF(E75="","BELUM_DIREVIEW",IF(E75="TUNDA","DITUNDA",IF(TRIM(Panduan!$B$5)="","ISI_REVIEWER",IF(E75="KELUARKAN",IF(F75&lt;&gt;"","HAPUS_KOREKSI",IF(TRIM(G75)="","ISI_CATATAN","DIKECUALIKAN")),IF(AND(E75&lt;&gt;"SETUJU_USULAN",E75&lt;&gt;"KOREKSI"),"CEK_KEPUTUSAN",IF(AND(E75="SETUJU_USULAN",F75&lt;&gt;""),"HAPUS_KOREKSI",IF(H75="","ISI_KOREKSI",IF(NOT(OR(H75="FLOOD",H75="EARTHQUAKE",H75="FIRE",H75="ACCIDENT",H75="NON_EVENT")),"CEK_LABEL",IF(AND(E75="KOREKSI",TRIM(G75)=""),"ISI_CATATAN","REVIEW_TERCATAT")))))))))</x:f>
        <x:v>REVIEW_TERCATAT</x:v>
      </x:c>
      <x:c r="J75" s="4" t="str">
        <x:v>Pertanyaan bersyarat tentang maksiat dan gempa tanpa kejadian tertentu. R3.</x:v>
      </x:c>
      <x:c r="K75" s="4" t="str">
        <x:v>GEM-01439</x:v>
      </x:c>
    </x:row>
    <x:row r="76" ht="64" customHeight="1">
      <x:c r="A76" s="4" t="str">
        <x:v>GEM-01215</x:v>
      </x:c>
      <x:c r="B76" s="4" t="str">
        <x:v>bnpb mencatat jumlah korban meninggal dunia dalam bencana gempa bumi tsunami dan likuifaksi di sulawesi tengah mencapai 2086 jiwa</x:v>
      </x:c>
      <x:c r="C76" s="4" t="str">
        <x:v>EARTHQUAKE</x:v>
      </x:c>
      <x:c r="D76" s="4" t="str">
        <x:v>EARTHQUAKE</x:v>
      </x:c>
      <x:c r="E76" s="12" t="str">
        <x:v>SETUJU_USULAN</x:v>
      </x:c>
      <x:c r="F76" s="12" t="str"/>
      <x:c r="G76" s="12" t="str">
        <x:v>Narasi menyatakan kejadian gempa bumi secara literal. Label mengikuti isi kejadian yang dirujuk. R1,R4.</x:v>
      </x:c>
      <x:c r="H76" s="4" t="str">
        <x:f>IF(E76="SETUJU_USULAN",D76,IF(E76="KOREKSI",F76,""))</x:f>
        <x:v>EARTHQUAKE</x:v>
      </x:c>
      <x:c r="I76" s="4" t="str">
        <x:f>IF(E76="","BELUM_DIREVIEW",IF(E76="TUNDA","DITUNDA",IF(TRIM(Panduan!$B$5)="","ISI_REVIEWER",IF(E76="KELUARKAN",IF(F76&lt;&gt;"","HAPUS_KOREKSI",IF(TRIM(G76)="","ISI_CATATAN","DIKECUALIKAN")),IF(AND(E76&lt;&gt;"SETUJU_USULAN",E76&lt;&gt;"KOREKSI"),"CEK_KEPUTUSAN",IF(AND(E76="SETUJU_USULAN",F76&lt;&gt;""),"HAPUS_KOREKSI",IF(H76="","ISI_KOREKSI",IF(NOT(OR(H76="FLOOD",H76="EARTHQUAKE",H76="FIRE",H76="ACCIDENT",H76="NON_EVENT")),"CEK_LABEL",IF(AND(E76="KOREKSI",TRIM(G76)=""),"ISI_CATATAN","REVIEW_TERCATAT")))))))))</x:f>
        <x:v>REVIEW_TERCATAT</x:v>
      </x:c>
      <x:c r="J76" s="4" t="str">
        <x:v>Klaim kejadian literal dengan lokasi/dampak/konteks yang disebut; label sumber dipertahankan sebagai usulan. R1,R2,R4,R6.</x:v>
      </x:c>
      <x:c r="K76" s="4" t="str">
        <x:v>BAN-01316</x:v>
      </x:c>
    </x:row>
    <x:row r="77" ht="64" customHeight="1">
      <x:c r="A77" s="4" t="str">
        <x:v>GEM-01248</x:v>
      </x:c>
      <x:c r="B77" s="4" t="str">
        <x:v>gempa bumi di timur laut kobisonta</x:v>
      </x:c>
      <x:c r="C77" s="4" t="str">
        <x:v>EARTHQUAKE</x:v>
      </x:c>
      <x:c r="D77" s="4" t="str">
        <x:v>EARTHQUAKE</x:v>
      </x:c>
      <x:c r="E77" s="12" t="str">
        <x:v>SETUJU_USULAN</x:v>
      </x:c>
      <x:c r="F77" s="12" t="str"/>
      <x:c r="G77" s="12" t="str">
        <x:v>Narasi menyatakan kejadian gempa bumi secara literal. Label mengikuti isi kejadian yang dirujuk. R1,R4.</x:v>
      </x:c>
      <x:c r="H77" s="4" t="str">
        <x:f>IF(E77="SETUJU_USULAN",D77,IF(E77="KOREKSI",F77,""))</x:f>
        <x:v>EARTHQUAKE</x:v>
      </x:c>
      <x:c r="I77" s="4" t="str">
        <x:f>IF(E77="","BELUM_DIREVIEW",IF(E77="TUNDA","DITUNDA",IF(TRIM(Panduan!$B$5)="","ISI_REVIEWER",IF(E77="KELUARKAN",IF(F77&lt;&gt;"","HAPUS_KOREKSI",IF(TRIM(G77)="","ISI_CATATAN","DIKECUALIKAN")),IF(AND(E77&lt;&gt;"SETUJU_USULAN",E77&lt;&gt;"KOREKSI"),"CEK_KEPUTUSAN",IF(AND(E77="SETUJU_USULAN",F77&lt;&gt;""),"HAPUS_KOREKSI",IF(H77="","ISI_KOREKSI",IF(NOT(OR(H77="FLOOD",H77="EARTHQUAKE",H77="FIRE",H77="ACCIDENT",H77="NON_EVENT")),"CEK_LABEL",IF(AND(E77="KOREKSI",TRIM(G77)=""),"ISI_CATATAN","REVIEW_TERCATAT")))))))))</x:f>
        <x:v>REVIEW_TERCATAT</x:v>
      </x:c>
      <x:c r="J77" s="4" t="str">
        <x:v>Klaim kejadian literal dengan lokasi/dampak/konteks yang disebut; label sumber dipertahankan sebagai usulan. R1,R2,R4,R6.</x:v>
      </x:c>
      <x:c r="K77" s="4" t="str">
        <x:v>GEM-01439</x:v>
      </x:c>
    </x:row>
    <x:row r="78" ht="64" customHeight="1">
      <x:c r="A78" s="4" t="str">
        <x:v>GEM-01381</x:v>
      </x:c>
      <x:c r="B78" s="4" t="str">
        <x:v>video saat berlakunya gempa bumi likuifaksi dan tsunami di palu indonesia</x:v>
      </x:c>
      <x:c r="C78" s="4" t="str">
        <x:v>EARTHQUAKE</x:v>
      </x:c>
      <x:c r="D78" s="4" t="str">
        <x:v>EARTHQUAKE</x:v>
      </x:c>
      <x:c r="E78" s="12" t="str">
        <x:v>SETUJU_USULAN</x:v>
      </x:c>
      <x:c r="F78" s="12" t="str"/>
      <x:c r="G78" s="12" t="str">
        <x:v>Narasi menyatakan kejadian gempa bumi secara literal. Label mengikuti isi kejadian yang dirujuk. R1,R4.</x:v>
      </x:c>
      <x:c r="H78" s="4" t="str">
        <x:f>IF(E78="SETUJU_USULAN",D78,IF(E78="KOREKSI",F78,""))</x:f>
        <x:v>EARTHQUAKE</x:v>
      </x:c>
      <x:c r="I78" s="4" t="str">
        <x:f>IF(E78="","BELUM_DIREVIEW",IF(E78="TUNDA","DITUNDA",IF(TRIM(Panduan!$B$5)="","ISI_REVIEWER",IF(E78="KELUARKAN",IF(F78&lt;&gt;"","HAPUS_KOREKSI",IF(TRIM(G78)="","ISI_CATATAN","DIKECUALIKAN")),IF(AND(E78&lt;&gt;"SETUJU_USULAN",E78&lt;&gt;"KOREKSI"),"CEK_KEPUTUSAN",IF(AND(E78="SETUJU_USULAN",F78&lt;&gt;""),"HAPUS_KOREKSI",IF(H78="","ISI_KOREKSI",IF(NOT(OR(H78="FLOOD",H78="EARTHQUAKE",H78="FIRE",H78="ACCIDENT",H78="NON_EVENT")),"CEK_LABEL",IF(AND(E78="KOREKSI",TRIM(G78)=""),"ISI_CATATAN","REVIEW_TERCATAT")))))))))</x:f>
        <x:v>REVIEW_TERCATAT</x:v>
      </x:c>
      <x:c r="J78" s="4" t="str">
        <x:v>Klaim kejadian literal dengan lokasi/dampak/konteks yang disebut; label sumber dipertahankan sebagai usulan. R1,R2,R4,R6.</x:v>
      </x:c>
      <x:c r="K78" s="4" t="str">
        <x:v>GEM-01317</x:v>
      </x:c>
    </x:row>
    <x:row r="79" ht="64" customHeight="1">
      <x:c r="A79" s="4" t="str">
        <x:v>GEM-01474</x:v>
      </x:c>
      <x:c r="B79" s="4" t="str">
        <x:v>hari ini terjadi dua gempa bumi di wilayah indonesia pertama di lombok dan kedua di wilayah sulawesi utara</x:v>
      </x:c>
      <x:c r="C79" s="4" t="str">
        <x:v>EARTHQUAKE</x:v>
      </x:c>
      <x:c r="D79" s="4" t="str">
        <x:v>EARTHQUAKE</x:v>
      </x:c>
      <x:c r="E79" s="12" t="str">
        <x:v>SETUJU_USULAN</x:v>
      </x:c>
      <x:c r="F79" s="12" t="str"/>
      <x:c r="G79" s="12" t="str">
        <x:v>Narasi menyatakan kejadian gempa bumi secara literal. Label mengikuti isi kejadian yang dirujuk. R1,R4.</x:v>
      </x:c>
      <x:c r="H79" s="4" t="str">
        <x:f>IF(E79="SETUJU_USULAN",D79,IF(E79="KOREKSI",F79,""))</x:f>
        <x:v>EARTHQUAKE</x:v>
      </x:c>
      <x:c r="I79" s="4" t="str">
        <x:f>IF(E79="","BELUM_DIREVIEW",IF(E79="TUNDA","DITUNDA",IF(TRIM(Panduan!$B$5)="","ISI_REVIEWER",IF(E79="KELUARKAN",IF(F79&lt;&gt;"","HAPUS_KOREKSI",IF(TRIM(G79)="","ISI_CATATAN","DIKECUALIKAN")),IF(AND(E79&lt;&gt;"SETUJU_USULAN",E79&lt;&gt;"KOREKSI"),"CEK_KEPUTUSAN",IF(AND(E79="SETUJU_USULAN",F79&lt;&gt;""),"HAPUS_KOREKSI",IF(H79="","ISI_KOREKSI",IF(NOT(OR(H79="FLOOD",H79="EARTHQUAKE",H79="FIRE",H79="ACCIDENT",H79="NON_EVENT")),"CEK_LABEL",IF(AND(E79="KOREKSI",TRIM(G79)=""),"ISI_CATATAN","REVIEW_TERCATAT")))))))))</x:f>
        <x:v>REVIEW_TERCATAT</x:v>
      </x:c>
      <x:c r="J79" s="4" t="str">
        <x:v>Klaim kejadian literal dengan lokasi/dampak/konteks yang disebut; label sumber dipertahankan sebagai usulan. R1,R2,R4,R6.</x:v>
      </x:c>
      <x:c r="K79" s="4" t="str">
        <x:v>KEC-01209</x:v>
      </x:c>
    </x:row>
    <x:row r="80" ht="64" customHeight="1">
      <x:c r="A80" s="4" t="str">
        <x:v>GEM-01535</x:v>
      </x:c>
      <x:c r="B80" s="4" t="str">
        <x:v>hari ini gempa bumi di indonesia menyambangi wilayah mamasa dan aceh tengah</x:v>
      </x:c>
      <x:c r="C80" s="4" t="str">
        <x:v>EARTHQUAKE</x:v>
      </x:c>
      <x:c r="D80" s="4" t="str">
        <x:v>EARTHQUAKE</x:v>
      </x:c>
      <x:c r="E80" s="12" t="str">
        <x:v>SETUJU_USULAN</x:v>
      </x:c>
      <x:c r="F80" s="12" t="str"/>
      <x:c r="G80" s="12" t="str">
        <x:v>Narasi menyatakan kejadian gempa bumi secara literal. Label mengikuti isi kejadian yang dirujuk. R1,R4.</x:v>
      </x:c>
      <x:c r="H80" s="4" t="str">
        <x:f>IF(E80="SETUJU_USULAN",D80,IF(E80="KOREKSI",F80,""))</x:f>
        <x:v>EARTHQUAKE</x:v>
      </x:c>
      <x:c r="I80" s="4" t="str">
        <x:f>IF(E80="","BELUM_DIREVIEW",IF(E80="TUNDA","DITUNDA",IF(TRIM(Panduan!$B$5)="","ISI_REVIEWER",IF(E80="KELUARKAN",IF(F80&lt;&gt;"","HAPUS_KOREKSI",IF(TRIM(G80)="","ISI_CATATAN","DIKECUALIKAN")),IF(AND(E80&lt;&gt;"SETUJU_USULAN",E80&lt;&gt;"KOREKSI"),"CEK_KEPUTUSAN",IF(AND(E80="SETUJU_USULAN",F80&lt;&gt;""),"HAPUS_KOREKSI",IF(H80="","ISI_KOREKSI",IF(NOT(OR(H80="FLOOD",H80="EARTHQUAKE",H80="FIRE",H80="ACCIDENT",H80="NON_EVENT")),"CEK_LABEL",IF(AND(E80="KOREKSI",TRIM(G80)=""),"ISI_CATATAN","REVIEW_TERCATAT")))))))))</x:f>
        <x:v>REVIEW_TERCATAT</x:v>
      </x:c>
      <x:c r="J80" s="4" t="str">
        <x:v>Klaim kejadian literal dengan lokasi/dampak/konteks yang disebut; label sumber dipertahankan sebagai usulan. R1,R2,R4,R6.</x:v>
      </x:c>
      <x:c r="K80" s="4" t="str">
        <x:v>GEM-01439</x:v>
      </x:c>
    </x:row>
    <x:row r="81" ht="64" customHeight="1">
      <x:c r="A81" s="4" t="str">
        <x:v>GEM-01589</x:v>
      </x:c>
      <x:c r="B81" s="4" t="str">
        <x:v>gempa 3 0 sr guncang gunung anak krakatau terjadi gempa bumi di gunung anak krak</x:v>
      </x:c>
      <x:c r="C81" s="4" t="str">
        <x:v>EARTHQUAKE</x:v>
      </x:c>
      <x:c r="D81" s="4" t="str">
        <x:v>EARTHQUAKE</x:v>
      </x:c>
      <x:c r="E81" s="12" t="str">
        <x:v>SETUJU_USULAN</x:v>
      </x:c>
      <x:c r="F81" s="12" t="str"/>
      <x:c r="G81" s="12" t="str">
        <x:v>Narasi menyatakan kejadian gempa bumi secara literal. Label mengikuti isi kejadian yang dirujuk. R1,R4.</x:v>
      </x:c>
      <x:c r="H81" s="4" t="str">
        <x:f>IF(E81="SETUJU_USULAN",D81,IF(E81="KOREKSI",F81,""))</x:f>
        <x:v>EARTHQUAKE</x:v>
      </x:c>
      <x:c r="I81" s="4" t="str">
        <x:f>IF(E81="","BELUM_DIREVIEW",IF(E81="TUNDA","DITUNDA",IF(TRIM(Panduan!$B$5)="","ISI_REVIEWER",IF(E81="KELUARKAN",IF(F81&lt;&gt;"","HAPUS_KOREKSI",IF(TRIM(G81)="","ISI_CATATAN","DIKECUALIKAN")),IF(AND(E81&lt;&gt;"SETUJU_USULAN",E81&lt;&gt;"KOREKSI"),"CEK_KEPUTUSAN",IF(AND(E81="SETUJU_USULAN",F81&lt;&gt;""),"HAPUS_KOREKSI",IF(H81="","ISI_KOREKSI",IF(NOT(OR(H81="FLOOD",H81="EARTHQUAKE",H81="FIRE",H81="ACCIDENT",H81="NON_EVENT")),"CEK_LABEL",IF(AND(E81="KOREKSI",TRIM(G81)=""),"ISI_CATATAN","REVIEW_TERCATAT")))))))))</x:f>
        <x:v>REVIEW_TERCATAT</x:v>
      </x:c>
      <x:c r="J81" s="4" t="str">
        <x:v>Klaim kejadian literal dengan lokasi/dampak/konteks yang disebut; label sumber dipertahankan sebagai usulan. R1,R2,R4,R6.</x:v>
      </x:c>
      <x:c r="K81" s="4" t="str">
        <x:v>BAN-01074</x:v>
      </x:c>
    </x:row>
    <x:row r="82" ht="64" customHeight="1">
      <x:c r="A82" s="4" t="str">
        <x:v>KEB-00270</x:v>
      </x:c>
      <x:c r="B82" s="4" t="str">
        <x:v>kebakaran di belakang kantor wali kota solok</x:v>
      </x:c>
      <x:c r="C82" s="4" t="str">
        <x:v>FIRE</x:v>
      </x:c>
      <x:c r="D82" s="4" t="str">
        <x:v>FIRE</x:v>
      </x:c>
      <x:c r="E82" s="12" t="str">
        <x:v>SETUJU_USULAN</x:v>
      </x:c>
      <x:c r="F82" s="12" t="str"/>
      <x:c r="G82" s="12" t="str">
        <x:v>Narasi menyatakan kejadian kebakaran secara literal. Label mengikuti isi kejadian yang dirujuk. R1,R4.</x:v>
      </x:c>
      <x:c r="H82" s="4" t="str">
        <x:f>IF(E82="SETUJU_USULAN",D82,IF(E82="KOREKSI",F82,""))</x:f>
        <x:v>FIRE</x:v>
      </x:c>
      <x:c r="I82" s="4" t="str">
        <x:f>IF(E82="","BELUM_DIREVIEW",IF(E82="TUNDA","DITUNDA",IF(TRIM(Panduan!$B$5)="","ISI_REVIEWER",IF(E82="KELUARKAN",IF(F82&lt;&gt;"","HAPUS_KOREKSI",IF(TRIM(G82)="","ISI_CATATAN","DIKECUALIKAN")),IF(AND(E82&lt;&gt;"SETUJU_USULAN",E82&lt;&gt;"KOREKSI"),"CEK_KEPUTUSAN",IF(AND(E82="SETUJU_USULAN",F82&lt;&gt;""),"HAPUS_KOREKSI",IF(H82="","ISI_KOREKSI",IF(NOT(OR(H82="FLOOD",H82="EARTHQUAKE",H82="FIRE",H82="ACCIDENT",H82="NON_EVENT")),"CEK_LABEL",IF(AND(E82="KOREKSI",TRIM(G82)=""),"ISI_CATATAN","REVIEW_TERCATAT")))))))))</x:f>
        <x:v>REVIEW_TERCATAT</x:v>
      </x:c>
      <x:c r="J82" s="4" t="str">
        <x:v>Klaim kejadian literal dengan lokasi/dampak/konteks yang disebut; label sumber dipertahankan sebagai usulan. R1,R2,R4,R6.</x:v>
      </x:c>
      <x:c r="K82" s="4" t="str">
        <x:v>KEB-00910</x:v>
      </x:c>
    </x:row>
    <x:row r="83" ht="64" customHeight="1">
      <x:c r="A83" s="4" t="str">
        <x:v>KEB-00277</x:v>
      </x:c>
      <x:c r="B83" s="4" t="str">
        <x:v>polsek jayapura selatan dalami kasus kebakaran di hamadi</x:v>
      </x:c>
      <x:c r="C83" s="4" t="str">
        <x:v>FIRE</x:v>
      </x:c>
      <x:c r="D83" s="4" t="str">
        <x:v>FIRE</x:v>
      </x:c>
      <x:c r="E83" s="12" t="str">
        <x:v>SETUJU_USULAN</x:v>
      </x:c>
      <x:c r="F83" s="12" t="str"/>
      <x:c r="G83" s="12" t="str">
        <x:v>Narasi menyatakan kejadian kebakaran secara literal. Label mengikuti isi kejadian yang dirujuk. R1,R4.</x:v>
      </x:c>
      <x:c r="H83" s="4" t="str">
        <x:f>IF(E83="SETUJU_USULAN",D83,IF(E83="KOREKSI",F83,""))</x:f>
        <x:v>FIRE</x:v>
      </x:c>
      <x:c r="I83" s="4" t="str">
        <x:f>IF(E83="","BELUM_DIREVIEW",IF(E83="TUNDA","DITUNDA",IF(TRIM(Panduan!$B$5)="","ISI_REVIEWER",IF(E83="KELUARKAN",IF(F83&lt;&gt;"","HAPUS_KOREKSI",IF(TRIM(G83)="","ISI_CATATAN","DIKECUALIKAN")),IF(AND(E83&lt;&gt;"SETUJU_USULAN",E83&lt;&gt;"KOREKSI"),"CEK_KEPUTUSAN",IF(AND(E83="SETUJU_USULAN",F83&lt;&gt;""),"HAPUS_KOREKSI",IF(H83="","ISI_KOREKSI",IF(NOT(OR(H83="FLOOD",H83="EARTHQUAKE",H83="FIRE",H83="ACCIDENT",H83="NON_EVENT")),"CEK_LABEL",IF(AND(E83="KOREKSI",TRIM(G83)=""),"ISI_CATATAN","REVIEW_TERCATAT")))))))))</x:f>
        <x:v>REVIEW_TERCATAT</x:v>
      </x:c>
      <x:c r="J83" s="4" t="str">
        <x:v>Klaim kejadian literal dengan lokasi/dampak/konteks yang disebut; label sumber dipertahankan sebagai usulan. R1,R2,R4,R6.</x:v>
      </x:c>
      <x:c r="K83" s="4" t="str">
        <x:v>KEB-00402</x:v>
      </x:c>
    </x:row>
    <x:row r="84" ht="64" customHeight="1">
      <x:c r="A84" s="4" t="str">
        <x:v>KEB-00306</x:v>
      </x:c>
      <x:c r="B84" s="4" t="str">
        <x:v>jumat , 27 maret 2020 | 4.57 kebakaran kabel listrik yg lelehan mengenai sebuah ruko di jl . martadinata rt.1/rw . 2 , kel . kotalama , kec . kedungkandang , kota malang</x:v>
      </x:c>
      <x:c r="C84" s="4" t="str">
        <x:v>FIRE</x:v>
      </x:c>
      <x:c r="D84" s="4" t="str">
        <x:v>FIRE</x:v>
      </x:c>
      <x:c r="E84" s="12" t="str">
        <x:v>SETUJU_USULAN</x:v>
      </x:c>
      <x:c r="F84" s="12" t="str"/>
      <x:c r="G84" s="12" t="str">
        <x:v>Narasi menyatakan kejadian kebakaran secara literal. Label mengikuti isi kejadian yang dirujuk. R1,R4.</x:v>
      </x:c>
      <x:c r="H84" s="4" t="str">
        <x:f>IF(E84="SETUJU_USULAN",D84,IF(E84="KOREKSI",F84,""))</x:f>
        <x:v>FIRE</x:v>
      </x:c>
      <x:c r="I84" s="4" t="str">
        <x:f>IF(E84="","BELUM_DIREVIEW",IF(E84="TUNDA","DITUNDA",IF(TRIM(Panduan!$B$5)="","ISI_REVIEWER",IF(E84="KELUARKAN",IF(F84&lt;&gt;"","HAPUS_KOREKSI",IF(TRIM(G84)="","ISI_CATATAN","DIKECUALIKAN")),IF(AND(E84&lt;&gt;"SETUJU_USULAN",E84&lt;&gt;"KOREKSI"),"CEK_KEPUTUSAN",IF(AND(E84="SETUJU_USULAN",F84&lt;&gt;""),"HAPUS_KOREKSI",IF(H84="","ISI_KOREKSI",IF(NOT(OR(H84="FLOOD",H84="EARTHQUAKE",H84="FIRE",H84="ACCIDENT",H84="NON_EVENT")),"CEK_LABEL",IF(AND(E84="KOREKSI",TRIM(G84)=""),"ISI_CATATAN","REVIEW_TERCATAT")))))))))</x:f>
        <x:v>REVIEW_TERCATAT</x:v>
      </x:c>
      <x:c r="J84" s="4" t="str">
        <x:v>Klaim kejadian literal dengan lokasi/dampak/konteks yang disebut; label sumber dipertahankan sebagai usulan. R1,R2,R4,R6.</x:v>
      </x:c>
      <x:c r="K84" s="4" t="str">
        <x:v>KEB-01100</x:v>
      </x:c>
    </x:row>
    <x:row r="85" ht="64" customHeight="1">
      <x:c r="A85" s="4" t="str">
        <x:v>KEB-00350</x:v>
      </x:c>
      <x:c r="B85" s="4" t="str">
        <x:v>kebakaran hutan dan lahan di aceh harus diwaspadai |</x:v>
      </x:c>
      <x:c r="C85" s="4" t="str">
        <x:v>NON_EVENT</x:v>
      </x:c>
      <x:c r="D85" s="4" t="str">
        <x:v>NON_EVENT</x:v>
      </x:c>
      <x:c r="E85" s="12" t="str">
        <x:v>SETUJU_USULAN</x:v>
      </x:c>
      <x:c r="F85" s="12" t="str"/>
      <x:c r="G85" s="12" t="str">
        <x:v>Imbauan mewaspadai karhutla, tanpa klaim kejadian tertentu. R3.</x:v>
      </x:c>
      <x:c r="H85" s="4" t="str">
        <x:f>IF(E85="SETUJU_USULAN",D85,IF(E85="KOREKSI",F85,""))</x:f>
        <x:v>NON_EVENT</x:v>
      </x:c>
      <x:c r="I85" s="4" t="str">
        <x:f>IF(E85="","BELUM_DIREVIEW",IF(E85="TUNDA","DITUNDA",IF(TRIM(Panduan!$B$5)="","ISI_REVIEWER",IF(E85="KELUARKAN",IF(F85&lt;&gt;"","HAPUS_KOREKSI",IF(TRIM(G85)="","ISI_CATATAN","DIKECUALIKAN")),IF(AND(E85&lt;&gt;"SETUJU_USULAN",E85&lt;&gt;"KOREKSI"),"CEK_KEPUTUSAN",IF(AND(E85="SETUJU_USULAN",F85&lt;&gt;""),"HAPUS_KOREKSI",IF(H85="","ISI_KOREKSI",IF(NOT(OR(H85="FLOOD",H85="EARTHQUAKE",H85="FIRE",H85="ACCIDENT",H85="NON_EVENT")),"CEK_LABEL",IF(AND(E85="KOREKSI",TRIM(G85)=""),"ISI_CATATAN","REVIEW_TERCATAT")))))))))</x:f>
        <x:v>REVIEW_TERCATAT</x:v>
      </x:c>
      <x:c r="J85" s="4" t="str">
        <x:v>Imbauan mewaspadai karhutla, tanpa klaim kejadian tertentu. R3.</x:v>
      </x:c>
      <x:c r="K85" s="4" t="str">
        <x:v>KEB-00573</x:v>
      </x:c>
    </x:row>
    <x:row r="86" ht="64" customHeight="1">
      <x:c r="A86" s="4" t="str">
        <x:v>KEB-00365</x:v>
      </x:c>
      <x:c r="B86" s="4" t="str">
        <x:v>kebakaran rumah di pasar satelit kota lubuklinggau sumatera selatan .</x:v>
      </x:c>
      <x:c r="C86" s="4" t="str">
        <x:v>FIRE</x:v>
      </x:c>
      <x:c r="D86" s="4" t="str">
        <x:v>FIRE</x:v>
      </x:c>
      <x:c r="E86" s="12" t="str">
        <x:v>SETUJU_USULAN</x:v>
      </x:c>
      <x:c r="F86" s="12" t="str"/>
      <x:c r="G86" s="12" t="str">
        <x:v>Narasi menyatakan kejadian kebakaran secara literal. Label mengikuti isi kejadian yang dirujuk. R1,R4.</x:v>
      </x:c>
      <x:c r="H86" s="4" t="str">
        <x:f>IF(E86="SETUJU_USULAN",D86,IF(E86="KOREKSI",F86,""))</x:f>
        <x:v>FIRE</x:v>
      </x:c>
      <x:c r="I86" s="4" t="str">
        <x:f>IF(E86="","BELUM_DIREVIEW",IF(E86="TUNDA","DITUNDA",IF(TRIM(Panduan!$B$5)="","ISI_REVIEWER",IF(E86="KELUARKAN",IF(F86&lt;&gt;"","HAPUS_KOREKSI",IF(TRIM(G86)="","ISI_CATATAN","DIKECUALIKAN")),IF(AND(E86&lt;&gt;"SETUJU_USULAN",E86&lt;&gt;"KOREKSI"),"CEK_KEPUTUSAN",IF(AND(E86="SETUJU_USULAN",F86&lt;&gt;""),"HAPUS_KOREKSI",IF(H86="","ISI_KOREKSI",IF(NOT(OR(H86="FLOOD",H86="EARTHQUAKE",H86="FIRE",H86="ACCIDENT",H86="NON_EVENT")),"CEK_LABEL",IF(AND(E86="KOREKSI",TRIM(G86)=""),"ISI_CATATAN","REVIEW_TERCATAT")))))))))</x:f>
        <x:v>REVIEW_TERCATAT</x:v>
      </x:c>
      <x:c r="J86" s="4" t="str">
        <x:v>Klaim kejadian literal dengan lokasi/dampak/konteks yang disebut; label sumber dipertahankan sebagai usulan. R1,R2,R4,R6.</x:v>
      </x:c>
      <x:c r="K86" s="4" t="str">
        <x:v>BAN-01073</x:v>
      </x:c>
    </x:row>
    <x:row r="87" ht="64" customHeight="1">
      <x:c r="A87" s="4" t="str">
        <x:v>KEB-00448</x:v>
      </x:c>
      <x:c r="B87" s="4" t="str">
        <x:v>kebakaran di hotel tabita sentani tak sampai memakan korban jiwa . namun api melahap bangunan yang belum jadi tersebut .</x:v>
      </x:c>
      <x:c r="C87" s="4" t="str">
        <x:v>FIRE</x:v>
      </x:c>
      <x:c r="D87" s="4" t="str">
        <x:v>FIRE</x:v>
      </x:c>
      <x:c r="E87" s="12" t="str">
        <x:v>SETUJU_USULAN</x:v>
      </x:c>
      <x:c r="F87" s="12" t="str"/>
      <x:c r="G87" s="12" t="str">
        <x:v>Narasi menyatakan kejadian kebakaran secara literal. Label mengikuti isi kejadian yang dirujuk. R1,R4.</x:v>
      </x:c>
      <x:c r="H87" s="4" t="str">
        <x:f>IF(E87="SETUJU_USULAN",D87,IF(E87="KOREKSI",F87,""))</x:f>
        <x:v>FIRE</x:v>
      </x:c>
      <x:c r="I87" s="4" t="str">
        <x:f>IF(E87="","BELUM_DIREVIEW",IF(E87="TUNDA","DITUNDA",IF(TRIM(Panduan!$B$5)="","ISI_REVIEWER",IF(E87="KELUARKAN",IF(F87&lt;&gt;"","HAPUS_KOREKSI",IF(TRIM(G87)="","ISI_CATATAN","DIKECUALIKAN")),IF(AND(E87&lt;&gt;"SETUJU_USULAN",E87&lt;&gt;"KOREKSI"),"CEK_KEPUTUSAN",IF(AND(E87="SETUJU_USULAN",F87&lt;&gt;""),"HAPUS_KOREKSI",IF(H87="","ISI_KOREKSI",IF(NOT(OR(H87="FLOOD",H87="EARTHQUAKE",H87="FIRE",H87="ACCIDENT",H87="NON_EVENT")),"CEK_LABEL",IF(AND(E87="KOREKSI",TRIM(G87)=""),"ISI_CATATAN","REVIEW_TERCATAT")))))))))</x:f>
        <x:v>REVIEW_TERCATAT</x:v>
      </x:c>
      <x:c r="J87" s="4" t="str">
        <x:v>Klaim kejadian literal dengan lokasi/dampak/konteks yang disebut; label sumber dipertahankan sebagai usulan. R1,R2,R4,R6.</x:v>
      </x:c>
      <x:c r="K87" s="4" t="str">
        <x:v>KEB-00364</x:v>
      </x:c>
    </x:row>
    <x:row r="88" ht="64" customHeight="1">
      <x:c r="A88" s="4" t="str">
        <x:v>KEB-00465</x:v>
      </x:c>
      <x:c r="B88" s="4" t="str">
        <x:v>cuaca terik dan angin menyulitkan pemadaman kebakaran lahan di aceh .</x:v>
      </x:c>
      <x:c r="C88" s="4" t="str">
        <x:v>FIRE</x:v>
      </x:c>
      <x:c r="D88" s="4" t="str">
        <x:v>FIRE</x:v>
      </x:c>
      <x:c r="E88" s="12" t="str">
        <x:v>SETUJU_USULAN</x:v>
      </x:c>
      <x:c r="F88" s="12" t="str"/>
      <x:c r="G88" s="12" t="str">
        <x:v>Narasi menyatakan kejadian kebakaran secara literal. Label mengikuti isi kejadian yang dirujuk. R1,R4.</x:v>
      </x:c>
      <x:c r="H88" s="4" t="str">
        <x:f>IF(E88="SETUJU_USULAN",D88,IF(E88="KOREKSI",F88,""))</x:f>
        <x:v>FIRE</x:v>
      </x:c>
      <x:c r="I88" s="4" t="str">
        <x:f>IF(E88="","BELUM_DIREVIEW",IF(E88="TUNDA","DITUNDA",IF(TRIM(Panduan!$B$5)="","ISI_REVIEWER",IF(E88="KELUARKAN",IF(F88&lt;&gt;"","HAPUS_KOREKSI",IF(TRIM(G88)="","ISI_CATATAN","DIKECUALIKAN")),IF(AND(E88&lt;&gt;"SETUJU_USULAN",E88&lt;&gt;"KOREKSI"),"CEK_KEPUTUSAN",IF(AND(E88="SETUJU_USULAN",F88&lt;&gt;""),"HAPUS_KOREKSI",IF(H88="","ISI_KOREKSI",IF(NOT(OR(H88="FLOOD",H88="EARTHQUAKE",H88="FIRE",H88="ACCIDENT",H88="NON_EVENT")),"CEK_LABEL",IF(AND(E88="KOREKSI",TRIM(G88)=""),"ISI_CATATAN","REVIEW_TERCATAT")))))))))</x:f>
        <x:v>REVIEW_TERCATAT</x:v>
      </x:c>
      <x:c r="J88" s="4" t="str">
        <x:v>Klaim kejadian literal dengan lokasi/dampak/konteks yang disebut; label sumber dipertahankan sebagai usulan. R1,R2,R4,R6.</x:v>
      </x:c>
      <x:c r="K88" s="4" t="str">
        <x:v>BAN-01361, KEB-00573</x:v>
      </x:c>
    </x:row>
    <x:row r="89" ht="66" customHeight="1">
      <x:c r="A89" s="4" t="str">
        <x:v>KEB-00500</x:v>
      </x:c>
      <x:c r="B89" s="4" t="str">
        <x:v>iya sama , awalnya juga gasuka sama yg berseragam . namun setelah punya temen dan kenal mereka yg berseragam ternyata seru asik dan enak diajak ngonrol dan berbagi pengalaman di lapangan , itu yg bikin gua kagum sama para pemadam kebakaran di tempat gua tinggal .</x:v>
      </x:c>
      <x:c r="C89" s="4" t="str">
        <x:v>NON_EVENT</x:v>
      </x:c>
      <x:c r="D89" s="4" t="str">
        <x:v>NON_EVENT</x:v>
      </x:c>
      <x:c r="E89" s="12" t="str">
        <x:v>SETUJU_USULAN</x:v>
      </x:c>
      <x:c r="F89" s="12" t="str"/>
      <x:c r="G89" s="12" t="str">
        <x:v>Pendapat mengenai profesi pemadam tanpa uraian satu kebakaran. R3.</x:v>
      </x:c>
      <x:c r="H89" s="4" t="str">
        <x:f>IF(E89="SETUJU_USULAN",D89,IF(E89="KOREKSI",F89,""))</x:f>
        <x:v>NON_EVENT</x:v>
      </x:c>
      <x:c r="I89" s="4" t="str">
        <x:f>IF(E89="","BELUM_DIREVIEW",IF(E89="TUNDA","DITUNDA",IF(TRIM(Panduan!$B$5)="","ISI_REVIEWER",IF(E89="KELUARKAN",IF(F89&lt;&gt;"","HAPUS_KOREKSI",IF(TRIM(G89)="","ISI_CATATAN","DIKECUALIKAN")),IF(AND(E89&lt;&gt;"SETUJU_USULAN",E89&lt;&gt;"KOREKSI"),"CEK_KEPUTUSAN",IF(AND(E89="SETUJU_USULAN",F89&lt;&gt;""),"HAPUS_KOREKSI",IF(H89="","ISI_KOREKSI",IF(NOT(OR(H89="FLOOD",H89="EARTHQUAKE",H89="FIRE",H89="ACCIDENT",H89="NON_EVENT")),"CEK_LABEL",IF(AND(E89="KOREKSI",TRIM(G89)=""),"ISI_CATATAN","REVIEW_TERCATAT")))))))))</x:f>
        <x:v>REVIEW_TERCATAT</x:v>
      </x:c>
      <x:c r="J89" s="4" t="str">
        <x:v>Pendapat mengenai profesi pemadam tanpa uraian satu kebakaran. R3.</x:v>
      </x:c>
      <x:c r="K89" s="4" t="str">
        <x:v>KEB-01086</x:v>
      </x:c>
    </x:row>
    <x:row r="90" ht="64" customHeight="1">
      <x:c r="A90" s="4" t="str">
        <x:v>KEB-00579</x:v>
      </x:c>
      <x:c r="B90" s="4" t="str">
        <x:v>kebakaran di pasar juwiring klaten , gan .</x:v>
      </x:c>
      <x:c r="C90" s="4" t="str">
        <x:v>FIRE</x:v>
      </x:c>
      <x:c r="D90" s="4" t="str">
        <x:v>FIRE</x:v>
      </x:c>
      <x:c r="E90" s="12" t="str">
        <x:v>SETUJU_USULAN</x:v>
      </x:c>
      <x:c r="F90" s="12" t="str"/>
      <x:c r="G90" s="12" t="str">
        <x:v>Narasi menyatakan kejadian kebakaran secara literal. Label mengikuti isi kejadian yang dirujuk. R1,R4.</x:v>
      </x:c>
      <x:c r="H90" s="4" t="str">
        <x:f>IF(E90="SETUJU_USULAN",D90,IF(E90="KOREKSI",F90,""))</x:f>
        <x:v>FIRE</x:v>
      </x:c>
      <x:c r="I90" s="4" t="str">
        <x:f>IF(E90="","BELUM_DIREVIEW",IF(E90="TUNDA","DITUNDA",IF(TRIM(Panduan!$B$5)="","ISI_REVIEWER",IF(E90="KELUARKAN",IF(F90&lt;&gt;"","HAPUS_KOREKSI",IF(TRIM(G90)="","ISI_CATATAN","DIKECUALIKAN")),IF(AND(E90&lt;&gt;"SETUJU_USULAN",E90&lt;&gt;"KOREKSI"),"CEK_KEPUTUSAN",IF(AND(E90="SETUJU_USULAN",F90&lt;&gt;""),"HAPUS_KOREKSI",IF(H90="","ISI_KOREKSI",IF(NOT(OR(H90="FLOOD",H90="EARTHQUAKE",H90="FIRE",H90="ACCIDENT",H90="NON_EVENT")),"CEK_LABEL",IF(AND(E90="KOREKSI",TRIM(G90)=""),"ISI_CATATAN","REVIEW_TERCATAT")))))))))</x:f>
        <x:v>REVIEW_TERCATAT</x:v>
      </x:c>
      <x:c r="J90" s="4" t="str">
        <x:v>Klaim kejadian literal dengan lokasi/dampak/konteks yang disebut; label sumber dipertahankan sebagai usulan. R1,R2,R4,R6.</x:v>
      </x:c>
      <x:c r="K90" s="4" t="str">
        <x:v>BAN-01073, KEB-00388</x:v>
      </x:c>
    </x:row>
    <x:row r="91" ht="64" customHeight="1">
      <x:c r="A91" s="4" t="str">
        <x:v>KEB-00581</x:v>
      </x:c>
      <x:c r="B91" s="4" t="str">
        <x:v>3.34 : kebakaran di jl . mangga besar raya , jakarta pusat ( titik kenal rs . husada ) , saat ini dalam proses pemadaman . via</x:v>
      </x:c>
      <x:c r="C91" s="4" t="str">
        <x:v>FIRE</x:v>
      </x:c>
      <x:c r="D91" s="4" t="str">
        <x:v>FIRE</x:v>
      </x:c>
      <x:c r="E91" s="12" t="str">
        <x:v>SETUJU_USULAN</x:v>
      </x:c>
      <x:c r="F91" s="12" t="str"/>
      <x:c r="G91" s="12" t="str">
        <x:v>Narasi menyatakan kejadian kebakaran secara literal. Label mengikuti isi kejadian yang dirujuk. R1,R4.</x:v>
      </x:c>
      <x:c r="H91" s="4" t="str">
        <x:f>IF(E91="SETUJU_USULAN",D91,IF(E91="KOREKSI",F91,""))</x:f>
        <x:v>FIRE</x:v>
      </x:c>
      <x:c r="I91" s="4" t="str">
        <x:f>IF(E91="","BELUM_DIREVIEW",IF(E91="TUNDA","DITUNDA",IF(TRIM(Panduan!$B$5)="","ISI_REVIEWER",IF(E91="KELUARKAN",IF(F91&lt;&gt;"","HAPUS_KOREKSI",IF(TRIM(G91)="","ISI_CATATAN","DIKECUALIKAN")),IF(AND(E91&lt;&gt;"SETUJU_USULAN",E91&lt;&gt;"KOREKSI"),"CEK_KEPUTUSAN",IF(AND(E91="SETUJU_USULAN",F91&lt;&gt;""),"HAPUS_KOREKSI",IF(H91="","ISI_KOREKSI",IF(NOT(OR(H91="FLOOD",H91="EARTHQUAKE",H91="FIRE",H91="ACCIDENT",H91="NON_EVENT")),"CEK_LABEL",IF(AND(E91="KOREKSI",TRIM(G91)=""),"ISI_CATATAN","REVIEW_TERCATAT")))))))))</x:f>
        <x:v>REVIEW_TERCATAT</x:v>
      </x:c>
      <x:c r="J91" s="4" t="str">
        <x:v>Klaim kejadian literal dengan lokasi/dampak/konteks yang disebut; label sumber dipertahankan sebagai usulan. R1,R2,R4,R6.</x:v>
      </x:c>
      <x:c r="K91" s="4" t="str">
        <x:v>KEB-00388</x:v>
      </x:c>
    </x:row>
    <x:row r="92" ht="64" customHeight="1">
      <x:c r="A92" s="4" t="str">
        <x:v>KEB-00586</x:v>
      </x:c>
      <x:c r="B92" s="4" t="str">
        <x:v>damkar banda aceh : cara sederhana menanggulangi kebakaran di rumah</x:v>
      </x:c>
      <x:c r="C92" s="4" t="str">
        <x:v>NON_EVENT</x:v>
      </x:c>
      <x:c r="D92" s="4" t="str">
        <x:v>NON_EVENT</x:v>
      </x:c>
      <x:c r="E92" s="12" t="str">
        <x:v>SETUJU_USULAN</x:v>
      </x:c>
      <x:c r="F92" s="12" t="str"/>
      <x:c r="G92" s="12" t="str">
        <x:v>Informasi cara menanggulangi kebakaran secara umum. R3.</x:v>
      </x:c>
      <x:c r="H92" s="4" t="str">
        <x:f>IF(E92="SETUJU_USULAN",D92,IF(E92="KOREKSI",F92,""))</x:f>
        <x:v>NON_EVENT</x:v>
      </x:c>
      <x:c r="I92" s="4" t="str">
        <x:f>IF(E92="","BELUM_DIREVIEW",IF(E92="TUNDA","DITUNDA",IF(TRIM(Panduan!$B$5)="","ISI_REVIEWER",IF(E92="KELUARKAN",IF(F92&lt;&gt;"","HAPUS_KOREKSI",IF(TRIM(G92)="","ISI_CATATAN","DIKECUALIKAN")),IF(AND(E92&lt;&gt;"SETUJU_USULAN",E92&lt;&gt;"KOREKSI"),"CEK_KEPUTUSAN",IF(AND(E92="SETUJU_USULAN",F92&lt;&gt;""),"HAPUS_KOREKSI",IF(H92="","ISI_KOREKSI",IF(NOT(OR(H92="FLOOD",H92="EARTHQUAKE",H92="FIRE",H92="ACCIDENT",H92="NON_EVENT")),"CEK_LABEL",IF(AND(E92="KOREKSI",TRIM(G92)=""),"ISI_CATATAN","REVIEW_TERCATAT")))))))))</x:f>
        <x:v>REVIEW_TERCATAT</x:v>
      </x:c>
      <x:c r="J92" s="4" t="str">
        <x:v>Informasi cara menanggulangi kebakaran secara umum. R3.</x:v>
      </x:c>
      <x:c r="K92" s="4" t="str">
        <x:v>KEB-00598</x:v>
      </x:c>
    </x:row>
    <x:row r="93" ht="64" customHeight="1">
      <x:c r="A93" s="4" t="str">
        <x:v>KEB-00588</x:v>
      </x:c>
      <x:c r="B93" s="4" t="str">
        <x:v>para pelaku kebakaran hutan dan lahan di bontang , catatan hingga juli 2020 ada 26 kasus</x:v>
      </x:c>
      <x:c r="C93" s="4" t="str">
        <x:v>NON_EVENT</x:v>
      </x:c>
      <x:c r="D93" s="4" t="str">
        <x:v>NON_EVENT</x:v>
      </x:c>
      <x:c r="E93" s="12" t="str">
        <x:v>SETUJU_USULAN</x:v>
      </x:c>
      <x:c r="F93" s="12" t="str"/>
      <x:c r="G93" s="12" t="str">
        <x:v>Agregat 26 kasus sampai Juli 2020, bukan uraian satu kebakaran. R3.</x:v>
      </x:c>
      <x:c r="H93" s="4" t="str">
        <x:f>IF(E93="SETUJU_USULAN",D93,IF(E93="KOREKSI",F93,""))</x:f>
        <x:v>NON_EVENT</x:v>
      </x:c>
      <x:c r="I93" s="4" t="str">
        <x:f>IF(E93="","BELUM_DIREVIEW",IF(E93="TUNDA","DITUNDA",IF(TRIM(Panduan!$B$5)="","ISI_REVIEWER",IF(E93="KELUARKAN",IF(F93&lt;&gt;"","HAPUS_KOREKSI",IF(TRIM(G93)="","ISI_CATATAN","DIKECUALIKAN")),IF(AND(E93&lt;&gt;"SETUJU_USULAN",E93&lt;&gt;"KOREKSI"),"CEK_KEPUTUSAN",IF(AND(E93="SETUJU_USULAN",F93&lt;&gt;""),"HAPUS_KOREKSI",IF(H93="","ISI_KOREKSI",IF(NOT(OR(H93="FLOOD",H93="EARTHQUAKE",H93="FIRE",H93="ACCIDENT",H93="NON_EVENT")),"CEK_LABEL",IF(AND(E93="KOREKSI",TRIM(G93)=""),"ISI_CATATAN","REVIEW_TERCATAT")))))))))</x:f>
        <x:v>REVIEW_TERCATAT</x:v>
      </x:c>
      <x:c r="J93" s="4" t="str">
        <x:v>Agregat 26 kasus sampai Juli 2020, bukan uraian satu kebakaran. R3.</x:v>
      </x:c>
      <x:c r="K93" s="4" t="str">
        <x:v>KEB-01086</x:v>
      </x:c>
    </x:row>
    <x:row r="94" ht="64" customHeight="1">
      <x:c r="A94" s="4" t="str">
        <x:v>KEB-00590</x:v>
      </x:c>
      <x:c r="B94" s="4" t="str">
        <x:v>diskominfo banda aceh : kebakaran rumah di gampong lampisang , dpkp banda aceh turunkan mobil damkar</x:v>
      </x:c>
      <x:c r="C94" s="4" t="str">
        <x:v>FIRE</x:v>
      </x:c>
      <x:c r="D94" s="4" t="str">
        <x:v>FIRE</x:v>
      </x:c>
      <x:c r="E94" s="12" t="str">
        <x:v>SETUJU_USULAN</x:v>
      </x:c>
      <x:c r="F94" s="12" t="str"/>
      <x:c r="G94" s="12" t="str">
        <x:v>Narasi menyatakan kejadian kebakaran secara literal. Label mengikuti isi kejadian yang dirujuk. R1,R4.</x:v>
      </x:c>
      <x:c r="H94" s="4" t="str">
        <x:f>IF(E94="SETUJU_USULAN",D94,IF(E94="KOREKSI",F94,""))</x:f>
        <x:v>FIRE</x:v>
      </x:c>
      <x:c r="I94" s="4" t="str">
        <x:f>IF(E94="","BELUM_DIREVIEW",IF(E94="TUNDA","DITUNDA",IF(TRIM(Panduan!$B$5)="","ISI_REVIEWER",IF(E94="KELUARKAN",IF(F94&lt;&gt;"","HAPUS_KOREKSI",IF(TRIM(G94)="","ISI_CATATAN","DIKECUALIKAN")),IF(AND(E94&lt;&gt;"SETUJU_USULAN",E94&lt;&gt;"KOREKSI"),"CEK_KEPUTUSAN",IF(AND(E94="SETUJU_USULAN",F94&lt;&gt;""),"HAPUS_KOREKSI",IF(H94="","ISI_KOREKSI",IF(NOT(OR(H94="FLOOD",H94="EARTHQUAKE",H94="FIRE",H94="ACCIDENT",H94="NON_EVENT")),"CEK_LABEL",IF(AND(E94="KOREKSI",TRIM(G94)=""),"ISI_CATATAN","REVIEW_TERCATAT")))))))))</x:f>
        <x:v>REVIEW_TERCATAT</x:v>
      </x:c>
      <x:c r="J94" s="4" t="str">
        <x:v>Klaim kejadian literal dengan lokasi/dampak/konteks yang disebut; label sumber dipertahankan sebagai usulan. R1,R2,R4,R6.</x:v>
      </x:c>
      <x:c r="K94" s="4" t="str">
        <x:v>KEB-00598</x:v>
      </x:c>
    </x:row>
    <x:row r="95" ht="66" customHeight="1">
      <x:c r="A95" s="4" t="str">
        <x:v>KEB-00617</x:v>
      </x:c>
      <x:c r="B95" s="4" t="str">
        <x:v>datangi korban rumah terbakar di maulafa , wali kota beri bantuan kupang , rnc - wali kota kupang , dr . jefirstson r . riwu kore , mm , mh . , mengunjungi korban kebakaran rumah di rt 19/rw 18 , kelurahan maulafa , kecamatan maulafa , jumat ( 24/7/2020 ) . wali kota</x:v>
      </x:c>
      <x:c r="C95" s="4" t="str">
        <x:v>FIRE</x:v>
      </x:c>
      <x:c r="D95" s="4" t="str">
        <x:v>FIRE</x:v>
      </x:c>
      <x:c r="E95" s="12" t="str">
        <x:v>SETUJU_USULAN</x:v>
      </x:c>
      <x:c r="F95" s="12" t="str"/>
      <x:c r="G95" s="12" t="str">
        <x:v>Narasi menyatakan kejadian kebakaran secara literal. Label mengikuti isi kejadian yang dirujuk. R1,R4.</x:v>
      </x:c>
      <x:c r="H95" s="4" t="str">
        <x:f>IF(E95="SETUJU_USULAN",D95,IF(E95="KOREKSI",F95,""))</x:f>
        <x:v>FIRE</x:v>
      </x:c>
      <x:c r="I95" s="4" t="str">
        <x:f>IF(E95="","BELUM_DIREVIEW",IF(E95="TUNDA","DITUNDA",IF(TRIM(Panduan!$B$5)="","ISI_REVIEWER",IF(E95="KELUARKAN",IF(F95&lt;&gt;"","HAPUS_KOREKSI",IF(TRIM(G95)="","ISI_CATATAN","DIKECUALIKAN")),IF(AND(E95&lt;&gt;"SETUJU_USULAN",E95&lt;&gt;"KOREKSI"),"CEK_KEPUTUSAN",IF(AND(E95="SETUJU_USULAN",F95&lt;&gt;""),"HAPUS_KOREKSI",IF(H95="","ISI_KOREKSI",IF(NOT(OR(H95="FLOOD",H95="EARTHQUAKE",H95="FIRE",H95="ACCIDENT",H95="NON_EVENT")),"CEK_LABEL",IF(AND(E95="KOREKSI",TRIM(G95)=""),"ISI_CATATAN","REVIEW_TERCATAT")))))))))</x:f>
        <x:v>REVIEW_TERCATAT</x:v>
      </x:c>
      <x:c r="J95" s="4" t="str">
        <x:v>Klaim kejadian literal dengan lokasi/dampak/konteks yang disebut; label sumber dipertahankan sebagai usulan. R1,R2,R4,R6.</x:v>
      </x:c>
      <x:c r="K95" s="4" t="str">
        <x:v>KEB-00910</x:v>
      </x:c>
    </x:row>
    <x:row r="96" ht="64" customHeight="1">
      <x:c r="A96" s="4" t="str">
        <x:v>KEB-00693</x:v>
      </x:c>
      <x:c r="B96" s="4" t="str">
        <x:v>kebakaran lahan di ogan ilir .</x:v>
      </x:c>
      <x:c r="C96" s="4" t="str">
        <x:v>FIRE</x:v>
      </x:c>
      <x:c r="D96" s="4" t="str">
        <x:v>FIRE</x:v>
      </x:c>
      <x:c r="E96" s="12" t="str">
        <x:v>SETUJU_USULAN</x:v>
      </x:c>
      <x:c r="F96" s="12" t="str"/>
      <x:c r="G96" s="12" t="str">
        <x:v>Narasi menyatakan kejadian kebakaran secara literal. Label mengikuti isi kejadian yang dirujuk. R1,R4.</x:v>
      </x:c>
      <x:c r="H96" s="4" t="str">
        <x:f>IF(E96="SETUJU_USULAN",D96,IF(E96="KOREKSI",F96,""))</x:f>
        <x:v>FIRE</x:v>
      </x:c>
      <x:c r="I96" s="4" t="str">
        <x:f>IF(E96="","BELUM_DIREVIEW",IF(E96="TUNDA","DITUNDA",IF(TRIM(Panduan!$B$5)="","ISI_REVIEWER",IF(E96="KELUARKAN",IF(F96&lt;&gt;"","HAPUS_KOREKSI",IF(TRIM(G96)="","ISI_CATATAN","DIKECUALIKAN")),IF(AND(E96&lt;&gt;"SETUJU_USULAN",E96&lt;&gt;"KOREKSI"),"CEK_KEPUTUSAN",IF(AND(E96="SETUJU_USULAN",F96&lt;&gt;""),"HAPUS_KOREKSI",IF(H96="","ISI_KOREKSI",IF(NOT(OR(H96="FLOOD",H96="EARTHQUAKE",H96="FIRE",H96="ACCIDENT",H96="NON_EVENT")),"CEK_LABEL",IF(AND(E96="KOREKSI",TRIM(G96)=""),"ISI_CATATAN","REVIEW_TERCATAT")))))))))</x:f>
        <x:v>REVIEW_TERCATAT</x:v>
      </x:c>
      <x:c r="J96" s="4" t="str">
        <x:v>Klaim kejadian literal dengan lokasi/dampak/konteks yang disebut; label sumber dipertahankan sebagai usulan. R1,R2,R4,R6.</x:v>
      </x:c>
      <x:c r="K96" s="4" t="str">
        <x:v>KEB-00573</x:v>
      </x:c>
    </x:row>
    <x:row r="97" ht="64" customHeight="1">
      <x:c r="A97" s="4" t="str">
        <x:v>KEB-00694</x:v>
      </x:c>
      <x:c r="B97" s="4" t="str">
        <x:v>kantor nya kebakaran di pekanbaru</x:v>
      </x:c>
      <x:c r="C97" s="4" t="str">
        <x:v>FIRE</x:v>
      </x:c>
      <x:c r="D97" s="4" t="str">
        <x:v>FIRE</x:v>
      </x:c>
      <x:c r="E97" s="12" t="str">
        <x:v>SETUJU_USULAN</x:v>
      </x:c>
      <x:c r="F97" s="12" t="str"/>
      <x:c r="G97" s="12" t="str">
        <x:v>Narasi menyatakan kejadian kebakaran secara literal. Label mengikuti isi kejadian yang dirujuk. R1,R4.</x:v>
      </x:c>
      <x:c r="H97" s="4" t="str">
        <x:f>IF(E97="SETUJU_USULAN",D97,IF(E97="KOREKSI",F97,""))</x:f>
        <x:v>FIRE</x:v>
      </x:c>
      <x:c r="I97" s="4" t="str">
        <x:f>IF(E97="","BELUM_DIREVIEW",IF(E97="TUNDA","DITUNDA",IF(TRIM(Panduan!$B$5)="","ISI_REVIEWER",IF(E97="KELUARKAN",IF(F97&lt;&gt;"","HAPUS_KOREKSI",IF(TRIM(G97)="","ISI_CATATAN","DIKECUALIKAN")),IF(AND(E97&lt;&gt;"SETUJU_USULAN",E97&lt;&gt;"KOREKSI"),"CEK_KEPUTUSAN",IF(AND(E97="SETUJU_USULAN",F97&lt;&gt;""),"HAPUS_KOREKSI",IF(H97="","ISI_KOREKSI",IF(NOT(OR(H97="FLOOD",H97="EARTHQUAKE",H97="FIRE",H97="ACCIDENT",H97="NON_EVENT")),"CEK_LABEL",IF(AND(E97="KOREKSI",TRIM(G97)=""),"ISI_CATATAN","REVIEW_TERCATAT")))))))))</x:f>
        <x:v>REVIEW_TERCATAT</x:v>
      </x:c>
      <x:c r="J97" s="4" t="str">
        <x:v>Klaim kejadian literal dengan lokasi/dampak/konteks yang disebut; label sumber dipertahankan sebagai usulan. R1,R2,R4,R6.</x:v>
      </x:c>
      <x:c r="K97" s="4" t="str">
        <x:v>KEB-00910</x:v>
      </x:c>
    </x:row>
    <x:row r="98" ht="64" customHeight="1">
      <x:c r="A98" s="4" t="str">
        <x:v>KEB-00786</x:v>
      </x:c>
      <x:c r="B98" s="4" t="str">
        <x:v>polisi selidiki penyebab kebakaran dua pasar di makassar</x:v>
      </x:c>
      <x:c r="C98" s="4" t="str">
        <x:v>FIRE</x:v>
      </x:c>
      <x:c r="D98" s="4" t="str">
        <x:v>FIRE</x:v>
      </x:c>
      <x:c r="E98" s="12" t="str">
        <x:v>SETUJU_USULAN</x:v>
      </x:c>
      <x:c r="F98" s="12" t="str"/>
      <x:c r="G98" s="12" t="str">
        <x:v>Narasi menyatakan kejadian kebakaran secara literal. Label mengikuti isi kejadian yang dirujuk. R1,R4.</x:v>
      </x:c>
      <x:c r="H98" s="4" t="str">
        <x:f>IF(E98="SETUJU_USULAN",D98,IF(E98="KOREKSI",F98,""))</x:f>
        <x:v>FIRE</x:v>
      </x:c>
      <x:c r="I98" s="4" t="str">
        <x:f>IF(E98="","BELUM_DIREVIEW",IF(E98="TUNDA","DITUNDA",IF(TRIM(Panduan!$B$5)="","ISI_REVIEWER",IF(E98="KELUARKAN",IF(F98&lt;&gt;"","HAPUS_KOREKSI",IF(TRIM(G98)="","ISI_CATATAN","DIKECUALIKAN")),IF(AND(E98&lt;&gt;"SETUJU_USULAN",E98&lt;&gt;"KOREKSI"),"CEK_KEPUTUSAN",IF(AND(E98="SETUJU_USULAN",F98&lt;&gt;""),"HAPUS_KOREKSI",IF(H98="","ISI_KOREKSI",IF(NOT(OR(H98="FLOOD",H98="EARTHQUAKE",H98="FIRE",H98="ACCIDENT",H98="NON_EVENT")),"CEK_LABEL",IF(AND(E98="KOREKSI",TRIM(G98)=""),"ISI_CATATAN","REVIEW_TERCATAT")))))))))</x:f>
        <x:v>REVIEW_TERCATAT</x:v>
      </x:c>
      <x:c r="J98" s="4" t="str">
        <x:v>Klaim kejadian literal dengan lokasi/dampak/konteks yang disebut; label sumber dipertahankan sebagai usulan. R1,R2,R4,R6.</x:v>
      </x:c>
      <x:c r="K98" s="4" t="str">
        <x:v>KEB-00789</x:v>
      </x:c>
    </x:row>
    <x:row r="99" ht="64" customHeight="1">
      <x:c r="A99" s="4" t="str">
        <x:v>KEB-00830</x:v>
      </x:c>
      <x:c r="B99" s="4" t="str">
        <x:v>kebakaran di bone , empat rumah warga hangus</x:v>
      </x:c>
      <x:c r="C99" s="4" t="str">
        <x:v>FIRE</x:v>
      </x:c>
      <x:c r="D99" s="4" t="str">
        <x:v>FIRE</x:v>
      </x:c>
      <x:c r="E99" s="12" t="str">
        <x:v>SETUJU_USULAN</x:v>
      </x:c>
      <x:c r="F99" s="12" t="str"/>
      <x:c r="G99" s="12" t="str">
        <x:v>Narasi menyatakan kejadian kebakaran secara literal. Label mengikuti isi kejadian yang dirujuk. R1,R4.</x:v>
      </x:c>
      <x:c r="H99" s="4" t="str">
        <x:f>IF(E99="SETUJU_USULAN",D99,IF(E99="KOREKSI",F99,""))</x:f>
        <x:v>FIRE</x:v>
      </x:c>
      <x:c r="I99" s="4" t="str">
        <x:f>IF(E99="","BELUM_DIREVIEW",IF(E99="TUNDA","DITUNDA",IF(TRIM(Panduan!$B$5)="","ISI_REVIEWER",IF(E99="KELUARKAN",IF(F99&lt;&gt;"","HAPUS_KOREKSI",IF(TRIM(G99)="","ISI_CATATAN","DIKECUALIKAN")),IF(AND(E99&lt;&gt;"SETUJU_USULAN",E99&lt;&gt;"KOREKSI"),"CEK_KEPUTUSAN",IF(AND(E99="SETUJU_USULAN",F99&lt;&gt;""),"HAPUS_KOREKSI",IF(H99="","ISI_KOREKSI",IF(NOT(OR(H99="FLOOD",H99="EARTHQUAKE",H99="FIRE",H99="ACCIDENT",H99="NON_EVENT")),"CEK_LABEL",IF(AND(E99="KOREKSI",TRIM(G99)=""),"ISI_CATATAN","REVIEW_TERCATAT")))))))))</x:f>
        <x:v>REVIEW_TERCATAT</x:v>
      </x:c>
      <x:c r="J99" s="4" t="str">
        <x:v>Klaim kejadian literal dengan lokasi/dampak/konteks yang disebut; label sumber dipertahankan sebagai usulan. R1,R2,R4,R6.</x:v>
      </x:c>
      <x:c r="K99" s="4" t="str">
        <x:v>KEB-00364</x:v>
      </x:c>
    </x:row>
    <x:row r="100" ht="64" customHeight="1">
      <x:c r="A100" s="4" t="str">
        <x:v>KEB-00868</x:v>
      </x:c>
      <x:c r="B100" s="4" t="str">
        <x:v>pasar baru bekasi terbakar , 13 unit damkar dikerahkan kebakaran terjadi di pasar</x:v>
      </x:c>
      <x:c r="C100" s="4" t="str">
        <x:v>FIRE</x:v>
      </x:c>
      <x:c r="D100" s="4" t="str">
        <x:v>FIRE</x:v>
      </x:c>
      <x:c r="E100" s="12" t="str">
        <x:v>SETUJU_USULAN</x:v>
      </x:c>
      <x:c r="F100" s="12" t="str"/>
      <x:c r="G100" s="12" t="str">
        <x:v>Narasi menyatakan kejadian kebakaran secara literal. Label mengikuti isi kejadian yang dirujuk. R1,R4.</x:v>
      </x:c>
      <x:c r="H100" s="4" t="str">
        <x:f>IF(E100="SETUJU_USULAN",D100,IF(E100="KOREKSI",F100,""))</x:f>
        <x:v>FIRE</x:v>
      </x:c>
      <x:c r="I100" s="4" t="str">
        <x:f>IF(E100="","BELUM_DIREVIEW",IF(E100="TUNDA","DITUNDA",IF(TRIM(Panduan!$B$5)="","ISI_REVIEWER",IF(E100="KELUARKAN",IF(F100&lt;&gt;"","HAPUS_KOREKSI",IF(TRIM(G100)="","ISI_CATATAN","DIKECUALIKAN")),IF(AND(E100&lt;&gt;"SETUJU_USULAN",E100&lt;&gt;"KOREKSI"),"CEK_KEPUTUSAN",IF(AND(E100="SETUJU_USULAN",F100&lt;&gt;""),"HAPUS_KOREKSI",IF(H100="","ISI_KOREKSI",IF(NOT(OR(H100="FLOOD",H100="EARTHQUAKE",H100="FIRE",H100="ACCIDENT",H100="NON_EVENT")),"CEK_LABEL",IF(AND(E100="KOREKSI",TRIM(G100)=""),"ISI_CATATAN","REVIEW_TERCATAT")))))))))</x:f>
        <x:v>REVIEW_TERCATAT</x:v>
      </x:c>
      <x:c r="J100" s="4" t="str">
        <x:v>Klaim kejadian literal dengan lokasi/dampak/konteks yang disebut; label sumber dipertahankan sebagai usulan. R1,R2,R4,R6.</x:v>
      </x:c>
      <x:c r="K100" s="4" t="str">
        <x:v>BAN-01073, KEB-00388</x:v>
      </x:c>
    </x:row>
    <x:row r="101" ht="64" customHeight="1">
      <x:c r="A101" s="4" t="str">
        <x:v>KEB-00872</x:v>
      </x:c>
      <x:c r="B101" s="4" t="str">
        <x:v>hingga saat ini , kebakaran hutan dan lahan ( karhutla ) di kawasan hutan lindung ilinmedo blidit , desa egon , kecamatan waigete , kabupaten sikka , nusa tenggara timur belum bisa dipadamkan .</x:v>
      </x:c>
      <x:c r="C101" s="4" t="str">
        <x:v>FIRE</x:v>
      </x:c>
      <x:c r="D101" s="4" t="str">
        <x:v>FIRE</x:v>
      </x:c>
      <x:c r="E101" s="12" t="str">
        <x:v>SETUJU_USULAN</x:v>
      </x:c>
      <x:c r="F101" s="12" t="str"/>
      <x:c r="G101" s="12" t="str">
        <x:v>Narasi menyatakan kejadian kebakaran secara literal. Label mengikuti isi kejadian yang dirujuk. R1,R4.</x:v>
      </x:c>
      <x:c r="H101" s="4" t="str">
        <x:f>IF(E101="SETUJU_USULAN",D101,IF(E101="KOREKSI",F101,""))</x:f>
        <x:v>FIRE</x:v>
      </x:c>
      <x:c r="I101" s="4" t="str">
        <x:f>IF(E101="","BELUM_DIREVIEW",IF(E101="TUNDA","DITUNDA",IF(TRIM(Panduan!$B$5)="","ISI_REVIEWER",IF(E101="KELUARKAN",IF(F101&lt;&gt;"","HAPUS_KOREKSI",IF(TRIM(G101)="","ISI_CATATAN","DIKECUALIKAN")),IF(AND(E101&lt;&gt;"SETUJU_USULAN",E101&lt;&gt;"KOREKSI"),"CEK_KEPUTUSAN",IF(AND(E101="SETUJU_USULAN",F101&lt;&gt;""),"HAPUS_KOREKSI",IF(H101="","ISI_KOREKSI",IF(NOT(OR(H101="FLOOD",H101="EARTHQUAKE",H101="FIRE",H101="ACCIDENT",H101="NON_EVENT")),"CEK_LABEL",IF(AND(E101="KOREKSI",TRIM(G101)=""),"ISI_CATATAN","REVIEW_TERCATAT")))))))))</x:f>
        <x:v>REVIEW_TERCATAT</x:v>
      </x:c>
      <x:c r="J101" s="4" t="str">
        <x:v>Klaim kejadian literal dengan lokasi/dampak/konteks yang disebut; label sumber dipertahankan sebagai usulan. R1,R2,R4,R6.</x:v>
      </x:c>
      <x:c r="K101" s="4" t="str">
        <x:v>KEB-00573</x:v>
      </x:c>
    </x:row>
    <x:row r="102" ht="66" customHeight="1">
      <x:c r="A102" s="4" t="str">
        <x:v>KEB-00891</x:v>
      </x:c>
      <x:c r="B102" s="4" t="str">
        <x:v>senin , 21/09/2020 pkl 21 telah terjadi kebakaran rumah sdr . supri dk . baran , rt . 13 , ds . doyong , kec miri , kab sragen . di duga akibat konsleting arus listrik , saat ini api sudah selesai dipadamkan oleh masyarakat , dinas pemadam kebakaran , bpbd kab . sragen , anggota koramil dan polsek</x:v>
      </x:c>
      <x:c r="C102" s="4" t="str">
        <x:v>FIRE</x:v>
      </x:c>
      <x:c r="D102" s="4" t="str">
        <x:v>FIRE</x:v>
      </x:c>
      <x:c r="E102" s="12" t="str">
        <x:v>SETUJU_USULAN</x:v>
      </x:c>
      <x:c r="F102" s="12" t="str"/>
      <x:c r="G102" s="12" t="str">
        <x:v>Narasi menyatakan kejadian kebakaran secara literal. Label mengikuti isi kejadian yang dirujuk. R1,R4.</x:v>
      </x:c>
      <x:c r="H102" s="4" t="str">
        <x:f>IF(E102="SETUJU_USULAN",D102,IF(E102="KOREKSI",F102,""))</x:f>
        <x:v>FIRE</x:v>
      </x:c>
      <x:c r="I102" s="4" t="str">
        <x:f>IF(E102="","BELUM_DIREVIEW",IF(E102="TUNDA","DITUNDA",IF(TRIM(Panduan!$B$5)="","ISI_REVIEWER",IF(E102="KELUARKAN",IF(F102&lt;&gt;"","HAPUS_KOREKSI",IF(TRIM(G102)="","ISI_CATATAN","DIKECUALIKAN")),IF(AND(E102&lt;&gt;"SETUJU_USULAN",E102&lt;&gt;"KOREKSI"),"CEK_KEPUTUSAN",IF(AND(E102="SETUJU_USULAN",F102&lt;&gt;""),"HAPUS_KOREKSI",IF(H102="","ISI_KOREKSI",IF(NOT(OR(H102="FLOOD",H102="EARTHQUAKE",H102="FIRE",H102="ACCIDENT",H102="NON_EVENT")),"CEK_LABEL",IF(AND(E102="KOREKSI",TRIM(G102)=""),"ISI_CATATAN","REVIEW_TERCATAT")))))))))</x:f>
        <x:v>REVIEW_TERCATAT</x:v>
      </x:c>
      <x:c r="J102" s="4" t="str">
        <x:v>Klaim kejadian literal dengan lokasi/dampak/konteks yang disebut; label sumber dipertahankan sebagai usulan. R1,R2,R4,R6.</x:v>
      </x:c>
      <x:c r="K102" s="4" t="str">
        <x:v>KEB-00904</x:v>
      </x:c>
    </x:row>
    <x:row r="103" ht="64" customHeight="1">
      <x:c r="A103" s="4" t="str">
        <x:v>KEB-00909</x:v>
      </x:c>
      <x:c r="B103" s="4" t="str">
        <x:v>kebakaran hebat ludeskan 3 gudang perabot rumah tangga di surabaya</x:v>
      </x:c>
      <x:c r="C103" s="4" t="str">
        <x:v>FIRE</x:v>
      </x:c>
      <x:c r="D103" s="4" t="str">
        <x:v>FIRE</x:v>
      </x:c>
      <x:c r="E103" s="12" t="str">
        <x:v>SETUJU_USULAN</x:v>
      </x:c>
      <x:c r="F103" s="12" t="str"/>
      <x:c r="G103" s="12" t="str">
        <x:v>Narasi menyatakan kejadian kebakaran secara literal. Label mengikuti isi kejadian yang dirujuk. R1,R4.</x:v>
      </x:c>
      <x:c r="H103" s="4" t="str">
        <x:f>IF(E103="SETUJU_USULAN",D103,IF(E103="KOREKSI",F103,""))</x:f>
        <x:v>FIRE</x:v>
      </x:c>
      <x:c r="I103" s="4" t="str">
        <x:f>IF(E103="","BELUM_DIREVIEW",IF(E103="TUNDA","DITUNDA",IF(TRIM(Panduan!$B$5)="","ISI_REVIEWER",IF(E103="KELUARKAN",IF(F103&lt;&gt;"","HAPUS_KOREKSI",IF(TRIM(G103)="","ISI_CATATAN","DIKECUALIKAN")),IF(AND(E103&lt;&gt;"SETUJU_USULAN",E103&lt;&gt;"KOREKSI"),"CEK_KEPUTUSAN",IF(AND(E103="SETUJU_USULAN",F103&lt;&gt;""),"HAPUS_KOREKSI",IF(H103="","ISI_KOREKSI",IF(NOT(OR(H103="FLOOD",H103="EARTHQUAKE",H103="FIRE",H103="ACCIDENT",H103="NON_EVENT")),"CEK_LABEL",IF(AND(E103="KOREKSI",TRIM(G103)=""),"ISI_CATATAN","REVIEW_TERCATAT")))))))))</x:f>
        <x:v>REVIEW_TERCATAT</x:v>
      </x:c>
      <x:c r="J103" s="4" t="str">
        <x:v>Klaim kejadian literal dengan lokasi/dampak/konteks yang disebut; label sumber dipertahankan sebagai usulan. R1,R2,R4,R6.</x:v>
      </x:c>
      <x:c r="K103" s="4" t="str">
        <x:v>KEB-00598</x:v>
      </x:c>
    </x:row>
    <x:row r="104" ht="64" customHeight="1">
      <x:c r="A104" s="4" t="str">
        <x:v>KEB-01000</x:v>
      </x:c>
      <x:c r="B104" s="4" t="str">
        <x:v>jam 2.28 , ada banyak pemadam kebakaran lewat rumah , kira-kira kebakaran dimana ya di bandung ini ?</x:v>
      </x:c>
      <x:c r="C104" s="4" t="str">
        <x:v>NON_EVENT</x:v>
      </x:c>
      <x:c r="D104" s="4" t="str">
        <x:v>NON_EVENT</x:v>
      </x:c>
      <x:c r="E104" s="12" t="str">
        <x:v>SETUJU_USULAN</x:v>
      </x:c>
      <x:c r="F104" s="12" t="str"/>
      <x:c r="G104" s="12" t="str">
        <x:v>Yang diamati ialah pemadam lewat; kebakaran/lokasinya masih dipertanyakan, bukan klaim kejadian yang jelas. R1,R3.</x:v>
      </x:c>
      <x:c r="H104" s="4" t="str">
        <x:f>IF(E104="SETUJU_USULAN",D104,IF(E104="KOREKSI",F104,""))</x:f>
        <x:v>NON_EVENT</x:v>
      </x:c>
      <x:c r="I104" s="4" t="str">
        <x:f>IF(E104="","BELUM_DIREVIEW",IF(E104="TUNDA","DITUNDA",IF(TRIM(Panduan!$B$5)="","ISI_REVIEWER",IF(E104="KELUARKAN",IF(F104&lt;&gt;"","HAPUS_KOREKSI",IF(TRIM(G104)="","ISI_CATATAN","DIKECUALIKAN")),IF(AND(E104&lt;&gt;"SETUJU_USULAN",E104&lt;&gt;"KOREKSI"),"CEK_KEPUTUSAN",IF(AND(E104="SETUJU_USULAN",F104&lt;&gt;""),"HAPUS_KOREKSI",IF(H104="","ISI_KOREKSI",IF(NOT(OR(H104="FLOOD",H104="EARTHQUAKE",H104="FIRE",H104="ACCIDENT",H104="NON_EVENT")),"CEK_LABEL",IF(AND(E104="KOREKSI",TRIM(G104)=""),"ISI_CATATAN","REVIEW_TERCATAT")))))))))</x:f>
        <x:v>REVIEW_TERCATAT</x:v>
      </x:c>
      <x:c r="J104" s="4" t="str">
        <x:v>Yang diamati ialah pemadam lewat; kebakaran/lokasinya masih dipertanyakan, bukan klaim kejadian yang jelas. R1,R3.</x:v>
      </x:c>
      <x:c r="K104" s="4" t="str">
        <x:v>KEB-00482</x:v>
      </x:c>
    </x:row>
    <x:row r="105" ht="66" customHeight="1">
      <x:c r="A105" s="4" t="str">
        <x:v>KEB-01081</x:v>
      </x:c>
      <x:c r="B105" s="4" t="str">
        <x:v>dugaan sementara penyebab utama kebakaran sebuah pemukiman di petamburan tadi malam adalah karena ada nya konsleting arus pendek listrik di sebuah rumah warga yang dengan cepat api menyambar rumah warga sekitar . lokasi tidak begitu jauh dari rumah rizieq shihab</x:v>
      </x:c>
      <x:c r="C105" s="4" t="str">
        <x:v>FIRE</x:v>
      </x:c>
      <x:c r="D105" s="4" t="str">
        <x:v>FIRE</x:v>
      </x:c>
      <x:c r="E105" s="12" t="str">
        <x:v>SETUJU_USULAN</x:v>
      </x:c>
      <x:c r="F105" s="12" t="str"/>
      <x:c r="G105" s="12" t="str">
        <x:v>Narasi menyatakan kejadian kebakaran secara literal. Label mengikuti isi kejadian yang dirujuk. R1,R4.</x:v>
      </x:c>
      <x:c r="H105" s="4" t="str">
        <x:f>IF(E105="SETUJU_USULAN",D105,IF(E105="KOREKSI",F105,""))</x:f>
        <x:v>FIRE</x:v>
      </x:c>
      <x:c r="I105" s="4" t="str">
        <x:f>IF(E105="","BELUM_DIREVIEW",IF(E105="TUNDA","DITUNDA",IF(TRIM(Panduan!$B$5)="","ISI_REVIEWER",IF(E105="KELUARKAN",IF(F105&lt;&gt;"","HAPUS_KOREKSI",IF(TRIM(G105)="","ISI_CATATAN","DIKECUALIKAN")),IF(AND(E105&lt;&gt;"SETUJU_USULAN",E105&lt;&gt;"KOREKSI"),"CEK_KEPUTUSAN",IF(AND(E105="SETUJU_USULAN",F105&lt;&gt;""),"HAPUS_KOREKSI",IF(H105="","ISI_KOREKSI",IF(NOT(OR(H105="FLOOD",H105="EARTHQUAKE",H105="FIRE",H105="ACCIDENT",H105="NON_EVENT")),"CEK_LABEL",IF(AND(E105="KOREKSI",TRIM(G105)=""),"ISI_CATATAN","REVIEW_TERCATAT")))))))))</x:f>
        <x:v>REVIEW_TERCATAT</x:v>
      </x:c>
      <x:c r="J105" s="4" t="str">
        <x:v>Klaim kejadian literal dengan lokasi/dampak/konteks yang disebut; label sumber dipertahankan sebagai usulan. R1,R2,R4,R6.</x:v>
      </x:c>
      <x:c r="K105" s="4" t="str">
        <x:v>KEB-00789</x:v>
      </x:c>
    </x:row>
    <x:row r="106" ht="66" customHeight="1">
      <x:c r="A106" s="4" t="str">
        <x:v>KEC-00299</x:v>
      </x:c>
      <x:c r="B106" s="4" t="str">
        <x:v>kecelakaan maut di subang kecelakaan maut terjadi di tanjakan emen subang jawa barat pada sabtu ( 10/2 ) sore direktur lalu lintas polda jabar kombes prahoro mengatakan kecelakaan maut itu terjadi pada pukul 0:17 wib foto : yusup suparman/pasundan ekspres</x:v>
      </x:c>
      <x:c r="C106" s="4" t="str">
        <x:v>ACCIDENT</x:v>
      </x:c>
      <x:c r="D106" s="4" t="str">
        <x:v>ACCIDENT</x:v>
      </x:c>
      <x:c r="E106" s="12" t="str">
        <x:v>SETUJU_USULAN</x:v>
      </x:c>
      <x:c r="F106" s="12" t="str"/>
      <x:c r="G106" s="12" t="str">
        <x:v>Narasi menyatakan kejadian kecelakaan secara literal. Label mengikuti isi kejadian yang dirujuk. R1,R4.</x:v>
      </x:c>
      <x:c r="H106" s="4" t="str">
        <x:f>IF(E106="SETUJU_USULAN",D106,IF(E106="KOREKSI",F106,""))</x:f>
        <x:v>ACCIDENT</x:v>
      </x:c>
      <x:c r="I106" s="4" t="str">
        <x:f>IF(E106="","BELUM_DIREVIEW",IF(E106="TUNDA","DITUNDA",IF(TRIM(Panduan!$B$5)="","ISI_REVIEWER",IF(E106="KELUARKAN",IF(F106&lt;&gt;"","HAPUS_KOREKSI",IF(TRIM(G106)="","ISI_CATATAN","DIKECUALIKAN")),IF(AND(E106&lt;&gt;"SETUJU_USULAN",E106&lt;&gt;"KOREKSI"),"CEK_KEPUTUSAN",IF(AND(E106="SETUJU_USULAN",F106&lt;&gt;""),"HAPUS_KOREKSI",IF(H106="","ISI_KOREKSI",IF(NOT(OR(H106="FLOOD",H106="EARTHQUAKE",H106="FIRE",H106="ACCIDENT",H106="NON_EVENT")),"CEK_LABEL",IF(AND(E106="KOREKSI",TRIM(G106)=""),"ISI_CATATAN","REVIEW_TERCATAT")))))))))</x:f>
        <x:v>REVIEW_TERCATAT</x:v>
      </x:c>
      <x:c r="J106" s="4" t="str">
        <x:v>Klaim kejadian literal dengan lokasi/dampak/konteks yang disebut; label sumber dipertahankan sebagai usulan. R1,R2,R4,R6.</x:v>
      </x:c>
      <x:c r="K106" s="4" t="str">
        <x:v>KEC-01006</x:v>
      </x:c>
    </x:row>
    <x:row r="107" ht="64" customHeight="1">
      <x:c r="A107" s="4" t="str">
        <x:v>KEC-00300</x:v>
      </x:c>
      <x:c r="B107" s="4" t="str">
        <x:v>jenazah korban kecelakaan di subang dievakuasi ke ambulans</x:v>
      </x:c>
      <x:c r="C107" s="4" t="str">
        <x:v>ACCIDENT</x:v>
      </x:c>
      <x:c r="D107" s="4" t="str">
        <x:v>ACCIDENT</x:v>
      </x:c>
      <x:c r="E107" s="12" t="str">
        <x:v>SETUJU_USULAN</x:v>
      </x:c>
      <x:c r="F107" s="12" t="str"/>
      <x:c r="G107" s="12" t="str">
        <x:v>Narasi menyatakan kejadian kecelakaan secara literal. Label mengikuti isi kejadian yang dirujuk. R1,R4.</x:v>
      </x:c>
      <x:c r="H107" s="4" t="str">
        <x:f>IF(E107="SETUJU_USULAN",D107,IF(E107="KOREKSI",F107,""))</x:f>
        <x:v>ACCIDENT</x:v>
      </x:c>
      <x:c r="I107" s="4" t="str">
        <x:f>IF(E107="","BELUM_DIREVIEW",IF(E107="TUNDA","DITUNDA",IF(TRIM(Panduan!$B$5)="","ISI_REVIEWER",IF(E107="KELUARKAN",IF(F107&lt;&gt;"","HAPUS_KOREKSI",IF(TRIM(G107)="","ISI_CATATAN","DIKECUALIKAN")),IF(AND(E107&lt;&gt;"SETUJU_USULAN",E107&lt;&gt;"KOREKSI"),"CEK_KEPUTUSAN",IF(AND(E107="SETUJU_USULAN",F107&lt;&gt;""),"HAPUS_KOREKSI",IF(H107="","ISI_KOREKSI",IF(NOT(OR(H107="FLOOD",H107="EARTHQUAKE",H107="FIRE",H107="ACCIDENT",H107="NON_EVENT")),"CEK_LABEL",IF(AND(E107="KOREKSI",TRIM(G107)=""),"ISI_CATATAN","REVIEW_TERCATAT")))))))))</x:f>
        <x:v>REVIEW_TERCATAT</x:v>
      </x:c>
      <x:c r="J107" s="4" t="str">
        <x:v>Klaim kejadian literal dengan lokasi/dampak/konteks yang disebut; label sumber dipertahankan sebagai usulan. R1,R2,R4,R6.</x:v>
      </x:c>
      <x:c r="K107" s="4" t="str">
        <x:v>KEC-01200</x:v>
      </x:c>
    </x:row>
    <x:row r="108" ht="64" customHeight="1">
      <x:c r="A108" s="4" t="str">
        <x:v>KEC-00304</x:v>
      </x:c>
      <x:c r="B108" s="4" t="str">
        <x:v>detik-detik kecelakaan bus pariwisata di tanjakan emen-subang : via</x:v>
      </x:c>
      <x:c r="C108" s="4" t="str">
        <x:v>ACCIDENT</x:v>
      </x:c>
      <x:c r="D108" s="4" t="str">
        <x:v>ACCIDENT</x:v>
      </x:c>
      <x:c r="E108" s="12" t="str">
        <x:v>SETUJU_USULAN</x:v>
      </x:c>
      <x:c r="F108" s="12" t="str"/>
      <x:c r="G108" s="12" t="str">
        <x:v>Narasi menyatakan kejadian kecelakaan secara literal. Label mengikuti isi kejadian yang dirujuk. R1,R4.</x:v>
      </x:c>
      <x:c r="H108" s="4" t="str">
        <x:f>IF(E108="SETUJU_USULAN",D108,IF(E108="KOREKSI",F108,""))</x:f>
        <x:v>ACCIDENT</x:v>
      </x:c>
      <x:c r="I108" s="4" t="str">
        <x:f>IF(E108="","BELUM_DIREVIEW",IF(E108="TUNDA","DITUNDA",IF(TRIM(Panduan!$B$5)="","ISI_REVIEWER",IF(E108="KELUARKAN",IF(F108&lt;&gt;"","HAPUS_KOREKSI",IF(TRIM(G108)="","ISI_CATATAN","DIKECUALIKAN")),IF(AND(E108&lt;&gt;"SETUJU_USULAN",E108&lt;&gt;"KOREKSI"),"CEK_KEPUTUSAN",IF(AND(E108="SETUJU_USULAN",F108&lt;&gt;""),"HAPUS_KOREKSI",IF(H108="","ISI_KOREKSI",IF(NOT(OR(H108="FLOOD",H108="EARTHQUAKE",H108="FIRE",H108="ACCIDENT",H108="NON_EVENT")),"CEK_LABEL",IF(AND(E108="KOREKSI",TRIM(G108)=""),"ISI_CATATAN","REVIEW_TERCATAT")))))))))</x:f>
        <x:v>REVIEW_TERCATAT</x:v>
      </x:c>
      <x:c r="J108" s="4" t="str">
        <x:v>Klaim kejadian literal dengan lokasi/dampak/konteks yang disebut; label sumber dipertahankan sebagai usulan. R1,R2,R4,R6.</x:v>
      </x:c>
      <x:c r="K108" s="4" t="str">
        <x:v>BAN-01075</x:v>
      </x:c>
    </x:row>
    <x:row r="109" ht="64" customHeight="1">
      <x:c r="A109" s="4" t="str">
        <x:v>KEC-00309</x:v>
      </x:c>
      <x:c r="B109" s="4" t="str">
        <x:v>polisi : korban tewas kecelakaan bus di subang 26 orang</x:v>
      </x:c>
      <x:c r="C109" s="4" t="str">
        <x:v>ACCIDENT</x:v>
      </x:c>
      <x:c r="D109" s="4" t="str">
        <x:v>ACCIDENT</x:v>
      </x:c>
      <x:c r="E109" s="12" t="str">
        <x:v>SETUJU_USULAN</x:v>
      </x:c>
      <x:c r="F109" s="12" t="str"/>
      <x:c r="G109" s="12" t="str">
        <x:v>Narasi menyatakan kejadian kecelakaan secara literal. Label mengikuti isi kejadian yang dirujuk. R1,R4.</x:v>
      </x:c>
      <x:c r="H109" s="4" t="str">
        <x:f>IF(E109="SETUJU_USULAN",D109,IF(E109="KOREKSI",F109,""))</x:f>
        <x:v>ACCIDENT</x:v>
      </x:c>
      <x:c r="I109" s="4" t="str">
        <x:f>IF(E109="","BELUM_DIREVIEW",IF(E109="TUNDA","DITUNDA",IF(TRIM(Panduan!$B$5)="","ISI_REVIEWER",IF(E109="KELUARKAN",IF(F109&lt;&gt;"","HAPUS_KOREKSI",IF(TRIM(G109)="","ISI_CATATAN","DIKECUALIKAN")),IF(AND(E109&lt;&gt;"SETUJU_USULAN",E109&lt;&gt;"KOREKSI"),"CEK_KEPUTUSAN",IF(AND(E109="SETUJU_USULAN",F109&lt;&gt;""),"HAPUS_KOREKSI",IF(H109="","ISI_KOREKSI",IF(NOT(OR(H109="FLOOD",H109="EARTHQUAKE",H109="FIRE",H109="ACCIDENT",H109="NON_EVENT")),"CEK_LABEL",IF(AND(E109="KOREKSI",TRIM(G109)=""),"ISI_CATATAN","REVIEW_TERCATAT")))))))))</x:f>
        <x:v>REVIEW_TERCATAT</x:v>
      </x:c>
      <x:c r="J109" s="4" t="str">
        <x:v>Klaim kejadian literal dengan lokasi/dampak/konteks yang disebut; label sumber dipertahankan sebagai usulan. R1,R2,R4,R6.</x:v>
      </x:c>
      <x:c r="K109" s="4" t="str">
        <x:v>KEC-01395</x:v>
      </x:c>
    </x:row>
    <x:row r="110" ht="64" customHeight="1">
      <x:c r="A110" s="4" t="str">
        <x:v>KEC-00314</x:v>
      </x:c>
      <x:c r="B110" s="4" t="str">
        <x:v>: kecelakaan maut di subang 13 perempuan tewas</x:v>
      </x:c>
      <x:c r="C110" s="4" t="str">
        <x:v>ACCIDENT</x:v>
      </x:c>
      <x:c r="D110" s="4" t="str">
        <x:v>ACCIDENT</x:v>
      </x:c>
      <x:c r="E110" s="12" t="str">
        <x:v>SETUJU_USULAN</x:v>
      </x:c>
      <x:c r="F110" s="12" t="str"/>
      <x:c r="G110" s="12" t="str">
        <x:v>Narasi menyatakan kejadian kecelakaan secara literal. Label mengikuti isi kejadian yang dirujuk. R1,R4.</x:v>
      </x:c>
      <x:c r="H110" s="4" t="str">
        <x:f>IF(E110="SETUJU_USULAN",D110,IF(E110="KOREKSI",F110,""))</x:f>
        <x:v>ACCIDENT</x:v>
      </x:c>
      <x:c r="I110" s="4" t="str">
        <x:f>IF(E110="","BELUM_DIREVIEW",IF(E110="TUNDA","DITUNDA",IF(TRIM(Panduan!$B$5)="","ISI_REVIEWER",IF(E110="KELUARKAN",IF(F110&lt;&gt;"","HAPUS_KOREKSI",IF(TRIM(G110)="","ISI_CATATAN","DIKECUALIKAN")),IF(AND(E110&lt;&gt;"SETUJU_USULAN",E110&lt;&gt;"KOREKSI"),"CEK_KEPUTUSAN",IF(AND(E110="SETUJU_USULAN",F110&lt;&gt;""),"HAPUS_KOREKSI",IF(H110="","ISI_KOREKSI",IF(NOT(OR(H110="FLOOD",H110="EARTHQUAKE",H110="FIRE",H110="ACCIDENT",H110="NON_EVENT")),"CEK_LABEL",IF(AND(E110="KOREKSI",TRIM(G110)=""),"ISI_CATATAN","REVIEW_TERCATAT")))))))))</x:f>
        <x:v>REVIEW_TERCATAT</x:v>
      </x:c>
      <x:c r="J110" s="4" t="str">
        <x:v>Klaim kejadian literal dengan lokasi/dampak/konteks yang disebut; label sumber dipertahankan sebagai usulan. R1,R2,R4,R6.</x:v>
      </x:c>
      <x:c r="K110" s="4" t="str">
        <x:v>KEC-01006</x:v>
      </x:c>
    </x:row>
    <x:row r="111" ht="64" customHeight="1">
      <x:c r="A111" s="4" t="str">
        <x:v>KEC-00328</x:v>
      </x:c>
      <x:c r="B111" s="4" t="str">
        <x:v>korban tewas kecelakaan bus di subang : melalui</x:v>
      </x:c>
      <x:c r="C111" s="4" t="str">
        <x:v>ACCIDENT</x:v>
      </x:c>
      <x:c r="D111" s="4" t="str">
        <x:v>ACCIDENT</x:v>
      </x:c>
      <x:c r="E111" s="12" t="str">
        <x:v>SETUJU_USULAN</x:v>
      </x:c>
      <x:c r="F111" s="12" t="str"/>
      <x:c r="G111" s="12" t="str">
        <x:v>Narasi menyatakan kejadian kecelakaan secara literal. Label mengikuti isi kejadian yang dirujuk. R1,R4.</x:v>
      </x:c>
      <x:c r="H111" s="4" t="str">
        <x:f>IF(E111="SETUJU_USULAN",D111,IF(E111="KOREKSI",F111,""))</x:f>
        <x:v>ACCIDENT</x:v>
      </x:c>
      <x:c r="I111" s="4" t="str">
        <x:f>IF(E111="","BELUM_DIREVIEW",IF(E111="TUNDA","DITUNDA",IF(TRIM(Panduan!$B$5)="","ISI_REVIEWER",IF(E111="KELUARKAN",IF(F111&lt;&gt;"","HAPUS_KOREKSI",IF(TRIM(G111)="","ISI_CATATAN","DIKECUALIKAN")),IF(AND(E111&lt;&gt;"SETUJU_USULAN",E111&lt;&gt;"KOREKSI"),"CEK_KEPUTUSAN",IF(AND(E111="SETUJU_USULAN",F111&lt;&gt;""),"HAPUS_KOREKSI",IF(H111="","ISI_KOREKSI",IF(NOT(OR(H111="FLOOD",H111="EARTHQUAKE",H111="FIRE",H111="ACCIDENT",H111="NON_EVENT")),"CEK_LABEL",IF(AND(E111="KOREKSI",TRIM(G111)=""),"ISI_CATATAN","REVIEW_TERCATAT")))))))))</x:f>
        <x:v>REVIEW_TERCATAT</x:v>
      </x:c>
      <x:c r="J111" s="4" t="str">
        <x:v>Klaim kejadian literal dengan lokasi/dampak/konteks yang disebut; label sumber dipertahankan sebagai usulan. R1,R2,R4,R6.</x:v>
      </x:c>
      <x:c r="K111" s="4" t="str">
        <x:v>KEC-01395</x:v>
      </x:c>
    </x:row>
    <x:row r="112" ht="64" customHeight="1">
      <x:c r="A112" s="4" t="str">
        <x:v>KEC-01109</x:v>
      </x:c>
      <x:c r="B112" s="4" t="str">
        <x:v>kecelakaan maut di bumiayu - brebes 11 warga meninggal</x:v>
      </x:c>
      <x:c r="C112" s="4" t="str">
        <x:v>ACCIDENT</x:v>
      </x:c>
      <x:c r="D112" s="4" t="str">
        <x:v>ACCIDENT</x:v>
      </x:c>
      <x:c r="E112" s="12" t="str">
        <x:v>SETUJU_USULAN</x:v>
      </x:c>
      <x:c r="F112" s="12" t="str"/>
      <x:c r="G112" s="12" t="str">
        <x:v>Narasi menyatakan kejadian kecelakaan secara literal. Label mengikuti isi kejadian yang dirujuk. R1,R4.</x:v>
      </x:c>
      <x:c r="H112" s="4" t="str">
        <x:f>IF(E112="SETUJU_USULAN",D112,IF(E112="KOREKSI",F112,""))</x:f>
        <x:v>ACCIDENT</x:v>
      </x:c>
      <x:c r="I112" s="4" t="str">
        <x:f>IF(E112="","BELUM_DIREVIEW",IF(E112="TUNDA","DITUNDA",IF(TRIM(Panduan!$B$5)="","ISI_REVIEWER",IF(E112="KELUARKAN",IF(F112&lt;&gt;"","HAPUS_KOREKSI",IF(TRIM(G112)="","ISI_CATATAN","DIKECUALIKAN")),IF(AND(E112&lt;&gt;"SETUJU_USULAN",E112&lt;&gt;"KOREKSI"),"CEK_KEPUTUSAN",IF(AND(E112="SETUJU_USULAN",F112&lt;&gt;""),"HAPUS_KOREKSI",IF(H112="","ISI_KOREKSI",IF(NOT(OR(H112="FLOOD",H112="EARTHQUAKE",H112="FIRE",H112="ACCIDENT",H112="NON_EVENT")),"CEK_LABEL",IF(AND(E112="KOREKSI",TRIM(G112)=""),"ISI_CATATAN","REVIEW_TERCATAT")))))))))</x:f>
        <x:v>REVIEW_TERCATAT</x:v>
      </x:c>
      <x:c r="J112" s="4" t="str">
        <x:v>Klaim kejadian literal dengan lokasi/dampak/konteks yang disebut; label sumber dipertahankan sebagai usulan. R1,R2,R4,R6.</x:v>
      </x:c>
      <x:c r="K112" s="4" t="str">
        <x:v>KEC-01006</x:v>
      </x:c>
    </x:row>
    <x:row r="113" ht="64" customHeight="1">
      <x:c r="A113" s="4" t="str">
        <x:v>KEC-01156</x:v>
      </x:c>
      <x:c r="B113" s="4" t="str">
        <x:v>telah terjadi kecelakaan tunggal kemarin malam di desa plaga petang mobil menabrak pasir di pinggir jalan hingga mobil terguling info by</x:v>
      </x:c>
      <x:c r="C113" s="4" t="str">
        <x:v>ACCIDENT</x:v>
      </x:c>
      <x:c r="D113" s="4" t="str">
        <x:v>ACCIDENT</x:v>
      </x:c>
      <x:c r="E113" s="12" t="str">
        <x:v>SETUJU_USULAN</x:v>
      </x:c>
      <x:c r="F113" s="12" t="str"/>
      <x:c r="G113" s="12" t="str">
        <x:v>Narasi menyatakan kejadian kecelakaan secara literal. Label mengikuti isi kejadian yang dirujuk. R1,R4.</x:v>
      </x:c>
      <x:c r="H113" s="4" t="str">
        <x:f>IF(E113="SETUJU_USULAN",D113,IF(E113="KOREKSI",F113,""))</x:f>
        <x:v>ACCIDENT</x:v>
      </x:c>
      <x:c r="I113" s="4" t="str">
        <x:f>IF(E113="","BELUM_DIREVIEW",IF(E113="TUNDA","DITUNDA",IF(TRIM(Panduan!$B$5)="","ISI_REVIEWER",IF(E113="KELUARKAN",IF(F113&lt;&gt;"","HAPUS_KOREKSI",IF(TRIM(G113)="","ISI_CATATAN","DIKECUALIKAN")),IF(AND(E113&lt;&gt;"SETUJU_USULAN",E113&lt;&gt;"KOREKSI"),"CEK_KEPUTUSAN",IF(AND(E113="SETUJU_USULAN",F113&lt;&gt;""),"HAPUS_KOREKSI",IF(H113="","ISI_KOREKSI",IF(NOT(OR(H113="FLOOD",H113="EARTHQUAKE",H113="FIRE",H113="ACCIDENT",H113="NON_EVENT")),"CEK_LABEL",IF(AND(E113="KOREKSI",TRIM(G113)=""),"ISI_CATATAN","REVIEW_TERCATAT")))))))))</x:f>
        <x:v>REVIEW_TERCATAT</x:v>
      </x:c>
      <x:c r="J113" s="4" t="str">
        <x:v>Klaim kejadian literal dengan lokasi/dampak/konteks yang disebut; label sumber dipertahankan sebagai usulan. R1,R2,R4,R6.</x:v>
      </x:c>
      <x:c r="K113" s="4" t="str">
        <x:v>KEC-01200</x:v>
      </x:c>
    </x:row>
    <x:row r="114" ht="64" customHeight="1">
      <x:c r="A114" s="4" t="str">
        <x:v>KEC-01196</x:v>
      </x:c>
      <x:c r="B114" s="4" t="str">
        <x:v>lanjutkan sehingga tertib dan tidak menumbulkan kecelakaan khususnya di daerah bumiayu jawa tengah</x:v>
      </x:c>
      <x:c r="C114" s="4" t="str">
        <x:v>NON_EVENT</x:v>
      </x:c>
      <x:c r="D114" s="4" t="str">
        <x:v>NON_EVENT</x:v>
      </x:c>
      <x:c r="E114" s="12" t="str">
        <x:v>SETUJU_USULAN</x:v>
      </x:c>
      <x:c r="F114" s="12" t="str"/>
      <x:c r="G114" s="12" t="str">
        <x:v>Imbauan ketertiban agar tidak menimbulkan kecelakaan. R3.</x:v>
      </x:c>
      <x:c r="H114" s="4" t="str">
        <x:f>IF(E114="SETUJU_USULAN",D114,IF(E114="KOREKSI",F114,""))</x:f>
        <x:v>NON_EVENT</x:v>
      </x:c>
      <x:c r="I114" s="4" t="str">
        <x:f>IF(E114="","BELUM_DIREVIEW",IF(E114="TUNDA","DITUNDA",IF(TRIM(Panduan!$B$5)="","ISI_REVIEWER",IF(E114="KELUARKAN",IF(F114&lt;&gt;"","HAPUS_KOREKSI",IF(TRIM(G114)="","ISI_CATATAN","DIKECUALIKAN")),IF(AND(E114&lt;&gt;"SETUJU_USULAN",E114&lt;&gt;"KOREKSI"),"CEK_KEPUTUSAN",IF(AND(E114="SETUJU_USULAN",F114&lt;&gt;""),"HAPUS_KOREKSI",IF(H114="","ISI_KOREKSI",IF(NOT(OR(H114="FLOOD",H114="EARTHQUAKE",H114="FIRE",H114="ACCIDENT",H114="NON_EVENT")),"CEK_LABEL",IF(AND(E114="KOREKSI",TRIM(G114)=""),"ISI_CATATAN","REVIEW_TERCATAT")))))))))</x:f>
        <x:v>REVIEW_TERCATAT</x:v>
      </x:c>
      <x:c r="J114" s="4" t="str">
        <x:v>Imbauan ketertiban agar tidak menimbulkan kecelakaan. R3.</x:v>
      </x:c>
      <x:c r="K114" s="4" t="str">
        <x:v>KEC-01209</x:v>
      </x:c>
    </x:row>
    <x:row r="115" ht="64" customHeight="1">
      <x:c r="A115" s="4" t="str">
        <x:v>KEC-01328</x:v>
      </x:c>
      <x:c r="B115" s="4" t="str">
        <x:v>mudik lebaran 2018 angka kecelakaan di kota bekasi menurun</x:v>
      </x:c>
      <x:c r="C115" s="4" t="str">
        <x:v>NON_EVENT</x:v>
      </x:c>
      <x:c r="D115" s="4" t="str">
        <x:v>NON_EVENT</x:v>
      </x:c>
      <x:c r="E115" s="12" t="str">
        <x:v>SETUJU_USULAN</x:v>
      </x:c>
      <x:c r="F115" s="12" t="str"/>
      <x:c r="G115" s="12" t="str">
        <x:v>Statistik kecelakaan mudik 2018 yang menurun. R3.</x:v>
      </x:c>
      <x:c r="H115" s="4" t="str">
        <x:f>IF(E115="SETUJU_USULAN",D115,IF(E115="KOREKSI",F115,""))</x:f>
        <x:v>NON_EVENT</x:v>
      </x:c>
      <x:c r="I115" s="4" t="str">
        <x:f>IF(E115="","BELUM_DIREVIEW",IF(E115="TUNDA","DITUNDA",IF(TRIM(Panduan!$B$5)="","ISI_REVIEWER",IF(E115="KELUARKAN",IF(F115&lt;&gt;"","HAPUS_KOREKSI",IF(TRIM(G115)="","ISI_CATATAN","DIKECUALIKAN")),IF(AND(E115&lt;&gt;"SETUJU_USULAN",E115&lt;&gt;"KOREKSI"),"CEK_KEPUTUSAN",IF(AND(E115="SETUJU_USULAN",F115&lt;&gt;""),"HAPUS_KOREKSI",IF(H115="","ISI_KOREKSI",IF(NOT(OR(H115="FLOOD",H115="EARTHQUAKE",H115="FIRE",H115="ACCIDENT",H115="NON_EVENT")),"CEK_LABEL",IF(AND(E115="KOREKSI",TRIM(G115)=""),"ISI_CATATAN","REVIEW_TERCATAT")))))))))</x:f>
        <x:v>REVIEW_TERCATAT</x:v>
      </x:c>
      <x:c r="J115" s="4" t="str">
        <x:v>Statistik kecelakaan mudik 2018 yang menurun. R3.</x:v>
      </x:c>
      <x:c r="K115" s="4" t="str">
        <x:v>KEC-01395</x:v>
      </x:c>
    </x:row>
    <x:row r="116" ht="64" customHeight="1">
      <x:c r="A116" s="4" t="str">
        <x:v>KEC-01405</x:v>
      </x:c>
      <x:c r="B116" s="4" t="str">
        <x:v>jumlah kecelakaan mudik lebaran di kulonprogo tahun ini menurun tapi nilai kerugian meningkat</x:v>
      </x:c>
      <x:c r="C116" s="4" t="str">
        <x:v>NON_EVENT</x:v>
      </x:c>
      <x:c r="D116" s="4" t="str">
        <x:v>NON_EVENT</x:v>
      </x:c>
      <x:c r="E116" s="12" t="str">
        <x:v>SETUJU_USULAN</x:v>
      </x:c>
      <x:c r="F116" s="12" t="str"/>
      <x:c r="G116" s="12" t="str">
        <x:v>Statistik kecelakaan mudik dan kerugian periode tertentu. R3.</x:v>
      </x:c>
      <x:c r="H116" s="4" t="str">
        <x:f>IF(E116="SETUJU_USULAN",D116,IF(E116="KOREKSI",F116,""))</x:f>
        <x:v>NON_EVENT</x:v>
      </x:c>
      <x:c r="I116" s="4" t="str">
        <x:f>IF(E116="","BELUM_DIREVIEW",IF(E116="TUNDA","DITUNDA",IF(TRIM(Panduan!$B$5)="","ISI_REVIEWER",IF(E116="KELUARKAN",IF(F116&lt;&gt;"","HAPUS_KOREKSI",IF(TRIM(G116)="","ISI_CATATAN","DIKECUALIKAN")),IF(AND(E116&lt;&gt;"SETUJU_USULAN",E116&lt;&gt;"KOREKSI"),"CEK_KEPUTUSAN",IF(AND(E116="SETUJU_USULAN",F116&lt;&gt;""),"HAPUS_KOREKSI",IF(H116="","ISI_KOREKSI",IF(NOT(OR(H116="FLOOD",H116="EARTHQUAKE",H116="FIRE",H116="ACCIDENT",H116="NON_EVENT")),"CEK_LABEL",IF(AND(E116="KOREKSI",TRIM(G116)=""),"ISI_CATATAN","REVIEW_TERCATAT")))))))))</x:f>
        <x:v>REVIEW_TERCATAT</x:v>
      </x:c>
      <x:c r="J116" s="4" t="str">
        <x:v>Statistik kecelakaan mudik dan kerugian periode tertentu. R3.</x:v>
      </x:c>
      <x:c r="K116" s="4" t="str">
        <x:v>KEC-01395</x:v>
      </x:c>
    </x:row>
    <x:row r="117" ht="64" customHeight="1">
      <x:c r="A117" s="4" t="str">
        <x:v>KEC-01492</x:v>
      </x:c>
      <x:c r="B117" s="4" t="str">
        <x:v>kecelakaan tunggal di gunung sahari pemotor tewas di tempat kecelakaan tungg</x:v>
      </x:c>
      <x:c r="C117" s="4" t="str">
        <x:v>ACCIDENT</x:v>
      </x:c>
      <x:c r="D117" s="4" t="str">
        <x:v>ACCIDENT</x:v>
      </x:c>
      <x:c r="E117" s="12" t="str">
        <x:v>SETUJU_USULAN</x:v>
      </x:c>
      <x:c r="F117" s="12" t="str"/>
      <x:c r="G117" s="12" t="str">
        <x:v>Narasi menyatakan kejadian kecelakaan secara literal. Label mengikuti isi kejadian yang dirujuk. R1,R4.</x:v>
      </x:c>
      <x:c r="H117" s="4" t="str">
        <x:f>IF(E117="SETUJU_USULAN",D117,IF(E117="KOREKSI",F117,""))</x:f>
        <x:v>ACCIDENT</x:v>
      </x:c>
      <x:c r="I117" s="4" t="str">
        <x:f>IF(E117="","BELUM_DIREVIEW",IF(E117="TUNDA","DITUNDA",IF(TRIM(Panduan!$B$5)="","ISI_REVIEWER",IF(E117="KELUARKAN",IF(F117&lt;&gt;"","HAPUS_KOREKSI",IF(TRIM(G117)="","ISI_CATATAN","DIKECUALIKAN")),IF(AND(E117&lt;&gt;"SETUJU_USULAN",E117&lt;&gt;"KOREKSI"),"CEK_KEPUTUSAN",IF(AND(E117="SETUJU_USULAN",F117&lt;&gt;""),"HAPUS_KOREKSI",IF(H117="","ISI_KOREKSI",IF(NOT(OR(H117="FLOOD",H117="EARTHQUAKE",H117="FIRE",H117="ACCIDENT",H117="NON_EVENT")),"CEK_LABEL",IF(AND(E117="KOREKSI",TRIM(G117)=""),"ISI_CATATAN","REVIEW_TERCATAT")))))))))</x:f>
        <x:v>REVIEW_TERCATAT</x:v>
      </x:c>
      <x:c r="J117" s="4" t="str">
        <x:v>Klaim kejadian literal dengan lokasi/dampak/konteks yang disebut; label sumber dipertahankan sebagai usulan. R1,R2,R4,R6.</x:v>
      </x:c>
      <x:c r="K117" s="4" t="str">
        <x:v>BAN-01074</x:v>
      </x:c>
    </x:row>
    <x:row r="118" ht="64" customHeight="1">
      <x:c r="A118" s="4" t="str">
        <x:v>KEC-01493</x:v>
      </x:c>
      <x:c r="B118" s="4" t="str">
        <x:v>kecelakaan motor di gunung sahari 2 orang tewas penyebab kecelakaan masih dalam</x:v>
      </x:c>
      <x:c r="C118" s="4" t="str">
        <x:v>ACCIDENT</x:v>
      </x:c>
      <x:c r="D118" s="4" t="str">
        <x:v>ACCIDENT</x:v>
      </x:c>
      <x:c r="E118" s="12" t="str">
        <x:v>SETUJU_USULAN</x:v>
      </x:c>
      <x:c r="F118" s="12" t="str"/>
      <x:c r="G118" s="12" t="str">
        <x:v>Narasi menyatakan kejadian kecelakaan secara literal. Label mengikuti isi kejadian yang dirujuk. R1,R4.</x:v>
      </x:c>
      <x:c r="H118" s="4" t="str">
        <x:f>IF(E118="SETUJU_USULAN",D118,IF(E118="KOREKSI",F118,""))</x:f>
        <x:v>ACCIDENT</x:v>
      </x:c>
      <x:c r="I118" s="4" t="str">
        <x:f>IF(E118="","BELUM_DIREVIEW",IF(E118="TUNDA","DITUNDA",IF(TRIM(Panduan!$B$5)="","ISI_REVIEWER",IF(E118="KELUARKAN",IF(F118&lt;&gt;"","HAPUS_KOREKSI",IF(TRIM(G118)="","ISI_CATATAN","DIKECUALIKAN")),IF(AND(E118&lt;&gt;"SETUJU_USULAN",E118&lt;&gt;"KOREKSI"),"CEK_KEPUTUSAN",IF(AND(E118="SETUJU_USULAN",F118&lt;&gt;""),"HAPUS_KOREKSI",IF(H118="","ISI_KOREKSI",IF(NOT(OR(H118="FLOOD",H118="EARTHQUAKE",H118="FIRE",H118="ACCIDENT",H118="NON_EVENT")),"CEK_LABEL",IF(AND(E118="KOREKSI",TRIM(G118)=""),"ISI_CATATAN","REVIEW_TERCATAT")))))))))</x:f>
        <x:v>REVIEW_TERCATAT</x:v>
      </x:c>
      <x:c r="J118" s="4" t="str">
        <x:v>Klaim kejadian literal dengan lokasi/dampak/konteks yang disebut; label sumber dipertahankan sebagai usulan. R1,R2,R4,R6.</x:v>
      </x:c>
      <x:c r="K118" s="4" t="str">
        <x:v>KEB-00364</x:v>
      </x:c>
    </x:row>
  </x:sheetData>
  <x:conditionalFormatting sqref="I8:I118">
    <x:cfRule type="expression" dxfId="0" priority="1">
      <x:formula>OR(LEFT($I8,4)="ISI_",LEFT($I8,4)="CEK_",$I8="HAPUS_KOREKSI")</x:formula>
    </x:cfRule>
  </x:conditionalFormatting>
  <x:dataValidations count="222">
    <x:dataValidation type="list" sqref="E8">
      <x:formula1>"SETUJU_USULAN,KOREKSI,TUNDA,KELUARKAN"</x:formula1>
    </x:dataValidation>
    <x:dataValidation type="list" sqref="F8">
      <x:formula1>"FLOOD,EARTHQUAKE,FIRE,ACCIDENT,NON_EVENT"</x:formula1>
    </x:dataValidation>
    <x:dataValidation type="list" sqref="E9">
      <x:formula1>"SETUJU_USULAN,KOREKSI,TUNDA,KELUARKAN"</x:formula1>
    </x:dataValidation>
    <x:dataValidation type="list" sqref="F9">
      <x:formula1>"FLOOD,EARTHQUAKE,FIRE,ACCIDENT,NON_EVENT"</x:formula1>
    </x:dataValidation>
    <x:dataValidation type="list" sqref="E10">
      <x:formula1>"SETUJU_USULAN,KOREKSI,TUNDA,KELUARKAN"</x:formula1>
    </x:dataValidation>
    <x:dataValidation type="list" sqref="F10">
      <x:formula1>"FLOOD,EARTHQUAKE,FIRE,ACCIDENT,NON_EVENT"</x:formula1>
    </x:dataValidation>
    <x:dataValidation type="list" sqref="E11">
      <x:formula1>"SETUJU_USULAN,KOREKSI,TUNDA,KELUARKAN"</x:formula1>
    </x:dataValidation>
    <x:dataValidation type="list" sqref="F11">
      <x:formula1>"FLOOD,EARTHQUAKE,FIRE,ACCIDENT,NON_EVENT"</x:formula1>
    </x:dataValidation>
    <x:dataValidation type="list" sqref="E12">
      <x:formula1>"SETUJU_USULAN,KOREKSI,TUNDA,KELUARKAN"</x:formula1>
    </x:dataValidation>
    <x:dataValidation type="list" sqref="F12">
      <x:formula1>"FLOOD,EARTHQUAKE,FIRE,ACCIDENT,NON_EVENT"</x:formula1>
    </x:dataValidation>
    <x:dataValidation type="list" sqref="E13">
      <x:formula1>"SETUJU_USULAN,KOREKSI,TUNDA,KELUARKAN"</x:formula1>
    </x:dataValidation>
    <x:dataValidation type="list" sqref="F13">
      <x:formula1>"FLOOD,EARTHQUAKE,FIRE,ACCIDENT,NON_EVENT"</x:formula1>
    </x:dataValidation>
    <x:dataValidation type="list" sqref="E14">
      <x:formula1>"SETUJU_USULAN,KOREKSI,TUNDA,KELUARKAN"</x:formula1>
    </x:dataValidation>
    <x:dataValidation type="list" sqref="F14">
      <x:formula1>"FLOOD,EARTHQUAKE,FIRE,ACCIDENT,NON_EVENT"</x:formula1>
    </x:dataValidation>
    <x:dataValidation type="list" sqref="E15">
      <x:formula1>"SETUJU_USULAN,KOREKSI,TUNDA,KELUARKAN"</x:formula1>
    </x:dataValidation>
    <x:dataValidation type="list" sqref="F15">
      <x:formula1>"FLOOD,EARTHQUAKE,FIRE,ACCIDENT,NON_EVENT"</x:formula1>
    </x:dataValidation>
    <x:dataValidation type="list" sqref="E16">
      <x:formula1>"SETUJU_USULAN,KOREKSI,TUNDA,KELUARKAN"</x:formula1>
    </x:dataValidation>
    <x:dataValidation type="list" sqref="F16">
      <x:formula1>"FLOOD,EARTHQUAKE,FIRE,ACCIDENT,NON_EVENT"</x:formula1>
    </x:dataValidation>
    <x:dataValidation type="list" sqref="E17">
      <x:formula1>"SETUJU_USULAN,KOREKSI,TUNDA,KELUARKAN"</x:formula1>
    </x:dataValidation>
    <x:dataValidation type="list" sqref="F17">
      <x:formula1>"FLOOD,EARTHQUAKE,FIRE,ACCIDENT,NON_EVENT"</x:formula1>
    </x:dataValidation>
    <x:dataValidation type="list" sqref="E18">
      <x:formula1>"SETUJU_USULAN,KOREKSI,TUNDA,KELUARKAN"</x:formula1>
    </x:dataValidation>
    <x:dataValidation type="list" sqref="F18">
      <x:formula1>"FLOOD,EARTHQUAKE,FIRE,ACCIDENT,NON_EVENT"</x:formula1>
    </x:dataValidation>
    <x:dataValidation type="list" sqref="E19">
      <x:formula1>"SETUJU_USULAN,KOREKSI,TUNDA,KELUARKAN"</x:formula1>
    </x:dataValidation>
    <x:dataValidation type="list" sqref="F19">
      <x:formula1>"FLOOD,EARTHQUAKE,FIRE,ACCIDENT,NON_EVENT"</x:formula1>
    </x:dataValidation>
    <x:dataValidation type="list" sqref="E20">
      <x:formula1>"SETUJU_USULAN,KOREKSI,TUNDA,KELUARKAN"</x:formula1>
    </x:dataValidation>
    <x:dataValidation type="list" sqref="F20">
      <x:formula1>"FLOOD,EARTHQUAKE,FIRE,ACCIDENT,NON_EVENT"</x:formula1>
    </x:dataValidation>
    <x:dataValidation type="list" sqref="E21">
      <x:formula1>"SETUJU_USULAN,KOREKSI,TUNDA,KELUARKAN"</x:formula1>
    </x:dataValidation>
    <x:dataValidation type="list" sqref="F21">
      <x:formula1>"FLOOD,EARTHQUAKE,FIRE,ACCIDENT,NON_EVENT"</x:formula1>
    </x:dataValidation>
    <x:dataValidation type="list" sqref="E22">
      <x:formula1>"SETUJU_USULAN,KOREKSI,TUNDA,KELUARKAN"</x:formula1>
    </x:dataValidation>
    <x:dataValidation type="list" sqref="F22">
      <x:formula1>"FLOOD,EARTHQUAKE,FIRE,ACCIDENT,NON_EVENT"</x:formula1>
    </x:dataValidation>
    <x:dataValidation type="list" sqref="E23">
      <x:formula1>"SETUJU_USULAN,KOREKSI,TUNDA,KELUARKAN"</x:formula1>
    </x:dataValidation>
    <x:dataValidation type="list" sqref="F23">
      <x:formula1>"FLOOD,EARTHQUAKE,FIRE,ACCIDENT,NON_EVENT"</x:formula1>
    </x:dataValidation>
    <x:dataValidation type="list" sqref="E24">
      <x:formula1>"SETUJU_USULAN,KOREKSI,TUNDA,KELUARKAN"</x:formula1>
    </x:dataValidation>
    <x:dataValidation type="list" sqref="F24">
      <x:formula1>"FLOOD,EARTHQUAKE,FIRE,ACCIDENT,NON_EVENT"</x:formula1>
    </x:dataValidation>
    <x:dataValidation type="list" sqref="E25">
      <x:formula1>"SETUJU_USULAN,KOREKSI,TUNDA,KELUARKAN"</x:formula1>
    </x:dataValidation>
    <x:dataValidation type="list" sqref="F25">
      <x:formula1>"FLOOD,EARTHQUAKE,FIRE,ACCIDENT,NON_EVENT"</x:formula1>
    </x:dataValidation>
    <x:dataValidation type="list" sqref="E26">
      <x:formula1>"SETUJU_USULAN,KOREKSI,TUNDA,KELUARKAN"</x:formula1>
    </x:dataValidation>
    <x:dataValidation type="list" sqref="F26">
      <x:formula1>"FLOOD,EARTHQUAKE,FIRE,ACCIDENT,NON_EVENT"</x:formula1>
    </x:dataValidation>
    <x:dataValidation type="list" sqref="E27">
      <x:formula1>"SETUJU_USULAN,KOREKSI,TUNDA,KELUARKAN"</x:formula1>
    </x:dataValidation>
    <x:dataValidation type="list" sqref="F27">
      <x:formula1>"FLOOD,EARTHQUAKE,FIRE,ACCIDENT,NON_EVENT"</x:formula1>
    </x:dataValidation>
    <x:dataValidation type="list" sqref="E28">
      <x:formula1>"SETUJU_USULAN,KOREKSI,TUNDA,KELUARKAN"</x:formula1>
    </x:dataValidation>
    <x:dataValidation type="list" sqref="F28">
      <x:formula1>"FLOOD,EARTHQUAKE,FIRE,ACCIDENT,NON_EVENT"</x:formula1>
    </x:dataValidation>
    <x:dataValidation type="list" sqref="E29">
      <x:formula1>"SETUJU_USULAN,KOREKSI,TUNDA,KELUARKAN"</x:formula1>
    </x:dataValidation>
    <x:dataValidation type="list" sqref="F29">
      <x:formula1>"FLOOD,EARTHQUAKE,FIRE,ACCIDENT,NON_EVENT"</x:formula1>
    </x:dataValidation>
    <x:dataValidation type="list" sqref="E30">
      <x:formula1>"SETUJU_USULAN,KOREKSI,TUNDA,KELUARKAN"</x:formula1>
    </x:dataValidation>
    <x:dataValidation type="list" sqref="F30">
      <x:formula1>"FLOOD,EARTHQUAKE,FIRE,ACCIDENT,NON_EVENT"</x:formula1>
    </x:dataValidation>
    <x:dataValidation type="list" sqref="E31">
      <x:formula1>"SETUJU_USULAN,KOREKSI,TUNDA,KELUARKAN"</x:formula1>
    </x:dataValidation>
    <x:dataValidation type="list" sqref="F31">
      <x:formula1>"FLOOD,EARTHQUAKE,FIRE,ACCIDENT,NON_EVENT"</x:formula1>
    </x:dataValidation>
    <x:dataValidation type="list" sqref="E32">
      <x:formula1>"SETUJU_USULAN,KOREKSI,TUNDA,KELUARKAN"</x:formula1>
    </x:dataValidation>
    <x:dataValidation type="list" sqref="F32">
      <x:formula1>"FLOOD,EARTHQUAKE,FIRE,ACCIDENT,NON_EVENT"</x:formula1>
    </x:dataValidation>
    <x:dataValidation type="list" sqref="E33">
      <x:formula1>"SETUJU_USULAN,KOREKSI,TUNDA,KELUARKAN"</x:formula1>
    </x:dataValidation>
    <x:dataValidation type="list" sqref="F33">
      <x:formula1>"FLOOD,EARTHQUAKE,FIRE,ACCIDENT,NON_EVENT"</x:formula1>
    </x:dataValidation>
    <x:dataValidation type="list" sqref="E34">
      <x:formula1>"SETUJU_USULAN,KOREKSI,TUNDA,KELUARKAN"</x:formula1>
    </x:dataValidation>
    <x:dataValidation type="list" sqref="F34">
      <x:formula1>"FLOOD,EARTHQUAKE,FIRE,ACCIDENT,NON_EVENT"</x:formula1>
    </x:dataValidation>
    <x:dataValidation type="list" sqref="E35">
      <x:formula1>"SETUJU_USULAN,KOREKSI,TUNDA,KELUARKAN"</x:formula1>
    </x:dataValidation>
    <x:dataValidation type="list" sqref="F35">
      <x:formula1>"FLOOD,EARTHQUAKE,FIRE,ACCIDENT,NON_EVENT"</x:formula1>
    </x:dataValidation>
    <x:dataValidation type="list" sqref="E36">
      <x:formula1>"SETUJU_USULAN,KOREKSI,TUNDA,KELUARKAN"</x:formula1>
    </x:dataValidation>
    <x:dataValidation type="list" sqref="F36">
      <x:formula1>"FLOOD,EARTHQUAKE,FIRE,ACCIDENT,NON_EVENT"</x:formula1>
    </x:dataValidation>
    <x:dataValidation type="list" sqref="E37">
      <x:formula1>"SETUJU_USULAN,KOREKSI,TUNDA,KELUARKAN"</x:formula1>
    </x:dataValidation>
    <x:dataValidation type="list" sqref="F37">
      <x:formula1>"FLOOD,EARTHQUAKE,FIRE,ACCIDENT,NON_EVENT"</x:formula1>
    </x:dataValidation>
    <x:dataValidation type="list" sqref="E38">
      <x:formula1>"SETUJU_USULAN,KOREKSI,TUNDA,KELUARKAN"</x:formula1>
    </x:dataValidation>
    <x:dataValidation type="list" sqref="F38">
      <x:formula1>"FLOOD,EARTHQUAKE,FIRE,ACCIDENT,NON_EVENT"</x:formula1>
    </x:dataValidation>
    <x:dataValidation type="list" sqref="E39">
      <x:formula1>"SETUJU_USULAN,KOREKSI,TUNDA,KELUARKAN"</x:formula1>
    </x:dataValidation>
    <x:dataValidation type="list" sqref="F39">
      <x:formula1>"FLOOD,EARTHQUAKE,FIRE,ACCIDENT,NON_EVENT"</x:formula1>
    </x:dataValidation>
    <x:dataValidation type="list" sqref="E40">
      <x:formula1>"SETUJU_USULAN,KOREKSI,TUNDA,KELUARKAN"</x:formula1>
    </x:dataValidation>
    <x:dataValidation type="list" sqref="F40">
      <x:formula1>"FLOOD,EARTHQUAKE,FIRE,ACCIDENT,NON_EVENT"</x:formula1>
    </x:dataValidation>
    <x:dataValidation type="list" sqref="E41">
      <x:formula1>"SETUJU_USULAN,KOREKSI,TUNDA,KELUARKAN"</x:formula1>
    </x:dataValidation>
    <x:dataValidation type="list" sqref="F41">
      <x:formula1>"FLOOD,EARTHQUAKE,FIRE,ACCIDENT,NON_EVENT"</x:formula1>
    </x:dataValidation>
    <x:dataValidation type="list" sqref="E42">
      <x:formula1>"SETUJU_USULAN,KOREKSI,TUNDA,KELUARKAN"</x:formula1>
    </x:dataValidation>
    <x:dataValidation type="list" sqref="F42">
      <x:formula1>"FLOOD,EARTHQUAKE,FIRE,ACCIDENT,NON_EVENT"</x:formula1>
    </x:dataValidation>
    <x:dataValidation type="list" sqref="E43">
      <x:formula1>"SETUJU_USULAN,KOREKSI,TUNDA,KELUARKAN"</x:formula1>
    </x:dataValidation>
    <x:dataValidation type="list" sqref="F43">
      <x:formula1>"FLOOD,EARTHQUAKE,FIRE,ACCIDENT,NON_EVENT"</x:formula1>
    </x:dataValidation>
    <x:dataValidation type="list" sqref="E44">
      <x:formula1>"SETUJU_USULAN,KOREKSI,TUNDA,KELUARKAN"</x:formula1>
    </x:dataValidation>
    <x:dataValidation type="list" sqref="F44">
      <x:formula1>"FLOOD,EARTHQUAKE,FIRE,ACCIDENT,NON_EVENT"</x:formula1>
    </x:dataValidation>
    <x:dataValidation type="list" sqref="E45">
      <x:formula1>"SETUJU_USULAN,KOREKSI,TUNDA,KELUARKAN"</x:formula1>
    </x:dataValidation>
    <x:dataValidation type="list" sqref="F45">
      <x:formula1>"FLOOD,EARTHQUAKE,FIRE,ACCIDENT,NON_EVENT"</x:formula1>
    </x:dataValidation>
    <x:dataValidation type="list" sqref="E46">
      <x:formula1>"SETUJU_USULAN,KOREKSI,TUNDA,KELUARKAN"</x:formula1>
    </x:dataValidation>
    <x:dataValidation type="list" sqref="F46">
      <x:formula1>"FLOOD,EARTHQUAKE,FIRE,ACCIDENT,NON_EVENT"</x:formula1>
    </x:dataValidation>
    <x:dataValidation type="list" sqref="E47">
      <x:formula1>"SETUJU_USULAN,KOREKSI,TUNDA,KELUARKAN"</x:formula1>
    </x:dataValidation>
    <x:dataValidation type="list" sqref="F47">
      <x:formula1>"FLOOD,EARTHQUAKE,FIRE,ACCIDENT,NON_EVENT"</x:formula1>
    </x:dataValidation>
    <x:dataValidation type="list" sqref="E48">
      <x:formula1>"SETUJU_USULAN,KOREKSI,TUNDA,KELUARKAN"</x:formula1>
    </x:dataValidation>
    <x:dataValidation type="list" sqref="F48">
      <x:formula1>"FLOOD,EARTHQUAKE,FIRE,ACCIDENT,NON_EVENT"</x:formula1>
    </x:dataValidation>
    <x:dataValidation type="list" sqref="E49">
      <x:formula1>"SETUJU_USULAN,KOREKSI,TUNDA,KELUARKAN"</x:formula1>
    </x:dataValidation>
    <x:dataValidation type="list" sqref="F49">
      <x:formula1>"FLOOD,EARTHQUAKE,FIRE,ACCIDENT,NON_EVENT"</x:formula1>
    </x:dataValidation>
    <x:dataValidation type="list" sqref="E50">
      <x:formula1>"SETUJU_USULAN,KOREKSI,TUNDA,KELUARKAN"</x:formula1>
    </x:dataValidation>
    <x:dataValidation type="list" sqref="F50">
      <x:formula1>"FLOOD,EARTHQUAKE,FIRE,ACCIDENT,NON_EVENT"</x:formula1>
    </x:dataValidation>
    <x:dataValidation type="list" sqref="E51">
      <x:formula1>"SETUJU_USULAN,KOREKSI,TUNDA,KELUARKAN"</x:formula1>
    </x:dataValidation>
    <x:dataValidation type="list" sqref="F51">
      <x:formula1>"FLOOD,EARTHQUAKE,FIRE,ACCIDENT,NON_EVENT"</x:formula1>
    </x:dataValidation>
    <x:dataValidation type="list" sqref="E52">
      <x:formula1>"SETUJU_USULAN,KOREKSI,TUNDA,KELUARKAN"</x:formula1>
    </x:dataValidation>
    <x:dataValidation type="list" sqref="F52">
      <x:formula1>"FLOOD,EARTHQUAKE,FIRE,ACCIDENT,NON_EVENT"</x:formula1>
    </x:dataValidation>
    <x:dataValidation type="list" sqref="E53">
      <x:formula1>"SETUJU_USULAN,KOREKSI,TUNDA,KELUARKAN"</x:formula1>
    </x:dataValidation>
    <x:dataValidation type="list" sqref="F53">
      <x:formula1>"FLOOD,EARTHQUAKE,FIRE,ACCIDENT,NON_EVENT"</x:formula1>
    </x:dataValidation>
    <x:dataValidation type="list" sqref="E54">
      <x:formula1>"SETUJU_USULAN,KOREKSI,TUNDA,KELUARKAN"</x:formula1>
    </x:dataValidation>
    <x:dataValidation type="list" sqref="F54">
      <x:formula1>"FLOOD,EARTHQUAKE,FIRE,ACCIDENT,NON_EVENT"</x:formula1>
    </x:dataValidation>
    <x:dataValidation type="list" sqref="E55">
      <x:formula1>"SETUJU_USULAN,KOREKSI,TUNDA,KELUARKAN"</x:formula1>
    </x:dataValidation>
    <x:dataValidation type="list" sqref="F55">
      <x:formula1>"FLOOD,EARTHQUAKE,FIRE,ACCIDENT,NON_EVENT"</x:formula1>
    </x:dataValidation>
    <x:dataValidation type="list" sqref="E56">
      <x:formula1>"SETUJU_USULAN,KOREKSI,TUNDA,KELUARKAN"</x:formula1>
    </x:dataValidation>
    <x:dataValidation type="list" sqref="F56">
      <x:formula1>"FLOOD,EARTHQUAKE,FIRE,ACCIDENT,NON_EVENT"</x:formula1>
    </x:dataValidation>
    <x:dataValidation type="list" sqref="E57">
      <x:formula1>"SETUJU_USULAN,KOREKSI,TUNDA,KELUARKAN"</x:formula1>
    </x:dataValidation>
    <x:dataValidation type="list" sqref="F57">
      <x:formula1>"FLOOD,EARTHQUAKE,FIRE,ACCIDENT,NON_EVENT"</x:formula1>
    </x:dataValidation>
    <x:dataValidation type="list" sqref="E58">
      <x:formula1>"SETUJU_USULAN,KOREKSI,TUNDA,KELUARKAN"</x:formula1>
    </x:dataValidation>
    <x:dataValidation type="list" sqref="F58">
      <x:formula1>"FLOOD,EARTHQUAKE,FIRE,ACCIDENT,NON_EVENT"</x:formula1>
    </x:dataValidation>
    <x:dataValidation type="list" sqref="E59">
      <x:formula1>"SETUJU_USULAN,KOREKSI,TUNDA,KELUARKAN"</x:formula1>
    </x:dataValidation>
    <x:dataValidation type="list" sqref="F59">
      <x:formula1>"FLOOD,EARTHQUAKE,FIRE,ACCIDENT,NON_EVENT"</x:formula1>
    </x:dataValidation>
    <x:dataValidation type="list" sqref="E60">
      <x:formula1>"SETUJU_USULAN,KOREKSI,TUNDA,KELUARKAN"</x:formula1>
    </x:dataValidation>
    <x:dataValidation type="list" sqref="F60">
      <x:formula1>"FLOOD,EARTHQUAKE,FIRE,ACCIDENT,NON_EVENT"</x:formula1>
    </x:dataValidation>
    <x:dataValidation type="list" sqref="E61">
      <x:formula1>"SETUJU_USULAN,KOREKSI,TUNDA,KELUARKAN"</x:formula1>
    </x:dataValidation>
    <x:dataValidation type="list" sqref="F61">
      <x:formula1>"FLOOD,EARTHQUAKE,FIRE,ACCIDENT,NON_EVENT"</x:formula1>
    </x:dataValidation>
    <x:dataValidation type="list" sqref="E62">
      <x:formula1>"SETUJU_USULAN,KOREKSI,TUNDA,KELUARKAN"</x:formula1>
    </x:dataValidation>
    <x:dataValidation type="list" sqref="F62">
      <x:formula1>"FLOOD,EARTHQUAKE,FIRE,ACCIDENT,NON_EVENT"</x:formula1>
    </x:dataValidation>
    <x:dataValidation type="list" sqref="E63">
      <x:formula1>"SETUJU_USULAN,KOREKSI,TUNDA,KELUARKAN"</x:formula1>
    </x:dataValidation>
    <x:dataValidation type="list" sqref="F63">
      <x:formula1>"FLOOD,EARTHQUAKE,FIRE,ACCIDENT,NON_EVENT"</x:formula1>
    </x:dataValidation>
    <x:dataValidation type="list" sqref="E64">
      <x:formula1>"SETUJU_USULAN,KOREKSI,TUNDA,KELUARKAN"</x:formula1>
    </x:dataValidation>
    <x:dataValidation type="list" sqref="F64">
      <x:formula1>"FLOOD,EARTHQUAKE,FIRE,ACCIDENT,NON_EVENT"</x:formula1>
    </x:dataValidation>
    <x:dataValidation type="list" sqref="E65">
      <x:formula1>"SETUJU_USULAN,KOREKSI,TUNDA,KELUARKAN"</x:formula1>
    </x:dataValidation>
    <x:dataValidation type="list" sqref="F65">
      <x:formula1>"FLOOD,EARTHQUAKE,FIRE,ACCIDENT,NON_EVENT"</x:formula1>
    </x:dataValidation>
    <x:dataValidation type="list" sqref="E66">
      <x:formula1>"SETUJU_USULAN,KOREKSI,TUNDA,KELUARKAN"</x:formula1>
    </x:dataValidation>
    <x:dataValidation type="list" sqref="F66">
      <x:formula1>"FLOOD,EARTHQUAKE,FIRE,ACCIDENT,NON_EVENT"</x:formula1>
    </x:dataValidation>
    <x:dataValidation type="list" sqref="E67">
      <x:formula1>"SETUJU_USULAN,KOREKSI,TUNDA,KELUARKAN"</x:formula1>
    </x:dataValidation>
    <x:dataValidation type="list" sqref="F67">
      <x:formula1>"FLOOD,EARTHQUAKE,FIRE,ACCIDENT,NON_EVENT"</x:formula1>
    </x:dataValidation>
    <x:dataValidation type="list" sqref="E68">
      <x:formula1>"SETUJU_USULAN,KOREKSI,TUNDA,KELUARKAN"</x:formula1>
    </x:dataValidation>
    <x:dataValidation type="list" sqref="F68">
      <x:formula1>"FLOOD,EARTHQUAKE,FIRE,ACCIDENT,NON_EVENT"</x:formula1>
    </x:dataValidation>
    <x:dataValidation type="list" sqref="E69">
      <x:formula1>"SETUJU_USULAN,KOREKSI,TUNDA,KELUARKAN"</x:formula1>
    </x:dataValidation>
    <x:dataValidation type="list" sqref="F69">
      <x:formula1>"FLOOD,EARTHQUAKE,FIRE,ACCIDENT,NON_EVENT"</x:formula1>
    </x:dataValidation>
    <x:dataValidation type="list" sqref="E70">
      <x:formula1>"SETUJU_USULAN,KOREKSI,TUNDA,KELUARKAN"</x:formula1>
    </x:dataValidation>
    <x:dataValidation type="list" sqref="F70">
      <x:formula1>"FLOOD,EARTHQUAKE,FIRE,ACCIDENT,NON_EVENT"</x:formula1>
    </x:dataValidation>
    <x:dataValidation type="list" sqref="E71">
      <x:formula1>"SETUJU_USULAN,KOREKSI,TUNDA,KELUARKAN"</x:formula1>
    </x:dataValidation>
    <x:dataValidation type="list" sqref="F71">
      <x:formula1>"FLOOD,EARTHQUAKE,FIRE,ACCIDENT,NON_EVENT"</x:formula1>
    </x:dataValidation>
    <x:dataValidation type="list" sqref="E72">
      <x:formula1>"SETUJU_USULAN,KOREKSI,TUNDA,KELUARKAN"</x:formula1>
    </x:dataValidation>
    <x:dataValidation type="list" sqref="F72">
      <x:formula1>"FLOOD,EARTHQUAKE,FIRE,ACCIDENT,NON_EVENT"</x:formula1>
    </x:dataValidation>
    <x:dataValidation type="list" sqref="E73">
      <x:formula1>"SETUJU_USULAN,KOREKSI,TUNDA,KELUARKAN"</x:formula1>
    </x:dataValidation>
    <x:dataValidation type="list" sqref="F73">
      <x:formula1>"FLOOD,EARTHQUAKE,FIRE,ACCIDENT,NON_EVENT"</x:formula1>
    </x:dataValidation>
    <x:dataValidation type="list" sqref="E74">
      <x:formula1>"SETUJU_USULAN,KOREKSI,TUNDA,KELUARKAN"</x:formula1>
    </x:dataValidation>
    <x:dataValidation type="list" sqref="F74">
      <x:formula1>"FLOOD,EARTHQUAKE,FIRE,ACCIDENT,NON_EVENT"</x:formula1>
    </x:dataValidation>
    <x:dataValidation type="list" sqref="E75">
      <x:formula1>"SETUJU_USULAN,KOREKSI,TUNDA,KELUARKAN"</x:formula1>
    </x:dataValidation>
    <x:dataValidation type="list" sqref="F75">
      <x:formula1>"FLOOD,EARTHQUAKE,FIRE,ACCIDENT,NON_EVENT"</x:formula1>
    </x:dataValidation>
    <x:dataValidation type="list" sqref="E76">
      <x:formula1>"SETUJU_USULAN,KOREKSI,TUNDA,KELUARKAN"</x:formula1>
    </x:dataValidation>
    <x:dataValidation type="list" sqref="F76">
      <x:formula1>"FLOOD,EARTHQUAKE,FIRE,ACCIDENT,NON_EVENT"</x:formula1>
    </x:dataValidation>
    <x:dataValidation type="list" sqref="E77">
      <x:formula1>"SETUJU_USULAN,KOREKSI,TUNDA,KELUARKAN"</x:formula1>
    </x:dataValidation>
    <x:dataValidation type="list" sqref="F77">
      <x:formula1>"FLOOD,EARTHQUAKE,FIRE,ACCIDENT,NON_EVENT"</x:formula1>
    </x:dataValidation>
    <x:dataValidation type="list" sqref="E78">
      <x:formula1>"SETUJU_USULAN,KOREKSI,TUNDA,KELUARKAN"</x:formula1>
    </x:dataValidation>
    <x:dataValidation type="list" sqref="F78">
      <x:formula1>"FLOOD,EARTHQUAKE,FIRE,ACCIDENT,NON_EVENT"</x:formula1>
    </x:dataValidation>
    <x:dataValidation type="list" sqref="E79">
      <x:formula1>"SETUJU_USULAN,KOREKSI,TUNDA,KELUARKAN"</x:formula1>
    </x:dataValidation>
    <x:dataValidation type="list" sqref="F79">
      <x:formula1>"FLOOD,EARTHQUAKE,FIRE,ACCIDENT,NON_EVENT"</x:formula1>
    </x:dataValidation>
    <x:dataValidation type="list" sqref="E80">
      <x:formula1>"SETUJU_USULAN,KOREKSI,TUNDA,KELUARKAN"</x:formula1>
    </x:dataValidation>
    <x:dataValidation type="list" sqref="F80">
      <x:formula1>"FLOOD,EARTHQUAKE,FIRE,ACCIDENT,NON_EVENT"</x:formula1>
    </x:dataValidation>
    <x:dataValidation type="list" sqref="E81">
      <x:formula1>"SETUJU_USULAN,KOREKSI,TUNDA,KELUARKAN"</x:formula1>
    </x:dataValidation>
    <x:dataValidation type="list" sqref="F81">
      <x:formula1>"FLOOD,EARTHQUAKE,FIRE,ACCIDENT,NON_EVENT"</x:formula1>
    </x:dataValidation>
    <x:dataValidation type="list" sqref="E82">
      <x:formula1>"SETUJU_USULAN,KOREKSI,TUNDA,KELUARKAN"</x:formula1>
    </x:dataValidation>
    <x:dataValidation type="list" sqref="F82">
      <x:formula1>"FLOOD,EARTHQUAKE,FIRE,ACCIDENT,NON_EVENT"</x:formula1>
    </x:dataValidation>
    <x:dataValidation type="list" sqref="E83">
      <x:formula1>"SETUJU_USULAN,KOREKSI,TUNDA,KELUARKAN"</x:formula1>
    </x:dataValidation>
    <x:dataValidation type="list" sqref="F83">
      <x:formula1>"FLOOD,EARTHQUAKE,FIRE,ACCIDENT,NON_EVENT"</x:formula1>
    </x:dataValidation>
    <x:dataValidation type="list" sqref="E84">
      <x:formula1>"SETUJU_USULAN,KOREKSI,TUNDA,KELUARKAN"</x:formula1>
    </x:dataValidation>
    <x:dataValidation type="list" sqref="F84">
      <x:formula1>"FLOOD,EARTHQUAKE,FIRE,ACCIDENT,NON_EVENT"</x:formula1>
    </x:dataValidation>
    <x:dataValidation type="list" sqref="E85">
      <x:formula1>"SETUJU_USULAN,KOREKSI,TUNDA,KELUARKAN"</x:formula1>
    </x:dataValidation>
    <x:dataValidation type="list" sqref="F85">
      <x:formula1>"FLOOD,EARTHQUAKE,FIRE,ACCIDENT,NON_EVENT"</x:formula1>
    </x:dataValidation>
    <x:dataValidation type="list" sqref="E86">
      <x:formula1>"SETUJU_USULAN,KOREKSI,TUNDA,KELUARKAN"</x:formula1>
    </x:dataValidation>
    <x:dataValidation type="list" sqref="F86">
      <x:formula1>"FLOOD,EARTHQUAKE,FIRE,ACCIDENT,NON_EVENT"</x:formula1>
    </x:dataValidation>
    <x:dataValidation type="list" sqref="E87">
      <x:formula1>"SETUJU_USULAN,KOREKSI,TUNDA,KELUARKAN"</x:formula1>
    </x:dataValidation>
    <x:dataValidation type="list" sqref="F87">
      <x:formula1>"FLOOD,EARTHQUAKE,FIRE,ACCIDENT,NON_EVENT"</x:formula1>
    </x:dataValidation>
    <x:dataValidation type="list" sqref="E88">
      <x:formula1>"SETUJU_USULAN,KOREKSI,TUNDA,KELUARKAN"</x:formula1>
    </x:dataValidation>
    <x:dataValidation type="list" sqref="F88">
      <x:formula1>"FLOOD,EARTHQUAKE,FIRE,ACCIDENT,NON_EVENT"</x:formula1>
    </x:dataValidation>
    <x:dataValidation type="list" sqref="E89">
      <x:formula1>"SETUJU_USULAN,KOREKSI,TUNDA,KELUARKAN"</x:formula1>
    </x:dataValidation>
    <x:dataValidation type="list" sqref="F89">
      <x:formula1>"FLOOD,EARTHQUAKE,FIRE,ACCIDENT,NON_EVENT"</x:formula1>
    </x:dataValidation>
    <x:dataValidation type="list" sqref="E90">
      <x:formula1>"SETUJU_USULAN,KOREKSI,TUNDA,KELUARKAN"</x:formula1>
    </x:dataValidation>
    <x:dataValidation type="list" sqref="F90">
      <x:formula1>"FLOOD,EARTHQUAKE,FIRE,ACCIDENT,NON_EVENT"</x:formula1>
    </x:dataValidation>
    <x:dataValidation type="list" sqref="E91">
      <x:formula1>"SETUJU_USULAN,KOREKSI,TUNDA,KELUARKAN"</x:formula1>
    </x:dataValidation>
    <x:dataValidation type="list" sqref="F91">
      <x:formula1>"FLOOD,EARTHQUAKE,FIRE,ACCIDENT,NON_EVENT"</x:formula1>
    </x:dataValidation>
    <x:dataValidation type="list" sqref="E92">
      <x:formula1>"SETUJU_USULAN,KOREKSI,TUNDA,KELUARKAN"</x:formula1>
    </x:dataValidation>
    <x:dataValidation type="list" sqref="F92">
      <x:formula1>"FLOOD,EARTHQUAKE,FIRE,ACCIDENT,NON_EVENT"</x:formula1>
    </x:dataValidation>
    <x:dataValidation type="list" sqref="E93">
      <x:formula1>"SETUJU_USULAN,KOREKSI,TUNDA,KELUARKAN"</x:formula1>
    </x:dataValidation>
    <x:dataValidation type="list" sqref="F93">
      <x:formula1>"FLOOD,EARTHQUAKE,FIRE,ACCIDENT,NON_EVENT"</x:formula1>
    </x:dataValidation>
    <x:dataValidation type="list" sqref="E94">
      <x:formula1>"SETUJU_USULAN,KOREKSI,TUNDA,KELUARKAN"</x:formula1>
    </x:dataValidation>
    <x:dataValidation type="list" sqref="F94">
      <x:formula1>"FLOOD,EARTHQUAKE,FIRE,ACCIDENT,NON_EVENT"</x:formula1>
    </x:dataValidation>
    <x:dataValidation type="list" sqref="E95">
      <x:formula1>"SETUJU_USULAN,KOREKSI,TUNDA,KELUARKAN"</x:formula1>
    </x:dataValidation>
    <x:dataValidation type="list" sqref="F95">
      <x:formula1>"FLOOD,EARTHQUAKE,FIRE,ACCIDENT,NON_EVENT"</x:formula1>
    </x:dataValidation>
    <x:dataValidation type="list" sqref="E96">
      <x:formula1>"SETUJU_USULAN,KOREKSI,TUNDA,KELUARKAN"</x:formula1>
    </x:dataValidation>
    <x:dataValidation type="list" sqref="F96">
      <x:formula1>"FLOOD,EARTHQUAKE,FIRE,ACCIDENT,NON_EVENT"</x:formula1>
    </x:dataValidation>
    <x:dataValidation type="list" sqref="E97">
      <x:formula1>"SETUJU_USULAN,KOREKSI,TUNDA,KELUARKAN"</x:formula1>
    </x:dataValidation>
    <x:dataValidation type="list" sqref="F97">
      <x:formula1>"FLOOD,EARTHQUAKE,FIRE,ACCIDENT,NON_EVENT"</x:formula1>
    </x:dataValidation>
    <x:dataValidation type="list" sqref="E98">
      <x:formula1>"SETUJU_USULAN,KOREKSI,TUNDA,KELUARKAN"</x:formula1>
    </x:dataValidation>
    <x:dataValidation type="list" sqref="F98">
      <x:formula1>"FLOOD,EARTHQUAKE,FIRE,ACCIDENT,NON_EVENT"</x:formula1>
    </x:dataValidation>
    <x:dataValidation type="list" sqref="E99">
      <x:formula1>"SETUJU_USULAN,KOREKSI,TUNDA,KELUARKAN"</x:formula1>
    </x:dataValidation>
    <x:dataValidation type="list" sqref="F99">
      <x:formula1>"FLOOD,EARTHQUAKE,FIRE,ACCIDENT,NON_EVENT"</x:formula1>
    </x:dataValidation>
    <x:dataValidation type="list" sqref="E100">
      <x:formula1>"SETUJU_USULAN,KOREKSI,TUNDA,KELUARKAN"</x:formula1>
    </x:dataValidation>
    <x:dataValidation type="list" sqref="F100">
      <x:formula1>"FLOOD,EARTHQUAKE,FIRE,ACCIDENT,NON_EVENT"</x:formula1>
    </x:dataValidation>
    <x:dataValidation type="list" sqref="E101">
      <x:formula1>"SETUJU_USULAN,KOREKSI,TUNDA,KELUARKAN"</x:formula1>
    </x:dataValidation>
    <x:dataValidation type="list" sqref="F101">
      <x:formula1>"FLOOD,EARTHQUAKE,FIRE,ACCIDENT,NON_EVENT"</x:formula1>
    </x:dataValidation>
    <x:dataValidation type="list" sqref="E102">
      <x:formula1>"SETUJU_USULAN,KOREKSI,TUNDA,KELUARKAN"</x:formula1>
    </x:dataValidation>
    <x:dataValidation type="list" sqref="F102">
      <x:formula1>"FLOOD,EARTHQUAKE,FIRE,ACCIDENT,NON_EVENT"</x:formula1>
    </x:dataValidation>
    <x:dataValidation type="list" sqref="E103">
      <x:formula1>"SETUJU_USULAN,KOREKSI,TUNDA,KELUARKAN"</x:formula1>
    </x:dataValidation>
    <x:dataValidation type="list" sqref="F103">
      <x:formula1>"FLOOD,EARTHQUAKE,FIRE,ACCIDENT,NON_EVENT"</x:formula1>
    </x:dataValidation>
    <x:dataValidation type="list" sqref="E104">
      <x:formula1>"SETUJU_USULAN,KOREKSI,TUNDA,KELUARKAN"</x:formula1>
    </x:dataValidation>
    <x:dataValidation type="list" sqref="F104">
      <x:formula1>"FLOOD,EARTHQUAKE,FIRE,ACCIDENT,NON_EVENT"</x:formula1>
    </x:dataValidation>
    <x:dataValidation type="list" sqref="E105">
      <x:formula1>"SETUJU_USULAN,KOREKSI,TUNDA,KELUARKAN"</x:formula1>
    </x:dataValidation>
    <x:dataValidation type="list" sqref="F105">
      <x:formula1>"FLOOD,EARTHQUAKE,FIRE,ACCIDENT,NON_EVENT"</x:formula1>
    </x:dataValidation>
    <x:dataValidation type="list" sqref="E106">
      <x:formula1>"SETUJU_USULAN,KOREKSI,TUNDA,KELUARKAN"</x:formula1>
    </x:dataValidation>
    <x:dataValidation type="list" sqref="F106">
      <x:formula1>"FLOOD,EARTHQUAKE,FIRE,ACCIDENT,NON_EVENT"</x:formula1>
    </x:dataValidation>
    <x:dataValidation type="list" sqref="E107">
      <x:formula1>"SETUJU_USULAN,KOREKSI,TUNDA,KELUARKAN"</x:formula1>
    </x:dataValidation>
    <x:dataValidation type="list" sqref="F107">
      <x:formula1>"FLOOD,EARTHQUAKE,FIRE,ACCIDENT,NON_EVENT"</x:formula1>
    </x:dataValidation>
    <x:dataValidation type="list" sqref="E108">
      <x:formula1>"SETUJU_USULAN,KOREKSI,TUNDA,KELUARKAN"</x:formula1>
    </x:dataValidation>
    <x:dataValidation type="list" sqref="F108">
      <x:formula1>"FLOOD,EARTHQUAKE,FIRE,ACCIDENT,NON_EVENT"</x:formula1>
    </x:dataValidation>
    <x:dataValidation type="list" sqref="E109">
      <x:formula1>"SETUJU_USULAN,KOREKSI,TUNDA,KELUARKAN"</x:formula1>
    </x:dataValidation>
    <x:dataValidation type="list" sqref="F109">
      <x:formula1>"FLOOD,EARTHQUAKE,FIRE,ACCIDENT,NON_EVENT"</x:formula1>
    </x:dataValidation>
    <x:dataValidation type="list" sqref="E110">
      <x:formula1>"SETUJU_USULAN,KOREKSI,TUNDA,KELUARKAN"</x:formula1>
    </x:dataValidation>
    <x:dataValidation type="list" sqref="F110">
      <x:formula1>"FLOOD,EARTHQUAKE,FIRE,ACCIDENT,NON_EVENT"</x:formula1>
    </x:dataValidation>
    <x:dataValidation type="list" sqref="E111">
      <x:formula1>"SETUJU_USULAN,KOREKSI,TUNDA,KELUARKAN"</x:formula1>
    </x:dataValidation>
    <x:dataValidation type="list" sqref="F111">
      <x:formula1>"FLOOD,EARTHQUAKE,FIRE,ACCIDENT,NON_EVENT"</x:formula1>
    </x:dataValidation>
    <x:dataValidation type="list" sqref="E112">
      <x:formula1>"SETUJU_USULAN,KOREKSI,TUNDA,KELUARKAN"</x:formula1>
    </x:dataValidation>
    <x:dataValidation type="list" sqref="F112">
      <x:formula1>"FLOOD,EARTHQUAKE,FIRE,ACCIDENT,NON_EVENT"</x:formula1>
    </x:dataValidation>
    <x:dataValidation type="list" sqref="E113">
      <x:formula1>"SETUJU_USULAN,KOREKSI,TUNDA,KELUARKAN"</x:formula1>
    </x:dataValidation>
    <x:dataValidation type="list" sqref="F113">
      <x:formula1>"FLOOD,EARTHQUAKE,FIRE,ACCIDENT,NON_EVENT"</x:formula1>
    </x:dataValidation>
    <x:dataValidation type="list" sqref="E114">
      <x:formula1>"SETUJU_USULAN,KOREKSI,TUNDA,KELUARKAN"</x:formula1>
    </x:dataValidation>
    <x:dataValidation type="list" sqref="F114">
      <x:formula1>"FLOOD,EARTHQUAKE,FIRE,ACCIDENT,NON_EVENT"</x:formula1>
    </x:dataValidation>
    <x:dataValidation type="list" sqref="E115">
      <x:formula1>"SETUJU_USULAN,KOREKSI,TUNDA,KELUARKAN"</x:formula1>
    </x:dataValidation>
    <x:dataValidation type="list" sqref="F115">
      <x:formula1>"FLOOD,EARTHQUAKE,FIRE,ACCIDENT,NON_EVENT"</x:formula1>
    </x:dataValidation>
    <x:dataValidation type="list" sqref="E116">
      <x:formula1>"SETUJU_USULAN,KOREKSI,TUNDA,KELUARKAN"</x:formula1>
    </x:dataValidation>
    <x:dataValidation type="list" sqref="F116">
      <x:formula1>"FLOOD,EARTHQUAKE,FIRE,ACCIDENT,NON_EVENT"</x:formula1>
    </x:dataValidation>
    <x:dataValidation type="list" sqref="E117">
      <x:formula1>"SETUJU_USULAN,KOREKSI,TUNDA,KELUARKAN"</x:formula1>
    </x:dataValidation>
    <x:dataValidation type="list" sqref="F117">
      <x:formula1>"FLOOD,EARTHQUAKE,FIRE,ACCIDENT,NON_EVENT"</x:formula1>
    </x:dataValidation>
    <x:dataValidation type="list" sqref="E118">
      <x:formula1>"SETUJU_USULAN,KOREKSI,TUNDA,KELUARKAN"</x:formula1>
    </x:dataValidation>
    <x:dataValidation type="list" sqref="F118">
      <x:formula1>"FLOOD,EARTHQUAKE,FIRE,ACCIDENT,NON_EVENT"</x:formula1>
    </x:dataValidation>
  </x:dataValidations>
  <x:pageMargins left="0.7" right="0.7" top="0.75" bottom="0.75" header="0.3" footer="0.3"/>
  <x:tableParts count="1">
    <x:tablePart xmlns:r="http://schemas.openxmlformats.org/officeDocument/2006/relationships" r:id="Rb7decc90e6064719"/>
  </x:tableParts>
</x:worksheet>
</file>

<file path=xl/worksheets/sheet3.xml><?xml version="1.0" encoding="utf-8"?>
<x:worksheet xmlns:x="http://schemas.openxmlformats.org/spreadsheetml/2006/main">
  <x:sheetPr>
    <x:tabColor rgb="FF244B6B"/>
  </x:sheetPr>
  <x:sheetViews>
    <x:sheetView showGridLines="0" workbookViewId="0">
      <x:pane xSplit="2" ySplit="7" topLeftCell="C8" activePane="bottomRight" state="frozen"/>
    </x:sheetView>
  </x:sheetViews>
  <x:sheetFormatPr defaultRowHeight="15"/>
  <x:cols>
    <x:col min="1" max="1" width="12" hidden="0" customWidth="1"/>
    <x:col min="2" max="2" width="24" hidden="0" customWidth="1"/>
    <x:col min="3" max="3" width="69" hidden="0" customWidth="1"/>
    <x:col min="4" max="4" width="34" hidden="0" customWidth="1"/>
    <x:col min="5" max="5" width="34" hidden="0" customWidth="1"/>
    <x:col min="6" max="6" width="23" hidden="0" customWidth="1"/>
    <x:col min="7" max="7" width="37" hidden="0" customWidth="1"/>
    <x:col min="8" max="8" width="40" hidden="0" customWidth="1"/>
    <x:col min="9" max="9" width="34" hidden="0" customWidth="1"/>
    <x:col min="10" max="10" width="25" hidden="0" customWidth="1"/>
    <x:col min="11" max="11" width="60" hidden="0" customWidth="1"/>
  </x:cols>
  <x:sheetData>
    <x:row r="1" ht="32" customHeight="1">
      <x:c r="A1" s="6" t="str">
        <x:v>NARA · Review acuan tujuh field</x:v>
      </x:c>
      <x:c r="B1" s="6"/>
      <x:c r="C1" s="6"/>
      <x:c r="D1" s="6"/>
      <x:c r="E1" s="6"/>
      <x:c r="F1" s="6"/>
      <x:c r="G1" s="6"/>
      <x:c r="H1" s="6"/>
      <x:c r="I1" s="6"/>
      <x:c r="J1" s="6"/>
      <x:c r="K1" s="6"/>
    </x:row>
    <x:row r="2" ht="25" customHeight="1">
      <x:c r="A2" s="7" t="str">
        <x:v>12 narasi × 7 field = 84 nilai; 11 keputusan terdahulu dipertahankan dan 73 nilai perlu review.</x:v>
      </x:c>
      <x:c r="B2" s="7"/>
      <x:c r="C2" s="7"/>
      <x:c r="D2" s="7"/>
      <x:c r="E2" s="7"/>
      <x:c r="F2" s="7"/>
      <x:c r="G2" s="7"/>
      <x:c r="H2" s="7"/>
      <x:c r="I2" s="7"/>
      <x:c r="J2" s="7"/>
      <x:c r="K2" s="7"/>
    </x:row>
    <x:row r="3" ht="23" customHeight="1">
      <x:c r="A3" s="7" t="str">
        <x:v>Sumber: smoke predictions runtime 17 Okt 2026, normalisasi v0.2.0, dan workbook review v0.5.</x:v>
      </x:c>
      <x:c r="B3" s="7"/>
      <x:c r="C3" s="7"/>
      <x:c r="D3" s="7"/>
      <x:c r="E3" s="7"/>
      <x:c r="F3" s="7"/>
      <x:c r="G3" s="7"/>
      <x:c r="H3" s="7"/>
      <x:c r="I3" s="7"/>
      <x:c r="J3" s="7"/>
      <x:c r="K3" s="7"/>
    </x:row>
    <x:row r="4" ht="23" customHeight="1">
      <x:c r="A4" s="7" t="str">
        <x:v>Isi sel kuning: keputusan, koreksi bila perlu, dan catatan. Nama reviewer di Panduan!B5.</x:v>
      </x:c>
      <x:c r="B4" s="7"/>
      <x:c r="C4" s="7"/>
      <x:c r="D4" s="7"/>
      <x:c r="E4" s="7"/>
      <x:c r="F4" s="7"/>
      <x:c r="G4" s="7"/>
      <x:c r="H4" s="7"/>
      <x:c r="I4" s="7"/>
      <x:c r="J4" s="7"/>
      <x:c r="K4" s="7"/>
    </x:row>
    <x:row r="5" ht="25" customHeight="1">
      <x:c r="A5" s="7" t="str">
        <x:v>Semua nilai disimpan sebagai JSON. Acuan field ini belum merupakan target token untuk fine-tune NARA.</x:v>
      </x:c>
      <x:c r="B5" s="7"/>
      <x:c r="C5" s="7"/>
      <x:c r="D5" s="7"/>
      <x:c r="E5" s="7"/>
      <x:c r="F5" s="7"/>
      <x:c r="G5" s="7"/>
      <x:c r="H5" s="7"/>
      <x:c r="I5" s="7"/>
      <x:c r="J5" s="7"/>
      <x:c r="K5" s="7"/>
    </x:row>
    <x:row r="6">
      <x:c r="A6" s="4"/>
      <x:c r="B6" s="4"/>
      <x:c r="C6" s="4"/>
      <x:c r="D6" s="4"/>
      <x:c r="E6" s="4"/>
      <x:c r="F6" s="4"/>
      <x:c r="G6" s="4"/>
      <x:c r="H6" s="4"/>
      <x:c r="I6" s="4"/>
      <x:c r="J6" s="4"/>
      <x:c r="K6" s="4"/>
    </x:row>
    <x:row r="7" ht="36" customHeight="1">
      <x:c r="A7" s="11" t="str">
        <x:v>ID</x:v>
      </x:c>
      <x:c r="B7" s="11" t="str">
        <x:v>Field</x:v>
      </x:c>
      <x:c r="C7" s="11" t="str">
        <x:v>Narasi</x:v>
      </x:c>
      <x:c r="D7" s="11" t="str">
        <x:v>Hasil saat ini (JSON)</x:v>
      </x:c>
      <x:c r="E7" s="11" t="str">
        <x:v>Usulan (JSON)</x:v>
      </x:c>
      <x:c r="F7" s="11" t="str">
        <x:v>Keputusan</x:v>
      </x:c>
      <x:c r="G7" s="11" t="str">
        <x:v>Koreksi (JSON)</x:v>
      </x:c>
      <x:c r="H7" s="11" t="str">
        <x:v>Catatan reviewer</x:v>
      </x:c>
      <x:c r="I7" s="11" t="str">
        <x:v>Final (JSON)</x:v>
      </x:c>
      <x:c r="J7" s="11" t="str">
        <x:v>Status</x:v>
      </x:c>
      <x:c r="K7" s="11" t="str">
        <x:v>Dasar usulan</x:v>
      </x:c>
    </x:row>
    <x:row r="8" ht="66" customHeight="1">
      <x:c r="A8" s="4" t="str">
        <x:v>D01</x:v>
      </x:c>
      <x:c r="B8" s="4" t="str">
        <x:v>location_text</x:v>
      </x:c>
      <x:c r="C8" s="4" t="str">
        <x:v>Banjir terjadi di Sukarame dan merendam beberapa rumah sejak pukul 15.00.</x:v>
      </x:c>
      <x:c r="D8" s="4" t="str">
        <x:v>"Sukarame"</x:v>
      </x:c>
      <x:c r="E8" s="4" t="str">
        <x:v>"Sukarame"</x:v>
      </x:c>
      <x:c r="F8" s="12" t="str">
        <x:v>SETUJU_USULAN</x:v>
      </x:c>
      <x:c r="G8" s="12" t="str"/>
      <x:c r="H8" s="12" t="str">
        <x:v>Frasa lokasi disebut eksplisit pada sumber dan dipertahankan tanpa menambah alamat.</x:v>
      </x:c>
      <x:c r="I8" s="4" t="str">
        <x:f>IF(F8="SETUJU_USULAN",E8,IF(F8="KOREKSI",G8,""))</x:f>
        <x:v>"Sukarame"</x:v>
      </x:c>
      <x:c r="J8" s="4" t="str">
        <x:f>IF(F8="","BELUM_DIREVIEW",IF(F8="TUNDA","DITUNDA",IF(TRIM(Panduan!$B$5)="","ISI_REVIEWER",IF(AND(F8&lt;&gt;"SETUJU_USULAN",F8&lt;&gt;"KOREKSI"),"CEK_KEPUTUSAN",IF(AND(F8="SETUJU_USULAN",G8&lt;&gt;""),"HAPUS_KOREKSI",IF(AND(F8="KOREKSI",TRIM(G8)=""),"ISI_KOREKSI",IF(AND(F8="KOREKSI",TRIM(H8)=""),"ISI_CATATAN","REVIEW_TERCATAT")))))))</x:f>
        <x:v>REVIEW_TERCATAT</x:v>
      </x:c>
      <x:c r="K8" s="4" t="str">
        <x:v>Usulan awal mengikuti output model; periksa terhadap narasi. Null/[] menyatakan informasi tidak ditemukan, bukan kepastian tidak ada.</x:v>
      </x:c>
    </x:row>
    <x:row r="9" ht="66" customHeight="1">
      <x:c r="A9" s="4" t="str">
        <x:v>D01</x:v>
      </x:c>
      <x:c r="B9" s="4" t="str">
        <x:v>time_text</x:v>
      </x:c>
      <x:c r="C9" s="4" t="str">
        <x:v>Banjir terjadi di Sukarame dan merendam beberapa rumah sejak pukul 15.00.</x:v>
      </x:c>
      <x:c r="D9" s="4" t="str">
        <x:v>"pukul 15.00"</x:v>
      </x:c>
      <x:c r="E9" s="4" t="str">
        <x:v>"pukul 15.00"</x:v>
      </x:c>
      <x:c r="F9" s="12" t="str">
        <x:v>KOREKSI</x:v>
      </x:c>
      <x:c r="G9" s="12" t="str">
        <x:v>"sejak pukul 15.00"</x:v>
      </x:c>
      <x:c r="H9" s="12" t="str">
        <x:v>Frasa sejak pukul 15.00 menyatakan awal berlangsungnya kondisi. Kata sejak dipertahankan agar batas waktu pada sumber tidak hilang.</x:v>
      </x:c>
      <x:c r="I9" s="4" t="str">
        <x:f>IF(F9="SETUJU_USULAN",E9,IF(F9="KOREKSI",G9,""))</x:f>
        <x:v>"sejak pukul 15.00"</x:v>
      </x:c>
      <x:c r="J9" s="4" t="str">
        <x:f>IF(F9="","BELUM_DIREVIEW",IF(F9="TUNDA","DITUNDA",IF(TRIM(Panduan!$B$5)="","ISI_REVIEWER",IF(AND(F9&lt;&gt;"SETUJU_USULAN",F9&lt;&gt;"KOREKSI"),"CEK_KEPUTUSAN",IF(AND(F9="SETUJU_USULAN",G9&lt;&gt;""),"HAPUS_KOREKSI",IF(AND(F9="KOREKSI",TRIM(G9)=""),"ISI_KOREKSI",IF(AND(F9="KOREKSI",TRIM(H9)=""),"ISI_CATATAN","REVIEW_TERCATAT")))))))</x:f>
        <x:v>REVIEW_TERCATAT</x:v>
      </x:c>
      <x:c r="K9" s="4" t="str">
        <x:v>Usulan awal mengikuti output model; periksa terhadap narasi. Null/[] menyatakan informasi tidak ditemukan, bukan kepastian tidak ada.</x:v>
      </x:c>
    </x:row>
    <x:row r="10" ht="66" customHeight="1">
      <x:c r="A10" s="4" t="str">
        <x:v>D01</x:v>
      </x:c>
      <x:c r="B10" s="4" t="str">
        <x:v>occurred_at</x:v>
      </x:c>
      <x:c r="C10" s="4" t="str">
        <x:v>Banjir terjadi di Sukarame dan merendam beberapa rumah sejak pukul 15.00.</x:v>
      </x:c>
      <x:c r="D10" s="4" t="str">
        <x:v>null</x:v>
      </x:c>
      <x:c r="E10" s="4" t="str">
        <x:v>null</x:v>
      </x:c>
      <x:c r="F10" s="12" t="str">
        <x:v>SETUJU_USULAN</x:v>
      </x:c>
      <x:c r="G10" s="12" t="str"/>
      <x:c r="H10" s="12" t="str">
        <x:v>Tidak tersedia gabungan tanggal, jam dan zona waktu yang memadai. occurred_at tetap null tanpa menebak timestamp.</x:v>
      </x:c>
      <x:c r="I10" s="4" t="str">
        <x:f>IF(F10="SETUJU_USULAN",E10,IF(F10="KOREKSI",G10,""))</x:f>
        <x:v>null</x:v>
      </x:c>
      <x:c r="J10" s="4" t="str">
        <x:f>IF(F10="","BELUM_DIREVIEW",IF(F10="TUNDA","DITUNDA",IF(TRIM(Panduan!$B$5)="","ISI_REVIEWER",IF(AND(F10&lt;&gt;"SETUJU_USULAN",F10&lt;&gt;"KOREKSI"),"CEK_KEPUTUSAN",IF(AND(F10="SETUJU_USULAN",G10&lt;&gt;""),"HAPUS_KOREKSI",IF(AND(F10="KOREKSI",TRIM(G10)=""),"ISI_KOREKSI",IF(AND(F10="KOREKSI",TRIM(H10)=""),"ISI_CATATAN","REVIEW_TERCATAT")))))))</x:f>
        <x:v>REVIEW_TERCATAT</x:v>
      </x:c>
      <x:c r="K10" s="4" t="str">
        <x:v>Narasi tidak memberi tanggal, jam dan konteks zona waktu yang memadai; timestamp tidak ditebak.</x:v>
      </x:c>
    </x:row>
    <x:row r="11" ht="66" customHeight="1">
      <x:c r="A11" s="4" t="str">
        <x:v>D01</x:v>
      </x:c>
      <x:c r="B11" s="4" t="str">
        <x:v>involved_parties</x:v>
      </x:c>
      <x:c r="C11" s="4" t="str">
        <x:v>Banjir terjadi di Sukarame dan merendam beberapa rumah sejak pukul 15.00.</x:v>
      </x:c>
      <x:c r="D11" s="4" t="str">
        <x:v>[]</x:v>
      </x:c>
      <x:c r="E11" s="4" t="str">
        <x:v>[]</x:v>
      </x:c>
      <x:c r="F11" s="12" t="str">
        <x:v>SETUJU_USULAN</x:v>
      </x:c>
      <x:c r="G11" s="12" t="str"/>
      <x:c r="H11" s="12" t="str">
        <x:v>Tidak ada pihak atau orang yang disebut secara eksplisit sebagai pelaku atau pihak terlibat. Tidak ditambahkan dari dugaan.</x:v>
      </x:c>
      <x:c r="I11" s="4" t="str">
        <x:f>IF(F11="SETUJU_USULAN",E11,IF(F11="KOREKSI",G11,""))</x:f>
        <x:v>[]</x:v>
      </x:c>
      <x:c r="J11" s="4" t="str">
        <x:f>IF(F11="","BELUM_DIREVIEW",IF(F11="TUNDA","DITUNDA",IF(TRIM(Panduan!$B$5)="","ISI_REVIEWER",IF(AND(F11&lt;&gt;"SETUJU_USULAN",F11&lt;&gt;"KOREKSI"),"CEK_KEPUTUSAN",IF(AND(F11="SETUJU_USULAN",G11&lt;&gt;""),"HAPUS_KOREKSI",IF(AND(F11="KOREKSI",TRIM(G11)=""),"ISI_KOREKSI",IF(AND(F11="KOREKSI",TRIM(H11)=""),"ISI_CATATAN","REVIEW_TERCATAT")))))))</x:f>
        <x:v>REVIEW_TERCATAT</x:v>
      </x:c>
      <x:c r="K11" s="4" t="str">
        <x:v>Usulan awal mengikuti output model; periksa terhadap narasi. Null/[] menyatakan informasi tidak ditemukan, bukan kepastian tidak ada.</x:v>
      </x:c>
    </x:row>
    <x:row r="12" ht="66" customHeight="1">
      <x:c r="A12" s="4" t="str">
        <x:v>D01</x:v>
      </x:c>
      <x:c r="B12" s="4" t="str">
        <x:v>impacts</x:v>
      </x:c>
      <x:c r="C12" s="4" t="str">
        <x:v>Banjir terjadi di Sukarame dan merendam beberapa rumah sejak pukul 15.00.</x:v>
      </x:c>
      <x:c r="D12" s="4" t="str">
        <x:v>[]</x:v>
      </x:c>
      <x:c r="E12" s="4" t="str">
        <x:v>["merendam beberapa rumah"]</x:v>
      </x:c>
      <x:c r="F12" s="13" t="str">
        <x:v>TERWARIS</x:v>
      </x:c>
      <x:c r="G12" s="13" t="str"/>
      <x:c r="H12" s="13" t="str"/>
      <x:c r="I12" s="13" t="str">
        <x:v>["merendam beberapa rumah"]</x:v>
      </x:c>
      <x:c r="J12" s="13" t="str">
        <x:v>FINAL_TERWARIS</x:v>
      </x:c>
      <x:c r="K12" s="4" t="str">
        <x:v>Merendam beberapa rumah dinyatakan sebagai dampak banjir dan merupakan frasa utuh dari sumber. Nilai [] menghilangkan dampak yang disebut eksplisit.</x:v>
      </x:c>
    </x:row>
    <x:row r="13" ht="66" customHeight="1">
      <x:c r="A13" s="4" t="str">
        <x:v>D01</x:v>
      </x:c>
      <x:c r="B13" s="4" t="str">
        <x:v>victims</x:v>
      </x:c>
      <x:c r="C13" s="4" t="str">
        <x:v>Banjir terjadi di Sukarame dan merendam beberapa rumah sejak pukul 15.00.</x:v>
      </x:c>
      <x:c r="D13" s="4" t="str">
        <x:v>[]</x:v>
      </x:c>
      <x:c r="E13" s="4" t="str">
        <x:v>[]</x:v>
      </x:c>
      <x:c r="F13" s="12" t="str">
        <x:v>SETUJU_USULAN</x:v>
      </x:c>
      <x:c r="G13" s="12" t="str"/>
      <x:c r="H13" s="12" t="str">
        <x:v>Tidak ada jumlah atau kondisi korban yang dinyatakan. [] menyatakan tidak ada informasi korban yang diekstrak, bukan nol korban di lapangan.</x:v>
      </x:c>
      <x:c r="I13" s="4" t="str">
        <x:f>IF(F13="SETUJU_USULAN",E13,IF(F13="KOREKSI",G13,""))</x:f>
        <x:v>[]</x:v>
      </x:c>
      <x:c r="J13" s="4" t="str">
        <x:f>IF(F13="","BELUM_DIREVIEW",IF(F13="TUNDA","DITUNDA",IF(TRIM(Panduan!$B$5)="","ISI_REVIEWER",IF(AND(F13&lt;&gt;"SETUJU_USULAN",F13&lt;&gt;"KOREKSI"),"CEK_KEPUTUSAN",IF(AND(F13="SETUJU_USULAN",G13&lt;&gt;""),"HAPUS_KOREKSI",IF(AND(F13="KOREKSI",TRIM(G13)=""),"ISI_KOREKSI",IF(AND(F13="KOREKSI",TRIM(H13)=""),"ISI_CATATAN","REVIEW_TERCATAT")))))))</x:f>
        <x:v>REVIEW_TERCATAT</x:v>
      </x:c>
      <x:c r="K13" s="4" t="str">
        <x:v>Usulan awal mengikuti output model; periksa terhadap narasi. Null/[] menyatakan informasi tidak ditemukan, bukan kepastian tidak ada.</x:v>
      </x:c>
    </x:row>
    <x:row r="14" ht="66" customHeight="1">
      <x:c r="A14" s="4" t="str">
        <x:v>D01</x:v>
      </x:c>
      <x:c r="B14" s="4" t="str">
        <x:v>affected_objects</x:v>
      </x:c>
      <x:c r="C14" s="4" t="str">
        <x:v>Banjir terjadi di Sukarame dan merendam beberapa rumah sejak pukul 15.00.</x:v>
      </x:c>
      <x:c r="D14" s="4" t="str">
        <x:v>["beberapa rumah"]</x:v>
      </x:c>
      <x:c r="E14" s="4" t="str">
        <x:v>["beberapa rumah"]</x:v>
      </x:c>
      <x:c r="F14" s="12" t="str">
        <x:v>SETUJU_USULAN</x:v>
      </x:c>
      <x:c r="G14" s="12" t="str"/>
      <x:c r="H14" s="12" t="str">
        <x:v>Objek disebut eksplisit mengalami keadaan fisik dalam narasi. Frasa dan jumlah mengikuti sumber.</x:v>
      </x:c>
      <x:c r="I14" s="4" t="str">
        <x:f>IF(F14="SETUJU_USULAN",E14,IF(F14="KOREKSI",G14,""))</x:f>
        <x:v>["beberapa rumah"]</x:v>
      </x:c>
      <x:c r="J14" s="4" t="str">
        <x:f>IF(F14="","BELUM_DIREVIEW",IF(F14="TUNDA","DITUNDA",IF(TRIM(Panduan!$B$5)="","ISI_REVIEWER",IF(AND(F14&lt;&gt;"SETUJU_USULAN",F14&lt;&gt;"KOREKSI"),"CEK_KEPUTUSAN",IF(AND(F14="SETUJU_USULAN",G14&lt;&gt;""),"HAPUS_KOREKSI",IF(AND(F14="KOREKSI",TRIM(G14)=""),"ISI_KOREKSI",IF(AND(F14="KOREKSI",TRIM(H14)=""),"ISI_CATATAN","REVIEW_TERCATAT")))))))</x:f>
        <x:v>REVIEW_TERCATAT</x:v>
      </x:c>
      <x:c r="K14" s="4" t="str">
        <x:v>Usulan awal mengikuti output model; periksa terhadap narasi. Null/[] menyatakan informasi tidak ditemukan, bukan kepastian tidak ada.</x:v>
      </x:c>
    </x:row>
    <x:row r="15" ht="66" customHeight="1">
      <x:c r="A15" s="4" t="str">
        <x:v>D02</x:v>
      </x:c>
      <x:c r="B15" s="4" t="str">
        <x:v>location_text</x:v>
      </x:c>
      <x:c r="C15" s="4" t="str">
        <x:v>Air naik cepat di Way Halim dan dua rumah sudah terendam sejak sore.</x:v>
      </x:c>
      <x:c r="D15" s="4" t="str">
        <x:v>"Way Halim"</x:v>
      </x:c>
      <x:c r="E15" s="4" t="str">
        <x:v>"Way Halim"</x:v>
      </x:c>
      <x:c r="F15" s="12" t="str">
        <x:v>SETUJU_USULAN</x:v>
      </x:c>
      <x:c r="G15" s="12" t="str"/>
      <x:c r="H15" s="12" t="str">
        <x:v>Frasa lokasi disebut eksplisit pada sumber dan dipertahankan tanpa menambah alamat.</x:v>
      </x:c>
      <x:c r="I15" s="4" t="str">
        <x:f>IF(F15="SETUJU_USULAN",E15,IF(F15="KOREKSI",G15,""))</x:f>
        <x:v>"Way Halim"</x:v>
      </x:c>
      <x:c r="J15" s="4" t="str">
        <x:f>IF(F15="","BELUM_DIREVIEW",IF(F15="TUNDA","DITUNDA",IF(TRIM(Panduan!$B$5)="","ISI_REVIEWER",IF(AND(F15&lt;&gt;"SETUJU_USULAN",F15&lt;&gt;"KOREKSI"),"CEK_KEPUTUSAN",IF(AND(F15="SETUJU_USULAN",G15&lt;&gt;""),"HAPUS_KOREKSI",IF(AND(F15="KOREKSI",TRIM(G15)=""),"ISI_KOREKSI",IF(AND(F15="KOREKSI",TRIM(H15)=""),"ISI_CATATAN","REVIEW_TERCATAT")))))))</x:f>
        <x:v>REVIEW_TERCATAT</x:v>
      </x:c>
      <x:c r="K15" s="4" t="str">
        <x:v>Usulan awal mengikuti output model; periksa terhadap narasi. Null/[] menyatakan informasi tidak ditemukan, bukan kepastian tidak ada.</x:v>
      </x:c>
    </x:row>
    <x:row r="16" ht="66" customHeight="1">
      <x:c r="A16" s="4" t="str">
        <x:v>D02</x:v>
      </x:c>
      <x:c r="B16" s="4" t="str">
        <x:v>time_text</x:v>
      </x:c>
      <x:c r="C16" s="4" t="str">
        <x:v>Air naik cepat di Way Halim dan dua rumah sudah terendam sejak sore.</x:v>
      </x:c>
      <x:c r="D16" s="4" t="str">
        <x:v>"sejak sore"</x:v>
      </x:c>
      <x:c r="E16" s="4" t="str">
        <x:v>"sejak sore"</x:v>
      </x:c>
      <x:c r="F16" s="12" t="str">
        <x:v>SETUJU_USULAN</x:v>
      </x:c>
      <x:c r="G16" s="12" t="str"/>
      <x:c r="H16" s="12" t="str">
        <x:v>Frasa waktu dinyatakan pada sumber. Tidak ditambahkan tanggal absolut.</x:v>
      </x:c>
      <x:c r="I16" s="4" t="str">
        <x:f>IF(F16="SETUJU_USULAN",E16,IF(F16="KOREKSI",G16,""))</x:f>
        <x:v>"sejak sore"</x:v>
      </x:c>
      <x:c r="J16" s="4" t="str">
        <x:f>IF(F16="","BELUM_DIREVIEW",IF(F16="TUNDA","DITUNDA",IF(TRIM(Panduan!$B$5)="","ISI_REVIEWER",IF(AND(F16&lt;&gt;"SETUJU_USULAN",F16&lt;&gt;"KOREKSI"),"CEK_KEPUTUSAN",IF(AND(F16="SETUJU_USULAN",G16&lt;&gt;""),"HAPUS_KOREKSI",IF(AND(F16="KOREKSI",TRIM(G16)=""),"ISI_KOREKSI",IF(AND(F16="KOREKSI",TRIM(H16)=""),"ISI_CATATAN","REVIEW_TERCATAT")))))))</x:f>
        <x:v>REVIEW_TERCATAT</x:v>
      </x:c>
      <x:c r="K16" s="4" t="str">
        <x:v>Usulan awal mengikuti output model; periksa terhadap narasi. Null/[] menyatakan informasi tidak ditemukan, bukan kepastian tidak ada.</x:v>
      </x:c>
    </x:row>
    <x:row r="17" ht="66" customHeight="1">
      <x:c r="A17" s="4" t="str">
        <x:v>D02</x:v>
      </x:c>
      <x:c r="B17" s="4" t="str">
        <x:v>occurred_at</x:v>
      </x:c>
      <x:c r="C17" s="4" t="str">
        <x:v>Air naik cepat di Way Halim dan dua rumah sudah terendam sejak sore.</x:v>
      </x:c>
      <x:c r="D17" s="4" t="str">
        <x:v>null</x:v>
      </x:c>
      <x:c r="E17" s="4" t="str">
        <x:v>null</x:v>
      </x:c>
      <x:c r="F17" s="12" t="str">
        <x:v>SETUJU_USULAN</x:v>
      </x:c>
      <x:c r="G17" s="12" t="str"/>
      <x:c r="H17" s="12" t="str">
        <x:v>Tidak tersedia gabungan tanggal, jam dan zona waktu yang memadai. occurred_at tetap null tanpa menebak timestamp.</x:v>
      </x:c>
      <x:c r="I17" s="4" t="str">
        <x:f>IF(F17="SETUJU_USULAN",E17,IF(F17="KOREKSI",G17,""))</x:f>
        <x:v>null</x:v>
      </x:c>
      <x:c r="J17" s="4" t="str">
        <x:f>IF(F17="","BELUM_DIREVIEW",IF(F17="TUNDA","DITUNDA",IF(TRIM(Panduan!$B$5)="","ISI_REVIEWER",IF(AND(F17&lt;&gt;"SETUJU_USULAN",F17&lt;&gt;"KOREKSI"),"CEK_KEPUTUSAN",IF(AND(F17="SETUJU_USULAN",G17&lt;&gt;""),"HAPUS_KOREKSI",IF(AND(F17="KOREKSI",TRIM(G17)=""),"ISI_KOREKSI",IF(AND(F17="KOREKSI",TRIM(H17)=""),"ISI_CATATAN","REVIEW_TERCATAT")))))))</x:f>
        <x:v>REVIEW_TERCATAT</x:v>
      </x:c>
      <x:c r="K17" s="4" t="str">
        <x:v>Narasi tidak memberi tanggal, jam dan konteks zona waktu yang memadai; timestamp tidak ditebak.</x:v>
      </x:c>
    </x:row>
    <x:row r="18" ht="66" customHeight="1">
      <x:c r="A18" s="4" t="str">
        <x:v>D02</x:v>
      </x:c>
      <x:c r="B18" s="4" t="str">
        <x:v>involved_parties</x:v>
      </x:c>
      <x:c r="C18" s="4" t="str">
        <x:v>Air naik cepat di Way Halim dan dua rumah sudah terendam sejak sore.</x:v>
      </x:c>
      <x:c r="D18" s="4" t="str">
        <x:v>[]</x:v>
      </x:c>
      <x:c r="E18" s="4" t="str">
        <x:v>[]</x:v>
      </x:c>
      <x:c r="F18" s="12" t="str">
        <x:v>SETUJU_USULAN</x:v>
      </x:c>
      <x:c r="G18" s="12" t="str"/>
      <x:c r="H18" s="12" t="str">
        <x:v>Tidak ada pihak atau orang yang disebut secara eksplisit sebagai pelaku atau pihak terlibat. Tidak ditambahkan dari dugaan.</x:v>
      </x:c>
      <x:c r="I18" s="4" t="str">
        <x:f>IF(F18="SETUJU_USULAN",E18,IF(F18="KOREKSI",G18,""))</x:f>
        <x:v>[]</x:v>
      </x:c>
      <x:c r="J18" s="4" t="str">
        <x:f>IF(F18="","BELUM_DIREVIEW",IF(F18="TUNDA","DITUNDA",IF(TRIM(Panduan!$B$5)="","ISI_REVIEWER",IF(AND(F18&lt;&gt;"SETUJU_USULAN",F18&lt;&gt;"KOREKSI"),"CEK_KEPUTUSAN",IF(AND(F18="SETUJU_USULAN",G18&lt;&gt;""),"HAPUS_KOREKSI",IF(AND(F18="KOREKSI",TRIM(G18)=""),"ISI_KOREKSI",IF(AND(F18="KOREKSI",TRIM(H18)=""),"ISI_CATATAN","REVIEW_TERCATAT")))))))</x:f>
        <x:v>REVIEW_TERCATAT</x:v>
      </x:c>
      <x:c r="K18" s="4" t="str">
        <x:v>Usulan awal mengikuti output model; periksa terhadap narasi. Null/[] menyatakan informasi tidak ditemukan, bukan kepastian tidak ada.</x:v>
      </x:c>
    </x:row>
    <x:row r="19" ht="66" customHeight="1">
      <x:c r="A19" s="4" t="str">
        <x:v>D02</x:v>
      </x:c>
      <x:c r="B19" s="4" t="str">
        <x:v>impacts</x:v>
      </x:c>
      <x:c r="C19" s="4" t="str">
        <x:v>Air naik cepat di Way Halim dan dua rumah sudah terendam sejak sore.</x:v>
      </x:c>
      <x:c r="D19" s="4" t="str">
        <x:v>[]</x:v>
      </x:c>
      <x:c r="E19" s="4" t="str">
        <x:v>["dua rumah sudah terendam"]</x:v>
      </x:c>
      <x:c r="F19" s="13" t="str">
        <x:v>TERWARIS</x:v>
      </x:c>
      <x:c r="G19" s="13" t="str"/>
      <x:c r="H19" s="13" t="str"/>
      <x:c r="I19" s="13" t="str">
        <x:v>["dua rumah sudah terendam"]</x:v>
      </x:c>
      <x:c r="J19" s="13" t="str">
        <x:v>FINAL_TERWARIS</x:v>
      </x:c>
      <x:c r="K19" s="4" t="str">
        <x:v>Dua rumah sudah terendam merupakan pernyataan dampak yang eksplisit. Jumlah dan keadaan objek dipertahankan dalam frasa sumber.</x:v>
      </x:c>
    </x:row>
    <x:row r="20" ht="66" customHeight="1">
      <x:c r="A20" s="4" t="str">
        <x:v>D02</x:v>
      </x:c>
      <x:c r="B20" s="4" t="str">
        <x:v>victims</x:v>
      </x:c>
      <x:c r="C20" s="4" t="str">
        <x:v>Air naik cepat di Way Halim dan dua rumah sudah terendam sejak sore.</x:v>
      </x:c>
      <x:c r="D20" s="4" t="str">
        <x:v>[]</x:v>
      </x:c>
      <x:c r="E20" s="4" t="str">
        <x:v>[]</x:v>
      </x:c>
      <x:c r="F20" s="12" t="str">
        <x:v>SETUJU_USULAN</x:v>
      </x:c>
      <x:c r="G20" s="12" t="str"/>
      <x:c r="H20" s="12" t="str">
        <x:v>Tidak ada jumlah atau kondisi korban yang dinyatakan. [] menyatakan tidak ada informasi korban yang diekstrak, bukan nol korban di lapangan.</x:v>
      </x:c>
      <x:c r="I20" s="4" t="str">
        <x:f>IF(F20="SETUJU_USULAN",E20,IF(F20="KOREKSI",G20,""))</x:f>
        <x:v>[]</x:v>
      </x:c>
      <x:c r="J20" s="4" t="str">
        <x:f>IF(F20="","BELUM_DIREVIEW",IF(F20="TUNDA","DITUNDA",IF(TRIM(Panduan!$B$5)="","ISI_REVIEWER",IF(AND(F20&lt;&gt;"SETUJU_USULAN",F20&lt;&gt;"KOREKSI"),"CEK_KEPUTUSAN",IF(AND(F20="SETUJU_USULAN",G20&lt;&gt;""),"HAPUS_KOREKSI",IF(AND(F20="KOREKSI",TRIM(G20)=""),"ISI_KOREKSI",IF(AND(F20="KOREKSI",TRIM(H20)=""),"ISI_CATATAN","REVIEW_TERCATAT")))))))</x:f>
        <x:v>REVIEW_TERCATAT</x:v>
      </x:c>
      <x:c r="K20" s="4" t="str">
        <x:v>Usulan awal mengikuti output model; periksa terhadap narasi. Null/[] menyatakan informasi tidak ditemukan, bukan kepastian tidak ada.</x:v>
      </x:c>
    </x:row>
    <x:row r="21" ht="66" customHeight="1">
      <x:c r="A21" s="4" t="str">
        <x:v>D02</x:v>
      </x:c>
      <x:c r="B21" s="4" t="str">
        <x:v>affected_objects</x:v>
      </x:c>
      <x:c r="C21" s="4" t="str">
        <x:v>Air naik cepat di Way Halim dan dua rumah sudah terendam sejak sore.</x:v>
      </x:c>
      <x:c r="D21" s="4" t="str">
        <x:v>["dua rumah"]</x:v>
      </x:c>
      <x:c r="E21" s="4" t="str">
        <x:v>["dua rumah"]</x:v>
      </x:c>
      <x:c r="F21" s="12" t="str">
        <x:v>SETUJU_USULAN</x:v>
      </x:c>
      <x:c r="G21" s="12" t="str"/>
      <x:c r="H21" s="12" t="str">
        <x:v>Objek disebut eksplisit mengalami keadaan fisik dalam narasi. Frasa dan jumlah mengikuti sumber.</x:v>
      </x:c>
      <x:c r="I21" s="4" t="str">
        <x:f>IF(F21="SETUJU_USULAN",E21,IF(F21="KOREKSI",G21,""))</x:f>
        <x:v>["dua rumah"]</x:v>
      </x:c>
      <x:c r="J21" s="4" t="str">
        <x:f>IF(F21="","BELUM_DIREVIEW",IF(F21="TUNDA","DITUNDA",IF(TRIM(Panduan!$B$5)="","ISI_REVIEWER",IF(AND(F21&lt;&gt;"SETUJU_USULAN",F21&lt;&gt;"KOREKSI"),"CEK_KEPUTUSAN",IF(AND(F21="SETUJU_USULAN",G21&lt;&gt;""),"HAPUS_KOREKSI",IF(AND(F21="KOREKSI",TRIM(G21)=""),"ISI_KOREKSI",IF(AND(F21="KOREKSI",TRIM(H21)=""),"ISI_CATATAN","REVIEW_TERCATAT")))))))</x:f>
        <x:v>REVIEW_TERCATAT</x:v>
      </x:c>
      <x:c r="K21" s="4" t="str">
        <x:v>Usulan awal mengikuti output model; periksa terhadap narasi. Null/[] menyatakan informasi tidak ditemukan, bukan kepastian tidak ada.</x:v>
      </x:c>
    </x:row>
    <x:row r="22" ht="66" customHeight="1">
      <x:c r="A22" s="4" t="str">
        <x:v>D03</x:v>
      </x:c>
      <x:c r="B22" s="4" t="str">
        <x:v>location_text</x:v>
      </x:c>
      <x:c r="C22" s="4" t="str">
        <x:v>Bangunan bergoyang dan warga langsung keluar rumah.</x:v>
      </x:c>
      <x:c r="D22" s="4" t="str">
        <x:v>null</x:v>
      </x:c>
      <x:c r="E22" s="4" t="str">
        <x:v>null</x:v>
      </x:c>
      <x:c r="F22" s="12" t="str">
        <x:v>SETUJU_USULAN</x:v>
      </x:c>
      <x:c r="G22" s="12" t="str"/>
      <x:c r="H22" s="12" t="str">
        <x:v>Tidak ada lokasi kejadian yang dapat diambil dari narasi. null menyatakan informasi lokasi tidak tersedia.</x:v>
      </x:c>
      <x:c r="I22" s="4" t="str">
        <x:f>IF(F22="SETUJU_USULAN",E22,IF(F22="KOREKSI",G22,""))</x:f>
        <x:v>null</x:v>
      </x:c>
      <x:c r="J22" s="4" t="str">
        <x:f>IF(F22="","BELUM_DIREVIEW",IF(F22="TUNDA","DITUNDA",IF(TRIM(Panduan!$B$5)="","ISI_REVIEWER",IF(AND(F22&lt;&gt;"SETUJU_USULAN",F22&lt;&gt;"KOREKSI"),"CEK_KEPUTUSAN",IF(AND(F22="SETUJU_USULAN",G22&lt;&gt;""),"HAPUS_KOREKSI",IF(AND(F22="KOREKSI",TRIM(G22)=""),"ISI_KOREKSI",IF(AND(F22="KOREKSI",TRIM(H22)=""),"ISI_CATATAN","REVIEW_TERCATAT")))))))</x:f>
        <x:v>REVIEW_TERCATAT</x:v>
      </x:c>
      <x:c r="K22" s="4" t="str">
        <x:v>Usulan awal mengikuti output model; periksa terhadap narasi. Null/[] menyatakan informasi tidak ditemukan, bukan kepastian tidak ada.</x:v>
      </x:c>
    </x:row>
    <x:row r="23" ht="66" customHeight="1">
      <x:c r="A23" s="4" t="str">
        <x:v>D03</x:v>
      </x:c>
      <x:c r="B23" s="4" t="str">
        <x:v>time_text</x:v>
      </x:c>
      <x:c r="C23" s="4" t="str">
        <x:v>Bangunan bergoyang dan warga langsung keluar rumah.</x:v>
      </x:c>
      <x:c r="D23" s="4" t="str">
        <x:v>null</x:v>
      </x:c>
      <x:c r="E23" s="4" t="str">
        <x:v>null</x:v>
      </x:c>
      <x:c r="F23" s="12" t="str">
        <x:v>SETUJU_USULAN</x:v>
      </x:c>
      <x:c r="G23" s="12" t="str"/>
      <x:c r="H23" s="12" t="str">
        <x:v>Tidak ada keterangan waktu kejadian yang dapat diekstrak. time_text ditetapkan null.</x:v>
      </x:c>
      <x:c r="I23" s="4" t="str">
        <x:f>IF(F23="SETUJU_USULAN",E23,IF(F23="KOREKSI",G23,""))</x:f>
        <x:v>null</x:v>
      </x:c>
      <x:c r="J23" s="4" t="str">
        <x:f>IF(F23="","BELUM_DIREVIEW",IF(F23="TUNDA","DITUNDA",IF(TRIM(Panduan!$B$5)="","ISI_REVIEWER",IF(AND(F23&lt;&gt;"SETUJU_USULAN",F23&lt;&gt;"KOREKSI"),"CEK_KEPUTUSAN",IF(AND(F23="SETUJU_USULAN",G23&lt;&gt;""),"HAPUS_KOREKSI",IF(AND(F23="KOREKSI",TRIM(G23)=""),"ISI_KOREKSI",IF(AND(F23="KOREKSI",TRIM(H23)=""),"ISI_CATATAN","REVIEW_TERCATAT")))))))</x:f>
        <x:v>REVIEW_TERCATAT</x:v>
      </x:c>
      <x:c r="K23" s="4" t="str">
        <x:v>Usulan awal mengikuti output model; periksa terhadap narasi. Null/[] menyatakan informasi tidak ditemukan, bukan kepastian tidak ada.</x:v>
      </x:c>
    </x:row>
    <x:row r="24" ht="66" customHeight="1">
      <x:c r="A24" s="4" t="str">
        <x:v>D03</x:v>
      </x:c>
      <x:c r="B24" s="4" t="str">
        <x:v>occurred_at</x:v>
      </x:c>
      <x:c r="C24" s="4" t="str">
        <x:v>Bangunan bergoyang dan warga langsung keluar rumah.</x:v>
      </x:c>
      <x:c r="D24" s="4" t="str">
        <x:v>null</x:v>
      </x:c>
      <x:c r="E24" s="4" t="str">
        <x:v>null</x:v>
      </x:c>
      <x:c r="F24" s="12" t="str">
        <x:v>SETUJU_USULAN</x:v>
      </x:c>
      <x:c r="G24" s="12" t="str"/>
      <x:c r="H24" s="12" t="str">
        <x:v>Tidak tersedia gabungan tanggal, jam dan zona waktu yang memadai. occurred_at tetap null tanpa menebak timestamp.</x:v>
      </x:c>
      <x:c r="I24" s="4" t="str">
        <x:f>IF(F24="SETUJU_USULAN",E24,IF(F24="KOREKSI",G24,""))</x:f>
        <x:v>null</x:v>
      </x:c>
      <x:c r="J24" s="4" t="str">
        <x:f>IF(F24="","BELUM_DIREVIEW",IF(F24="TUNDA","DITUNDA",IF(TRIM(Panduan!$B$5)="","ISI_REVIEWER",IF(AND(F24&lt;&gt;"SETUJU_USULAN",F24&lt;&gt;"KOREKSI"),"CEK_KEPUTUSAN",IF(AND(F24="SETUJU_USULAN",G24&lt;&gt;""),"HAPUS_KOREKSI",IF(AND(F24="KOREKSI",TRIM(G24)=""),"ISI_KOREKSI",IF(AND(F24="KOREKSI",TRIM(H24)=""),"ISI_CATATAN","REVIEW_TERCATAT")))))))</x:f>
        <x:v>REVIEW_TERCATAT</x:v>
      </x:c>
      <x:c r="K24" s="4" t="str">
        <x:v>Narasi tidak memberi tanggal, jam dan konteks zona waktu yang memadai; timestamp tidak ditebak.</x:v>
      </x:c>
    </x:row>
    <x:row r="25" ht="66" customHeight="1">
      <x:c r="A25" s="4" t="str">
        <x:v>D03</x:v>
      </x:c>
      <x:c r="B25" s="4" t="str">
        <x:v>involved_parties</x:v>
      </x:c>
      <x:c r="C25" s="4" t="str">
        <x:v>Bangunan bergoyang dan warga langsung keluar rumah.</x:v>
      </x:c>
      <x:c r="D25" s="4" t="str">
        <x:v>[]</x:v>
      </x:c>
      <x:c r="E25" s="4" t="str">
        <x:v>["warga"]</x:v>
      </x:c>
      <x:c r="F25" s="12" t="str">
        <x:v>SETUJU_USULAN</x:v>
      </x:c>
      <x:c r="G25" s="12" t="str"/>
      <x:c r="H25" s="12" t="str">
        <x:v>Pihak disebut eksplisit dan perannya didukung narasi. Tidak dibatasi hanya petugas.</x:v>
      </x:c>
      <x:c r="I25" s="4" t="str">
        <x:f>IF(F25="SETUJU_USULAN",E25,IF(F25="KOREKSI",G25,""))</x:f>
        <x:v>["warga"]</x:v>
      </x:c>
      <x:c r="J25" s="4" t="str">
        <x:f>IF(F25="","BELUM_DIREVIEW",IF(F25="TUNDA","DITUNDA",IF(TRIM(Panduan!$B$5)="","ISI_REVIEWER",IF(AND(F25&lt;&gt;"SETUJU_USULAN",F25&lt;&gt;"KOREKSI"),"CEK_KEPUTUSAN",IF(AND(F25="SETUJU_USULAN",G25&lt;&gt;""),"HAPUS_KOREKSI",IF(AND(F25="KOREKSI",TRIM(G25)=""),"ISI_KOREKSI",IF(AND(F25="KOREKSI",TRIM(H25)=""),"ISI_CATATAN","REVIEW_TERCATAT")))))))</x:f>
        <x:v>REVIEW_TERCATAT</x:v>
      </x:c>
      <x:c r="K25" s="4" t="str">
        <x:v>Pihak warga disebut eksplisit. Usulan ini perlu review; tidak menyimpulkan penyebab bangunan bergoyang.</x:v>
      </x:c>
    </x:row>
    <x:row r="26" ht="66" customHeight="1">
      <x:c r="A26" s="4" t="str">
        <x:v>D03</x:v>
      </x:c>
      <x:c r="B26" s="4" t="str">
        <x:v>impacts</x:v>
      </x:c>
      <x:c r="C26" s="4" t="str">
        <x:v>Bangunan bergoyang dan warga langsung keluar rumah.</x:v>
      </x:c>
      <x:c r="D26" s="4" t="str">
        <x:v>[]</x:v>
      </x:c>
      <x:c r="E26" s="4" t="str">
        <x:v>["Bangunan bergoyang"]</x:v>
      </x:c>
      <x:c r="F26" s="12" t="str">
        <x:v>SETUJU_USULAN</x:v>
      </x:c>
      <x:c r="G26" s="12" t="str"/>
      <x:c r="H26" s="12" t="str">
        <x:v>Bangunan bergoyang adalah kondisi fisik yang dinyatakan. Penyebab gempa atau kerusakan bangunan tidak ditambahkan.</x:v>
      </x:c>
      <x:c r="I26" s="4" t="str">
        <x:f>IF(F26="SETUJU_USULAN",E26,IF(F26="KOREKSI",G26,""))</x:f>
        <x:v>["Bangunan bergoyang"]</x:v>
      </x:c>
      <x:c r="J26" s="4" t="str">
        <x:f>IF(F26="","BELUM_DIREVIEW",IF(F26="TUNDA","DITUNDA",IF(TRIM(Panduan!$B$5)="","ISI_REVIEWER",IF(AND(F26&lt;&gt;"SETUJU_USULAN",F26&lt;&gt;"KOREKSI"),"CEK_KEPUTUSAN",IF(AND(F26="SETUJU_USULAN",G26&lt;&gt;""),"HAPUS_KOREKSI",IF(AND(F26="KOREKSI",TRIM(G26)=""),"ISI_KOREKSI",IF(AND(F26="KOREKSI",TRIM(H26)=""),"ISI_CATATAN","REVIEW_TERCATAT")))))))</x:f>
        <x:v>REVIEW_TERCATAT</x:v>
      </x:c>
      <x:c r="K26" s="4" t="str">
        <x:v>Pernyataan kondisi literal. Reviewer perlu menilai penempatannya sebagai dampak.</x:v>
      </x:c>
    </x:row>
    <x:row r="27" ht="66" customHeight="1">
      <x:c r="A27" s="4" t="str">
        <x:v>D03</x:v>
      </x:c>
      <x:c r="B27" s="4" t="str">
        <x:v>victims</x:v>
      </x:c>
      <x:c r="C27" s="4" t="str">
        <x:v>Bangunan bergoyang dan warga langsung keluar rumah.</x:v>
      </x:c>
      <x:c r="D27" s="4" t="str">
        <x:v>[]</x:v>
      </x:c>
      <x:c r="E27" s="4" t="str">
        <x:v>[]</x:v>
      </x:c>
      <x:c r="F27" s="12" t="str">
        <x:v>SETUJU_USULAN</x:v>
      </x:c>
      <x:c r="G27" s="12" t="str"/>
      <x:c r="H27" s="12" t="str">
        <x:v>Tidak ada jumlah atau kondisi korban yang dinyatakan. [] menyatakan tidak ada informasi korban yang diekstrak, bukan nol korban di lapangan.</x:v>
      </x:c>
      <x:c r="I27" s="4" t="str">
        <x:f>IF(F27="SETUJU_USULAN",E27,IF(F27="KOREKSI",G27,""))</x:f>
        <x:v>[]</x:v>
      </x:c>
      <x:c r="J27" s="4" t="str">
        <x:f>IF(F27="","BELUM_DIREVIEW",IF(F27="TUNDA","DITUNDA",IF(TRIM(Panduan!$B$5)="","ISI_REVIEWER",IF(AND(F27&lt;&gt;"SETUJU_USULAN",F27&lt;&gt;"KOREKSI"),"CEK_KEPUTUSAN",IF(AND(F27="SETUJU_USULAN",G27&lt;&gt;""),"HAPUS_KOREKSI",IF(AND(F27="KOREKSI",TRIM(G27)=""),"ISI_KOREKSI",IF(AND(F27="KOREKSI",TRIM(H27)=""),"ISI_CATATAN","REVIEW_TERCATAT")))))))</x:f>
        <x:v>REVIEW_TERCATAT</x:v>
      </x:c>
      <x:c r="K27" s="4" t="str">
        <x:v>Usulan awal mengikuti output model; periksa terhadap narasi. Null/[] menyatakan informasi tidak ditemukan, bukan kepastian tidak ada.</x:v>
      </x:c>
    </x:row>
    <x:row r="28" ht="66" customHeight="1">
      <x:c r="A28" s="4" t="str">
        <x:v>D03</x:v>
      </x:c>
      <x:c r="B28" s="4" t="str">
        <x:v>affected_objects</x:v>
      </x:c>
      <x:c r="C28" s="4" t="str">
        <x:v>Bangunan bergoyang dan warga langsung keluar rumah.</x:v>
      </x:c>
      <x:c r="D28" s="4" t="str">
        <x:v>[]</x:v>
      </x:c>
      <x:c r="E28" s="4" t="str">
        <x:v>["Bangunan"]</x:v>
      </x:c>
      <x:c r="F28" s="12" t="str">
        <x:v>SETUJU_USULAN</x:v>
      </x:c>
      <x:c r="G28" s="12" t="str"/>
      <x:c r="H28" s="12" t="str">
        <x:v>Objek disebut eksplisit mengalami keadaan fisik dalam narasi. Frasa dan jumlah mengikuti sumber.</x:v>
      </x:c>
      <x:c r="I28" s="4" t="str">
        <x:f>IF(F28="SETUJU_USULAN",E28,IF(F28="KOREKSI",G28,""))</x:f>
        <x:v>["Bangunan"]</x:v>
      </x:c>
      <x:c r="J28" s="4" t="str">
        <x:f>IF(F28="","BELUM_DIREVIEW",IF(F28="TUNDA","DITUNDA",IF(TRIM(Panduan!$B$5)="","ISI_REVIEWER",IF(AND(F28&lt;&gt;"SETUJU_USULAN",F28&lt;&gt;"KOREKSI"),"CEK_KEPUTUSAN",IF(AND(F28="SETUJU_USULAN",G28&lt;&gt;""),"HAPUS_KOREKSI",IF(AND(F28="KOREKSI",TRIM(G28)=""),"ISI_KOREKSI",IF(AND(F28="KOREKSI",TRIM(H28)=""),"ISI_CATATAN","REVIEW_TERCATAT")))))))</x:f>
        <x:v>REVIEW_TERCATAT</x:v>
      </x:c>
      <x:c r="K28" s="4" t="str">
        <x:v>Bangunan dinyatakan bergoyang; tidak ditambah klaim rusak.</x:v>
      </x:c>
    </x:row>
    <x:row r="29" ht="66" customHeight="1">
      <x:c r="A29" s="4" t="str">
        <x:v>D04</x:v>
      </x:c>
      <x:c r="B29" s="4" t="str">
        <x:v>location_text</x:v>
      </x:c>
      <x:c r="C29" s="4" t="str">
        <x:v>Kebakaran terjadi di kios dekat pasar sekitar pukul 21.15.</x:v>
      </x:c>
      <x:c r="D29" s="4" t="str">
        <x:v>null</x:v>
      </x:c>
      <x:c r="E29" s="4" t="str">
        <x:v>"dekat pasar"</x:v>
      </x:c>
      <x:c r="F29" s="13" t="str">
        <x:v>TERWARIS</x:v>
      </x:c>
      <x:c r="G29" s="13" t="str"/>
      <x:c r="H29" s="13" t="str"/>
      <x:c r="I29" s="13" t="str">
        <x:v>"dekat pasar"</x:v>
      </x:c>
      <x:c r="J29" s="13" t="str">
        <x:v>FINAL_TERWARIS</x:v>
      </x:c>
      <x:c r="K29" s="4" t="str">
        <x:v>Dekat pasar menerangkan lokasi relatif kios tempat kebakaran. Frasa lokasi dipisahkan dari objek kios dan tidak ditambah nama pasar atau alamat.</x:v>
      </x:c>
    </x:row>
    <x:row r="30" ht="66" customHeight="1">
      <x:c r="A30" s="4" t="str">
        <x:v>D04</x:v>
      </x:c>
      <x:c r="B30" s="4" t="str">
        <x:v>time_text</x:v>
      </x:c>
      <x:c r="C30" s="4" t="str">
        <x:v>Kebakaran terjadi di kios dekat pasar sekitar pukul 21.15.</x:v>
      </x:c>
      <x:c r="D30" s="4" t="str">
        <x:v>"pukul 21.15"</x:v>
      </x:c>
      <x:c r="E30" s="4" t="str">
        <x:v>"pukul 21.15"</x:v>
      </x:c>
      <x:c r="F30" s="12" t="str">
        <x:v>KOREKSI</x:v>
      </x:c>
      <x:c r="G30" s="12" t="str">
        <x:v>"sekitar pukul 21.15"</x:v>
      </x:c>
      <x:c r="H30" s="12" t="str">
        <x:v>Kata sekitar menandai waktu perkiraan. Frasa sekitar pukul 21.15 dipertahankan lengkap agar acuan tidak mengubah perkiraan menjadi jam yang pasti.</x:v>
      </x:c>
      <x:c r="I30" s="4" t="str">
        <x:f>IF(F30="SETUJU_USULAN",E30,IF(F30="KOREKSI",G30,""))</x:f>
        <x:v>"sekitar pukul 21.15"</x:v>
      </x:c>
      <x:c r="J30" s="4" t="str">
        <x:f>IF(F30="","BELUM_DIREVIEW",IF(F30="TUNDA","DITUNDA",IF(TRIM(Panduan!$B$5)="","ISI_REVIEWER",IF(AND(F30&lt;&gt;"SETUJU_USULAN",F30&lt;&gt;"KOREKSI"),"CEK_KEPUTUSAN",IF(AND(F30="SETUJU_USULAN",G30&lt;&gt;""),"HAPUS_KOREKSI",IF(AND(F30="KOREKSI",TRIM(G30)=""),"ISI_KOREKSI",IF(AND(F30="KOREKSI",TRIM(H30)=""),"ISI_CATATAN","REVIEW_TERCATAT")))))))</x:f>
        <x:v>REVIEW_TERCATAT</x:v>
      </x:c>
      <x:c r="K30" s="4" t="str">
        <x:v>Usulan awal mengikuti output model; periksa terhadap narasi. Null/[] menyatakan informasi tidak ditemukan, bukan kepastian tidak ada.</x:v>
      </x:c>
    </x:row>
    <x:row r="31" ht="66" customHeight="1">
      <x:c r="A31" s="4" t="str">
        <x:v>D04</x:v>
      </x:c>
      <x:c r="B31" s="4" t="str">
        <x:v>occurred_at</x:v>
      </x:c>
      <x:c r="C31" s="4" t="str">
        <x:v>Kebakaran terjadi di kios dekat pasar sekitar pukul 21.15.</x:v>
      </x:c>
      <x:c r="D31" s="4" t="str">
        <x:v>null</x:v>
      </x:c>
      <x:c r="E31" s="4" t="str">
        <x:v>null</x:v>
      </x:c>
      <x:c r="F31" s="12" t="str">
        <x:v>SETUJU_USULAN</x:v>
      </x:c>
      <x:c r="G31" s="12" t="str"/>
      <x:c r="H31" s="12" t="str">
        <x:v>Tidak tersedia gabungan tanggal, jam dan zona waktu yang memadai. occurred_at tetap null tanpa menebak timestamp.</x:v>
      </x:c>
      <x:c r="I31" s="4" t="str">
        <x:f>IF(F31="SETUJU_USULAN",E31,IF(F31="KOREKSI",G31,""))</x:f>
        <x:v>null</x:v>
      </x:c>
      <x:c r="J31" s="4" t="str">
        <x:f>IF(F31="","BELUM_DIREVIEW",IF(F31="TUNDA","DITUNDA",IF(TRIM(Panduan!$B$5)="","ISI_REVIEWER",IF(AND(F31&lt;&gt;"SETUJU_USULAN",F31&lt;&gt;"KOREKSI"),"CEK_KEPUTUSAN",IF(AND(F31="SETUJU_USULAN",G31&lt;&gt;""),"HAPUS_KOREKSI",IF(AND(F31="KOREKSI",TRIM(G31)=""),"ISI_KOREKSI",IF(AND(F31="KOREKSI",TRIM(H31)=""),"ISI_CATATAN","REVIEW_TERCATAT")))))))</x:f>
        <x:v>REVIEW_TERCATAT</x:v>
      </x:c>
      <x:c r="K31" s="4" t="str">
        <x:v>Narasi tidak memberi tanggal, jam dan konteks zona waktu yang memadai; timestamp tidak ditebak.</x:v>
      </x:c>
    </x:row>
    <x:row r="32" ht="66" customHeight="1">
      <x:c r="A32" s="4" t="str">
        <x:v>D04</x:v>
      </x:c>
      <x:c r="B32" s="4" t="str">
        <x:v>involved_parties</x:v>
      </x:c>
      <x:c r="C32" s="4" t="str">
        <x:v>Kebakaran terjadi di kios dekat pasar sekitar pukul 21.15.</x:v>
      </x:c>
      <x:c r="D32" s="4" t="str">
        <x:v>[]</x:v>
      </x:c>
      <x:c r="E32" s="4" t="str">
        <x:v>[]</x:v>
      </x:c>
      <x:c r="F32" s="12" t="str">
        <x:v>SETUJU_USULAN</x:v>
      </x:c>
      <x:c r="G32" s="12" t="str"/>
      <x:c r="H32" s="12" t="str">
        <x:v>Tidak ada pihak atau orang yang disebut secara eksplisit sebagai pelaku atau pihak terlibat. Tidak ditambahkan dari dugaan.</x:v>
      </x:c>
      <x:c r="I32" s="4" t="str">
        <x:f>IF(F32="SETUJU_USULAN",E32,IF(F32="KOREKSI",G32,""))</x:f>
        <x:v>[]</x:v>
      </x:c>
      <x:c r="J32" s="4" t="str">
        <x:f>IF(F32="","BELUM_DIREVIEW",IF(F32="TUNDA","DITUNDA",IF(TRIM(Panduan!$B$5)="","ISI_REVIEWER",IF(AND(F32&lt;&gt;"SETUJU_USULAN",F32&lt;&gt;"KOREKSI"),"CEK_KEPUTUSAN",IF(AND(F32="SETUJU_USULAN",G32&lt;&gt;""),"HAPUS_KOREKSI",IF(AND(F32="KOREKSI",TRIM(G32)=""),"ISI_KOREKSI",IF(AND(F32="KOREKSI",TRIM(H32)=""),"ISI_CATATAN","REVIEW_TERCATAT")))))))</x:f>
        <x:v>REVIEW_TERCATAT</x:v>
      </x:c>
      <x:c r="K32" s="4" t="str">
        <x:v>Usulan awal mengikuti output model; periksa terhadap narasi. Null/[] menyatakan informasi tidak ditemukan, bukan kepastian tidak ada.</x:v>
      </x:c>
    </x:row>
    <x:row r="33" ht="66" customHeight="1">
      <x:c r="A33" s="4" t="str">
        <x:v>D04</x:v>
      </x:c>
      <x:c r="B33" s="4" t="str">
        <x:v>impacts</x:v>
      </x:c>
      <x:c r="C33" s="4" t="str">
        <x:v>Kebakaran terjadi di kios dekat pasar sekitar pukul 21.15.</x:v>
      </x:c>
      <x:c r="D33" s="4" t="str">
        <x:v>[]</x:v>
      </x:c>
      <x:c r="E33" s="4" t="str">
        <x:v>[]</x:v>
      </x:c>
      <x:c r="F33" s="12" t="str">
        <x:v>SETUJU_USULAN</x:v>
      </x:c>
      <x:c r="G33" s="12" t="str"/>
      <x:c r="H33" s="12" t="str">
        <x:v>Tidak ada dampak kejadian yang dinyatakan secara eksplisit untuk field ini. [] menyatakan tidak ada dampak yang diekstrak, bukan kepastian tanpa dampak.</x:v>
      </x:c>
      <x:c r="I33" s="4" t="str">
        <x:f>IF(F33="SETUJU_USULAN",E33,IF(F33="KOREKSI",G33,""))</x:f>
        <x:v>[]</x:v>
      </x:c>
      <x:c r="J33" s="4" t="str">
        <x:f>IF(F33="","BELUM_DIREVIEW",IF(F33="TUNDA","DITUNDA",IF(TRIM(Panduan!$B$5)="","ISI_REVIEWER",IF(AND(F33&lt;&gt;"SETUJU_USULAN",F33&lt;&gt;"KOREKSI"),"CEK_KEPUTUSAN",IF(AND(F33="SETUJU_USULAN",G33&lt;&gt;""),"HAPUS_KOREKSI",IF(AND(F33="KOREKSI",TRIM(G33)=""),"ISI_KOREKSI",IF(AND(F33="KOREKSI",TRIM(H33)=""),"ISI_CATATAN","REVIEW_TERCATAT")))))))</x:f>
        <x:v>REVIEW_TERCATAT</x:v>
      </x:c>
      <x:c r="K33" s="4" t="str">
        <x:v>Usulan awal mengikuti output model; periksa terhadap narasi. Null/[] menyatakan informasi tidak ditemukan, bukan kepastian tidak ada.</x:v>
      </x:c>
    </x:row>
    <x:row r="34" ht="66" customHeight="1">
      <x:c r="A34" s="4" t="str">
        <x:v>D04</x:v>
      </x:c>
      <x:c r="B34" s="4" t="str">
        <x:v>victims</x:v>
      </x:c>
      <x:c r="C34" s="4" t="str">
        <x:v>Kebakaran terjadi di kios dekat pasar sekitar pukul 21.15.</x:v>
      </x:c>
      <x:c r="D34" s="4" t="str">
        <x:v>[]</x:v>
      </x:c>
      <x:c r="E34" s="4" t="str">
        <x:v>[]</x:v>
      </x:c>
      <x:c r="F34" s="12" t="str">
        <x:v>SETUJU_USULAN</x:v>
      </x:c>
      <x:c r="G34" s="12" t="str"/>
      <x:c r="H34" s="12" t="str">
        <x:v>Tidak ada jumlah atau kondisi korban yang dinyatakan. [] menyatakan tidak ada informasi korban yang diekstrak, bukan nol korban di lapangan.</x:v>
      </x:c>
      <x:c r="I34" s="4" t="str">
        <x:f>IF(F34="SETUJU_USULAN",E34,IF(F34="KOREKSI",G34,""))</x:f>
        <x:v>[]</x:v>
      </x:c>
      <x:c r="J34" s="4" t="str">
        <x:f>IF(F34="","BELUM_DIREVIEW",IF(F34="TUNDA","DITUNDA",IF(TRIM(Panduan!$B$5)="","ISI_REVIEWER",IF(AND(F34&lt;&gt;"SETUJU_USULAN",F34&lt;&gt;"KOREKSI"),"CEK_KEPUTUSAN",IF(AND(F34="SETUJU_USULAN",G34&lt;&gt;""),"HAPUS_KOREKSI",IF(AND(F34="KOREKSI",TRIM(G34)=""),"ISI_KOREKSI",IF(AND(F34="KOREKSI",TRIM(H34)=""),"ISI_CATATAN","REVIEW_TERCATAT")))))))</x:f>
        <x:v>REVIEW_TERCATAT</x:v>
      </x:c>
      <x:c r="K34" s="4" t="str">
        <x:v>Usulan awal mengikuti output model; periksa terhadap narasi. Null/[] menyatakan informasi tidak ditemukan, bukan kepastian tidak ada.</x:v>
      </x:c>
    </x:row>
    <x:row r="35" ht="66" customHeight="1">
      <x:c r="A35" s="4" t="str">
        <x:v>D04</x:v>
      </x:c>
      <x:c r="B35" s="4" t="str">
        <x:v>affected_objects</x:v>
      </x:c>
      <x:c r="C35" s="4" t="str">
        <x:v>Kebakaran terjadi di kios dekat pasar sekitar pukul 21.15.</x:v>
      </x:c>
      <x:c r="D35" s="4" t="str">
        <x:v>["kios dekat pasar"]</x:v>
      </x:c>
      <x:c r="E35" s="4" t="str">
        <x:v>["kios"]</x:v>
      </x:c>
      <x:c r="F35" s="13" t="str">
        <x:v>TERWARIS</x:v>
      </x:c>
      <x:c r="G35" s="13" t="str"/>
      <x:c r="H35" s="13" t="str"/>
      <x:c r="I35" s="13" t="str">
        <x:v>["kios"]</x:v>
      </x:c>
      <x:c r="J35" s="13" t="str">
        <x:v>FINAL_TERWARIS</x:v>
      </x:c>
      <x:c r="K35" s="4" t="str">
        <x:v>Kios merupakan objek tempat kebakaran terjadi. Dekat pasar adalah keterangan lokasi sehingga dikeluarkan dari batas frasa objek.</x:v>
      </x:c>
    </x:row>
    <x:row r="36" ht="66" customHeight="1">
      <x:c r="A36" s="4" t="str">
        <x:v>D05</x:v>
      </x:c>
      <x:c r="B36" s="4" t="str">
        <x:v>location_text</x:v>
      </x:c>
      <x:c r="C36" s="4" t="str">
        <x:v>Kecelakaan terjadi di Jalan Soekarno Hatta dan menyebabkan dua orang terluka.</x:v>
      </x:c>
      <x:c r="D36" s="4" t="str">
        <x:v>"Jalan Soekarno Hatta"</x:v>
      </x:c>
      <x:c r="E36" s="4" t="str">
        <x:v>"Jalan Soekarno Hatta"</x:v>
      </x:c>
      <x:c r="F36" s="12" t="str">
        <x:v>SETUJU_USULAN</x:v>
      </x:c>
      <x:c r="G36" s="12" t="str"/>
      <x:c r="H36" s="12" t="str">
        <x:v>Frasa lokasi disebut eksplisit pada sumber dan dipertahankan tanpa menambah alamat.</x:v>
      </x:c>
      <x:c r="I36" s="4" t="str">
        <x:f>IF(F36="SETUJU_USULAN",E36,IF(F36="KOREKSI",G36,""))</x:f>
        <x:v>"Jalan Soekarno Hatta"</x:v>
      </x:c>
      <x:c r="J36" s="4" t="str">
        <x:f>IF(F36="","BELUM_DIREVIEW",IF(F36="TUNDA","DITUNDA",IF(TRIM(Panduan!$B$5)="","ISI_REVIEWER",IF(AND(F36&lt;&gt;"SETUJU_USULAN",F36&lt;&gt;"KOREKSI"),"CEK_KEPUTUSAN",IF(AND(F36="SETUJU_USULAN",G36&lt;&gt;""),"HAPUS_KOREKSI",IF(AND(F36="KOREKSI",TRIM(G36)=""),"ISI_KOREKSI",IF(AND(F36="KOREKSI",TRIM(H36)=""),"ISI_CATATAN","REVIEW_TERCATAT")))))))</x:f>
        <x:v>REVIEW_TERCATAT</x:v>
      </x:c>
      <x:c r="K36" s="4" t="str">
        <x:v>Usulan awal mengikuti output model; periksa terhadap narasi. Null/[] menyatakan informasi tidak ditemukan, bukan kepastian tidak ada.</x:v>
      </x:c>
    </x:row>
    <x:row r="37" ht="66" customHeight="1">
      <x:c r="A37" s="4" t="str">
        <x:v>D05</x:v>
      </x:c>
      <x:c r="B37" s="4" t="str">
        <x:v>time_text</x:v>
      </x:c>
      <x:c r="C37" s="4" t="str">
        <x:v>Kecelakaan terjadi di Jalan Soekarno Hatta dan menyebabkan dua orang terluka.</x:v>
      </x:c>
      <x:c r="D37" s="4" t="str">
        <x:v>null</x:v>
      </x:c>
      <x:c r="E37" s="4" t="str">
        <x:v>null</x:v>
      </x:c>
      <x:c r="F37" s="12" t="str">
        <x:v>SETUJU_USULAN</x:v>
      </x:c>
      <x:c r="G37" s="12" t="str"/>
      <x:c r="H37" s="12" t="str">
        <x:v>Tidak ada keterangan waktu kejadian yang dapat diekstrak. time_text ditetapkan null.</x:v>
      </x:c>
      <x:c r="I37" s="4" t="str">
        <x:f>IF(F37="SETUJU_USULAN",E37,IF(F37="KOREKSI",G37,""))</x:f>
        <x:v>null</x:v>
      </x:c>
      <x:c r="J37" s="4" t="str">
        <x:f>IF(F37="","BELUM_DIREVIEW",IF(F37="TUNDA","DITUNDA",IF(TRIM(Panduan!$B$5)="","ISI_REVIEWER",IF(AND(F37&lt;&gt;"SETUJU_USULAN",F37&lt;&gt;"KOREKSI"),"CEK_KEPUTUSAN",IF(AND(F37="SETUJU_USULAN",G37&lt;&gt;""),"HAPUS_KOREKSI",IF(AND(F37="KOREKSI",TRIM(G37)=""),"ISI_KOREKSI",IF(AND(F37="KOREKSI",TRIM(H37)=""),"ISI_CATATAN","REVIEW_TERCATAT")))))))</x:f>
        <x:v>REVIEW_TERCATAT</x:v>
      </x:c>
      <x:c r="K37" s="4" t="str">
        <x:v>Usulan awal mengikuti output model; periksa terhadap narasi. Null/[] menyatakan informasi tidak ditemukan, bukan kepastian tidak ada.</x:v>
      </x:c>
    </x:row>
    <x:row r="38" ht="66" customHeight="1">
      <x:c r="A38" s="4" t="str">
        <x:v>D05</x:v>
      </x:c>
      <x:c r="B38" s="4" t="str">
        <x:v>occurred_at</x:v>
      </x:c>
      <x:c r="C38" s="4" t="str">
        <x:v>Kecelakaan terjadi di Jalan Soekarno Hatta dan menyebabkan dua orang terluka.</x:v>
      </x:c>
      <x:c r="D38" s="4" t="str">
        <x:v>null</x:v>
      </x:c>
      <x:c r="E38" s="4" t="str">
        <x:v>null</x:v>
      </x:c>
      <x:c r="F38" s="12" t="str">
        <x:v>SETUJU_USULAN</x:v>
      </x:c>
      <x:c r="G38" s="12" t="str"/>
      <x:c r="H38" s="12" t="str">
        <x:v>Tidak tersedia gabungan tanggal, jam dan zona waktu yang memadai. occurred_at tetap null tanpa menebak timestamp.</x:v>
      </x:c>
      <x:c r="I38" s="4" t="str">
        <x:f>IF(F38="SETUJU_USULAN",E38,IF(F38="KOREKSI",G38,""))</x:f>
        <x:v>null</x:v>
      </x:c>
      <x:c r="J38" s="4" t="str">
        <x:f>IF(F38="","BELUM_DIREVIEW",IF(F38="TUNDA","DITUNDA",IF(TRIM(Panduan!$B$5)="","ISI_REVIEWER",IF(AND(F38&lt;&gt;"SETUJU_USULAN",F38&lt;&gt;"KOREKSI"),"CEK_KEPUTUSAN",IF(AND(F38="SETUJU_USULAN",G38&lt;&gt;""),"HAPUS_KOREKSI",IF(AND(F38="KOREKSI",TRIM(G38)=""),"ISI_KOREKSI",IF(AND(F38="KOREKSI",TRIM(H38)=""),"ISI_CATATAN","REVIEW_TERCATAT")))))))</x:f>
        <x:v>REVIEW_TERCATAT</x:v>
      </x:c>
      <x:c r="K38" s="4" t="str">
        <x:v>Narasi tidak memberi tanggal, jam dan konteks zona waktu yang memadai; timestamp tidak ditebak.</x:v>
      </x:c>
    </x:row>
    <x:row r="39" ht="66" customHeight="1">
      <x:c r="A39" s="4" t="str">
        <x:v>D05</x:v>
      </x:c>
      <x:c r="B39" s="4" t="str">
        <x:v>involved_parties</x:v>
      </x:c>
      <x:c r="C39" s="4" t="str">
        <x:v>Kecelakaan terjadi di Jalan Soekarno Hatta dan menyebabkan dua orang terluka.</x:v>
      </x:c>
      <x:c r="D39" s="4" t="str">
        <x:v>[]</x:v>
      </x:c>
      <x:c r="E39" s="4" t="str">
        <x:v>["dua orang"]</x:v>
      </x:c>
      <x:c r="F39" s="12" t="str">
        <x:v>SETUJU_USULAN</x:v>
      </x:c>
      <x:c r="G39" s="12" t="str"/>
      <x:c r="H39" s="12" t="str">
        <x:v>Pihak disebut eksplisit dan perannya didukung narasi. Tidak dibatasi hanya petugas.</x:v>
      </x:c>
      <x:c r="I39" s="4" t="str">
        <x:f>IF(F39="SETUJU_USULAN",E39,IF(F39="KOREKSI",G39,""))</x:f>
        <x:v>["dua orang"]</x:v>
      </x:c>
      <x:c r="J39" s="4" t="str">
        <x:f>IF(F39="","BELUM_DIREVIEW",IF(F39="TUNDA","DITUNDA",IF(TRIM(Panduan!$B$5)="","ISI_REVIEWER",IF(AND(F39&lt;&gt;"SETUJU_USULAN",F39&lt;&gt;"KOREKSI"),"CEK_KEPUTUSAN",IF(AND(F39="SETUJU_USULAN",G39&lt;&gt;""),"HAPUS_KOREKSI",IF(AND(F39="KOREKSI",TRIM(G39)=""),"ISI_KOREKSI",IF(AND(F39="KOREKSI",TRIM(H39)=""),"ISI_CATATAN","REVIEW_TERCATAT")))))))</x:f>
        <x:v>REVIEW_TERCATAT</x:v>
      </x:c>
      <x:c r="K39" s="4" t="str">
        <x:v>Dua orang disebut eksplisit sebagai pihak yang terluka; tidak ditebak identitasnya.</x:v>
      </x:c>
    </x:row>
    <x:row r="40" ht="66" customHeight="1">
      <x:c r="A40" s="4" t="str">
        <x:v>D05</x:v>
      </x:c>
      <x:c r="B40" s="4" t="str">
        <x:v>impacts</x:v>
      </x:c>
      <x:c r="C40" s="4" t="str">
        <x:v>Kecelakaan terjadi di Jalan Soekarno Hatta dan menyebabkan dua orang terluka.</x:v>
      </x:c>
      <x:c r="D40" s="4" t="str">
        <x:v>[]</x:v>
      </x:c>
      <x:c r="E40" s="4" t="str">
        <x:v>["menyebabkan dua orang terluka"]</x:v>
      </x:c>
      <x:c r="F40" s="12" t="str">
        <x:v>SETUJU_USULAN</x:v>
      </x:c>
      <x:c r="G40" s="12" t="str"/>
      <x:c r="H40" s="12" t="str">
        <x:v>Menyebabkan dua orang terluka adalah dampak kecelakaan yang dinyatakan eksplisit.</x:v>
      </x:c>
      <x:c r="I40" s="4" t="str">
        <x:f>IF(F40="SETUJU_USULAN",E40,IF(F40="KOREKSI",G40,""))</x:f>
        <x:v>["menyebabkan dua orang terluka"]</x:v>
      </x:c>
      <x:c r="J40" s="4" t="str">
        <x:f>IF(F40="","BELUM_DIREVIEW",IF(F40="TUNDA","DITUNDA",IF(TRIM(Panduan!$B$5)="","ISI_REVIEWER",IF(AND(F40&lt;&gt;"SETUJU_USULAN",F40&lt;&gt;"KOREKSI"),"CEK_KEPUTUSAN",IF(AND(F40="SETUJU_USULAN",G40&lt;&gt;""),"HAPUS_KOREKSI",IF(AND(F40="KOREKSI",TRIM(G40)=""),"ISI_KOREKSI",IF(AND(F40="KOREKSI",TRIM(H40)=""),"ISI_CATATAN","REVIEW_TERCATAT")))))))</x:f>
        <x:v>REVIEW_TERCATAT</x:v>
      </x:c>
      <x:c r="K40" s="4" t="str">
        <x:v>Klausa dampak literal; tetap perlu reviewer menetapkan cakupan field impacts.</x:v>
      </x:c>
    </x:row>
    <x:row r="41" ht="66" customHeight="1">
      <x:c r="A41" s="4" t="str">
        <x:v>D05</x:v>
      </x:c>
      <x:c r="B41" s="4" t="str">
        <x:v>victims</x:v>
      </x:c>
      <x:c r="C41" s="4" t="str">
        <x:v>Kecelakaan terjadi di Jalan Soekarno Hatta dan menyebabkan dua orang terluka.</x:v>
      </x:c>
      <x:c r="D41" s="4" t="str">
        <x:v>["dua orang terluka"]</x:v>
      </x:c>
      <x:c r="E41" s="4" t="str">
        <x:v>["dua orang terluka"]</x:v>
      </x:c>
      <x:c r="F41" s="12" t="str">
        <x:v>SETUJU_USULAN</x:v>
      </x:c>
      <x:c r="G41" s="12" t="str"/>
      <x:c r="H41" s="12" t="str">
        <x:v>Dua orang terluka dinyatakan eksplisit. Jumlah dan kondisi korban dipertahankan sesuai frasa sumber.</x:v>
      </x:c>
      <x:c r="I41" s="4" t="str">
        <x:f>IF(F41="SETUJU_USULAN",E41,IF(F41="KOREKSI",G41,""))</x:f>
        <x:v>["dua orang terluka"]</x:v>
      </x:c>
      <x:c r="J41" s="4" t="str">
        <x:f>IF(F41="","BELUM_DIREVIEW",IF(F41="TUNDA","DITUNDA",IF(TRIM(Panduan!$B$5)="","ISI_REVIEWER",IF(AND(F41&lt;&gt;"SETUJU_USULAN",F41&lt;&gt;"KOREKSI"),"CEK_KEPUTUSAN",IF(AND(F41="SETUJU_USULAN",G41&lt;&gt;""),"HAPUS_KOREKSI",IF(AND(F41="KOREKSI",TRIM(G41)=""),"ISI_KOREKSI",IF(AND(F41="KOREKSI",TRIM(H41)=""),"ISI_CATATAN","REVIEW_TERCATAT")))))))</x:f>
        <x:v>REVIEW_TERCATAT</x:v>
      </x:c>
      <x:c r="K41" s="4" t="str">
        <x:v>Usulan awal mengikuti output model; periksa terhadap narasi. Null/[] menyatakan informasi tidak ditemukan, bukan kepastian tidak ada.</x:v>
      </x:c>
    </x:row>
    <x:row r="42" ht="66" customHeight="1">
      <x:c r="A42" s="4" t="str">
        <x:v>D05</x:v>
      </x:c>
      <x:c r="B42" s="4" t="str">
        <x:v>affected_objects</x:v>
      </x:c>
      <x:c r="C42" s="4" t="str">
        <x:v>Kecelakaan terjadi di Jalan Soekarno Hatta dan menyebabkan dua orang terluka.</x:v>
      </x:c>
      <x:c r="D42" s="4" t="str">
        <x:v>[]</x:v>
      </x:c>
      <x:c r="E42" s="4" t="str">
        <x:v>[]</x:v>
      </x:c>
      <x:c r="F42" s="12" t="str">
        <x:v>SETUJU_USULAN</x:v>
      </x:c>
      <x:c r="G42" s="12" t="str"/>
      <x:c r="H42" s="12" t="str">
        <x:v>Tidak ada objek terdampak yang dinyatakan eksplisit. Acuan lokasi, sarana ambulans dan penyelenggara tidak otomatis menjadi objek terdampak.</x:v>
      </x:c>
      <x:c r="I42" s="4" t="str">
        <x:f>IF(F42="SETUJU_USULAN",E42,IF(F42="KOREKSI",G42,""))</x:f>
        <x:v>[]</x:v>
      </x:c>
      <x:c r="J42" s="4" t="str">
        <x:f>IF(F42="","BELUM_DIREVIEW",IF(F42="TUNDA","DITUNDA",IF(TRIM(Panduan!$B$5)="","ISI_REVIEWER",IF(AND(F42&lt;&gt;"SETUJU_USULAN",F42&lt;&gt;"KOREKSI"),"CEK_KEPUTUSAN",IF(AND(F42="SETUJU_USULAN",G42&lt;&gt;""),"HAPUS_KOREKSI",IF(AND(F42="KOREKSI",TRIM(G42)=""),"ISI_KOREKSI",IF(AND(F42="KOREKSI",TRIM(H42)=""),"ISI_CATATAN","REVIEW_TERCATAT")))))))</x:f>
        <x:v>REVIEW_TERCATAT</x:v>
      </x:c>
      <x:c r="K42" s="4" t="str">
        <x:v>Usulan awal mengikuti output model; periksa terhadap narasi. Null/[] menyatakan informasi tidak ditemukan, bukan kepastian tidak ada.</x:v>
      </x:c>
    </x:row>
    <x:row r="43" ht="66" customHeight="1">
      <x:c r="A43" s="4" t="str">
        <x:v>D06</x:v>
      </x:c>
      <x:c r="B43" s="4" t="str">
        <x:v>location_text</x:v>
      </x:c>
      <x:c r="C43" s="4" t="str">
        <x:v>Mobil terguling di Jalan Pangeran Antasari, tidak ada korban meninggal.</x:v>
      </x:c>
      <x:c r="D43" s="4" t="str">
        <x:v>"Jalan Pangeran Antasari"</x:v>
      </x:c>
      <x:c r="E43" s="4" t="str">
        <x:v>"Jalan Pangeran Antasari"</x:v>
      </x:c>
      <x:c r="F43" s="12" t="str">
        <x:v>SETUJU_USULAN</x:v>
      </x:c>
      <x:c r="G43" s="12" t="str"/>
      <x:c r="H43" s="12" t="str">
        <x:v>Frasa lokasi disebut eksplisit pada sumber dan dipertahankan tanpa menambah alamat.</x:v>
      </x:c>
      <x:c r="I43" s="4" t="str">
        <x:f>IF(F43="SETUJU_USULAN",E43,IF(F43="KOREKSI",G43,""))</x:f>
        <x:v>"Jalan Pangeran Antasari"</x:v>
      </x:c>
      <x:c r="J43" s="4" t="str">
        <x:f>IF(F43="","BELUM_DIREVIEW",IF(F43="TUNDA","DITUNDA",IF(TRIM(Panduan!$B$5)="","ISI_REVIEWER",IF(AND(F43&lt;&gt;"SETUJU_USULAN",F43&lt;&gt;"KOREKSI"),"CEK_KEPUTUSAN",IF(AND(F43="SETUJU_USULAN",G43&lt;&gt;""),"HAPUS_KOREKSI",IF(AND(F43="KOREKSI",TRIM(G43)=""),"ISI_KOREKSI",IF(AND(F43="KOREKSI",TRIM(H43)=""),"ISI_CATATAN","REVIEW_TERCATAT")))))))</x:f>
        <x:v>REVIEW_TERCATAT</x:v>
      </x:c>
      <x:c r="K43" s="4" t="str">
        <x:v>Usulan awal mengikuti output model; periksa terhadap narasi. Null/[] menyatakan informasi tidak ditemukan, bukan kepastian tidak ada.</x:v>
      </x:c>
    </x:row>
    <x:row r="44" ht="66" customHeight="1">
      <x:c r="A44" s="4" t="str">
        <x:v>D06</x:v>
      </x:c>
      <x:c r="B44" s="4" t="str">
        <x:v>time_text</x:v>
      </x:c>
      <x:c r="C44" s="4" t="str">
        <x:v>Mobil terguling di Jalan Pangeran Antasari, tidak ada korban meninggal.</x:v>
      </x:c>
      <x:c r="D44" s="4" t="str">
        <x:v>null</x:v>
      </x:c>
      <x:c r="E44" s="4" t="str">
        <x:v>null</x:v>
      </x:c>
      <x:c r="F44" s="12" t="str">
        <x:v>SETUJU_USULAN</x:v>
      </x:c>
      <x:c r="G44" s="12" t="str"/>
      <x:c r="H44" s="12" t="str">
        <x:v>Tidak ada keterangan waktu kejadian yang dapat diekstrak. time_text ditetapkan null.</x:v>
      </x:c>
      <x:c r="I44" s="4" t="str">
        <x:f>IF(F44="SETUJU_USULAN",E44,IF(F44="KOREKSI",G44,""))</x:f>
        <x:v>null</x:v>
      </x:c>
      <x:c r="J44" s="4" t="str">
        <x:f>IF(F44="","BELUM_DIREVIEW",IF(F44="TUNDA","DITUNDA",IF(TRIM(Panduan!$B$5)="","ISI_REVIEWER",IF(AND(F44&lt;&gt;"SETUJU_USULAN",F44&lt;&gt;"KOREKSI"),"CEK_KEPUTUSAN",IF(AND(F44="SETUJU_USULAN",G44&lt;&gt;""),"HAPUS_KOREKSI",IF(AND(F44="KOREKSI",TRIM(G44)=""),"ISI_KOREKSI",IF(AND(F44="KOREKSI",TRIM(H44)=""),"ISI_CATATAN","REVIEW_TERCATAT")))))))</x:f>
        <x:v>REVIEW_TERCATAT</x:v>
      </x:c>
      <x:c r="K44" s="4" t="str">
        <x:v>Usulan awal mengikuti output model; periksa terhadap narasi. Null/[] menyatakan informasi tidak ditemukan, bukan kepastian tidak ada.</x:v>
      </x:c>
    </x:row>
    <x:row r="45" ht="66" customHeight="1">
      <x:c r="A45" s="4" t="str">
        <x:v>D06</x:v>
      </x:c>
      <x:c r="B45" s="4" t="str">
        <x:v>occurred_at</x:v>
      </x:c>
      <x:c r="C45" s="4" t="str">
        <x:v>Mobil terguling di Jalan Pangeran Antasari, tidak ada korban meninggal.</x:v>
      </x:c>
      <x:c r="D45" s="4" t="str">
        <x:v>null</x:v>
      </x:c>
      <x:c r="E45" s="4" t="str">
        <x:v>null</x:v>
      </x:c>
      <x:c r="F45" s="12" t="str">
        <x:v>SETUJU_USULAN</x:v>
      </x:c>
      <x:c r="G45" s="12" t="str"/>
      <x:c r="H45" s="12" t="str">
        <x:v>Tidak tersedia gabungan tanggal, jam dan zona waktu yang memadai. occurred_at tetap null tanpa menebak timestamp.</x:v>
      </x:c>
      <x:c r="I45" s="4" t="str">
        <x:f>IF(F45="SETUJU_USULAN",E45,IF(F45="KOREKSI",G45,""))</x:f>
        <x:v>null</x:v>
      </x:c>
      <x:c r="J45" s="4" t="str">
        <x:f>IF(F45="","BELUM_DIREVIEW",IF(F45="TUNDA","DITUNDA",IF(TRIM(Panduan!$B$5)="","ISI_REVIEWER",IF(AND(F45&lt;&gt;"SETUJU_USULAN",F45&lt;&gt;"KOREKSI"),"CEK_KEPUTUSAN",IF(AND(F45="SETUJU_USULAN",G45&lt;&gt;""),"HAPUS_KOREKSI",IF(AND(F45="KOREKSI",TRIM(G45)=""),"ISI_KOREKSI",IF(AND(F45="KOREKSI",TRIM(H45)=""),"ISI_CATATAN","REVIEW_TERCATAT")))))))</x:f>
        <x:v>REVIEW_TERCATAT</x:v>
      </x:c>
      <x:c r="K45" s="4" t="str">
        <x:v>Narasi tidak memberi tanggal, jam dan konteks zona waktu yang memadai; timestamp tidak ditebak.</x:v>
      </x:c>
    </x:row>
    <x:row r="46" ht="66" customHeight="1">
      <x:c r="A46" s="4" t="str">
        <x:v>D06</x:v>
      </x:c>
      <x:c r="B46" s="4" t="str">
        <x:v>involved_parties</x:v>
      </x:c>
      <x:c r="C46" s="4" t="str">
        <x:v>Mobil terguling di Jalan Pangeran Antasari, tidak ada korban meninggal.</x:v>
      </x:c>
      <x:c r="D46" s="4" t="str">
        <x:v>[]</x:v>
      </x:c>
      <x:c r="E46" s="4" t="str">
        <x:v>[]</x:v>
      </x:c>
      <x:c r="F46" s="12" t="str">
        <x:v>SETUJU_USULAN</x:v>
      </x:c>
      <x:c r="G46" s="12" t="str"/>
      <x:c r="H46" s="12" t="str">
        <x:v>Tidak ada pihak atau orang yang disebut secara eksplisit sebagai pelaku atau pihak terlibat. Tidak ditambahkan dari dugaan.</x:v>
      </x:c>
      <x:c r="I46" s="4" t="str">
        <x:f>IF(F46="SETUJU_USULAN",E46,IF(F46="KOREKSI",G46,""))</x:f>
        <x:v>[]</x:v>
      </x:c>
      <x:c r="J46" s="4" t="str">
        <x:f>IF(F46="","BELUM_DIREVIEW",IF(F46="TUNDA","DITUNDA",IF(TRIM(Panduan!$B$5)="","ISI_REVIEWER",IF(AND(F46&lt;&gt;"SETUJU_USULAN",F46&lt;&gt;"KOREKSI"),"CEK_KEPUTUSAN",IF(AND(F46="SETUJU_USULAN",G46&lt;&gt;""),"HAPUS_KOREKSI",IF(AND(F46="KOREKSI",TRIM(G46)=""),"ISI_KOREKSI",IF(AND(F46="KOREKSI",TRIM(H46)=""),"ISI_CATATAN","REVIEW_TERCATAT")))))))</x:f>
        <x:v>REVIEW_TERCATAT</x:v>
      </x:c>
      <x:c r="K46" s="4" t="str">
        <x:v>Usulan awal mengikuti output model; periksa terhadap narasi. Null/[] menyatakan informasi tidak ditemukan, bukan kepastian tidak ada.</x:v>
      </x:c>
    </x:row>
    <x:row r="47" ht="66" customHeight="1">
      <x:c r="A47" s="4" t="str">
        <x:v>D06</x:v>
      </x:c>
      <x:c r="B47" s="4" t="str">
        <x:v>impacts</x:v>
      </x:c>
      <x:c r="C47" s="4" t="str">
        <x:v>Mobil terguling di Jalan Pangeran Antasari, tidak ada korban meninggal.</x:v>
      </x:c>
      <x:c r="D47" s="4" t="str">
        <x:v>[]</x:v>
      </x:c>
      <x:c r="E47" s="4" t="str">
        <x:v>["Mobil terguling"]</x:v>
      </x:c>
      <x:c r="F47" s="12" t="str">
        <x:v>SETUJU_USULAN</x:v>
      </x:c>
      <x:c r="G47" s="12" t="str"/>
      <x:c r="H47" s="12" t="str">
        <x:v>Mobil terguling adalah kondisi fisik yang dinyatakan. Tidak ditambah luka atau kerusakan lain.</x:v>
      </x:c>
      <x:c r="I47" s="4" t="str">
        <x:f>IF(F47="SETUJU_USULAN",E47,IF(F47="KOREKSI",G47,""))</x:f>
        <x:v>["Mobil terguling"]</x:v>
      </x:c>
      <x:c r="J47" s="4" t="str">
        <x:f>IF(F47="","BELUM_DIREVIEW",IF(F47="TUNDA","DITUNDA",IF(TRIM(Panduan!$B$5)="","ISI_REVIEWER",IF(AND(F47&lt;&gt;"SETUJU_USULAN",F47&lt;&gt;"KOREKSI"),"CEK_KEPUTUSAN",IF(AND(F47="SETUJU_USULAN",G47&lt;&gt;""),"HAPUS_KOREKSI",IF(AND(F47="KOREKSI",TRIM(G47)=""),"ISI_KOREKSI",IF(AND(F47="KOREKSI",TRIM(H47)=""),"ISI_CATATAN","REVIEW_TERCATAT")))))))</x:f>
        <x:v>REVIEW_TERCATAT</x:v>
      </x:c>
      <x:c r="K47" s="4" t="str">
        <x:v>Pernyataan kondisi literal; tidak ditambah kerusakan atau korban.</x:v>
      </x:c>
    </x:row>
    <x:row r="48" ht="66" customHeight="1">
      <x:c r="A48" s="4" t="str">
        <x:v>D06</x:v>
      </x:c>
      <x:c r="B48" s="4" t="str">
        <x:v>victims</x:v>
      </x:c>
      <x:c r="C48" s="4" t="str">
        <x:v>Mobil terguling di Jalan Pangeran Antasari, tidak ada korban meninggal.</x:v>
      </x:c>
      <x:c r="D48" s="4" t="str">
        <x:v>[]</x:v>
      </x:c>
      <x:c r="E48" s="4" t="str">
        <x:v>[]</x:v>
      </x:c>
      <x:c r="F48" s="12" t="str">
        <x:v>SETUJU_USULAN</x:v>
      </x:c>
      <x:c r="G48" s="12" t="str"/>
      <x:c r="H48" s="12" t="str">
        <x:v>Tidak ada korban meninggal menegasikan kematian. Tidak ada korban positif yang diisi dan tidak ditebak ada atau tidaknya korban luka.</x:v>
      </x:c>
      <x:c r="I48" s="4" t="str">
        <x:f>IF(F48="SETUJU_USULAN",E48,IF(F48="KOREKSI",G48,""))</x:f>
        <x:v>[]</x:v>
      </x:c>
      <x:c r="J48" s="4" t="str">
        <x:f>IF(F48="","BELUM_DIREVIEW",IF(F48="TUNDA","DITUNDA",IF(TRIM(Panduan!$B$5)="","ISI_REVIEWER",IF(AND(F48&lt;&gt;"SETUJU_USULAN",F48&lt;&gt;"KOREKSI"),"CEK_KEPUTUSAN",IF(AND(F48="SETUJU_USULAN",G48&lt;&gt;""),"HAPUS_KOREKSI",IF(AND(F48="KOREKSI",TRIM(G48)=""),"ISI_KOREKSI",IF(AND(F48="KOREKSI",TRIM(H48)=""),"ISI_CATATAN","REVIEW_TERCATAT")))))))</x:f>
        <x:v>REVIEW_TERCATAT</x:v>
      </x:c>
      <x:c r="K48" s="4" t="str">
        <x:v>Usulan awal mengikuti output model; periksa terhadap narasi. Null/[] menyatakan informasi tidak ditemukan, bukan kepastian tidak ada.</x:v>
      </x:c>
    </x:row>
    <x:row r="49" ht="66" customHeight="1">
      <x:c r="A49" s="4" t="str">
        <x:v>D06</x:v>
      </x:c>
      <x:c r="B49" s="4" t="str">
        <x:v>affected_objects</x:v>
      </x:c>
      <x:c r="C49" s="4" t="str">
        <x:v>Mobil terguling di Jalan Pangeran Antasari, tidak ada korban meninggal.</x:v>
      </x:c>
      <x:c r="D49" s="4" t="str">
        <x:v>["Mobil terguling"]</x:v>
      </x:c>
      <x:c r="E49" s="4" t="str">
        <x:v>["Mobil"]</x:v>
      </x:c>
      <x:c r="F49" s="13" t="str">
        <x:v>TERWARIS</x:v>
      </x:c>
      <x:c r="G49" s="13" t="str"/>
      <x:c r="H49" s="13" t="str"/>
      <x:c r="I49" s="13" t="str">
        <x:v>["Mobil"]</x:v>
      </x:c>
      <x:c r="J49" s="13" t="str">
        <x:v>FINAL_TERWARIS</x:v>
      </x:c>
      <x:c r="K49" s="4" t="str">
        <x:v>Mobil merupakan objek yang mengalami kecelakaan. Terguling adalah predikat kejadian sehingga tidak termasuk nama objek. Kapitalisasi mengikuti sumber.</x:v>
      </x:c>
    </x:row>
    <x:row r="50" ht="66" customHeight="1">
      <x:c r="A50" s="4" t="str">
        <x:v>D07</x:v>
      </x:c>
      <x:c r="B50" s="4" t="str">
        <x:v>location_text</x:v>
      </x:c>
      <x:c r="C50" s="4" t="str">
        <x:v>Pemerintah sedang membahas solusi banjir untuk tahun depan.</x:v>
      </x:c>
      <x:c r="D50" s="4" t="str">
        <x:v>null</x:v>
      </x:c>
      <x:c r="E50" s="4" t="str">
        <x:v>null</x:v>
      </x:c>
      <x:c r="F50" s="12" t="str">
        <x:v>SETUJU_USULAN</x:v>
      </x:c>
      <x:c r="G50" s="12" t="str"/>
      <x:c r="H50" s="12" t="str">
        <x:v>Tidak ada lokasi kejadian yang dapat diambil dari narasi. null menyatakan informasi lokasi tidak tersedia.</x:v>
      </x:c>
      <x:c r="I50" s="4" t="str">
        <x:f>IF(F50="SETUJU_USULAN",E50,IF(F50="KOREKSI",G50,""))</x:f>
        <x:v>null</x:v>
      </x:c>
      <x:c r="J50" s="4" t="str">
        <x:f>IF(F50="","BELUM_DIREVIEW",IF(F50="TUNDA","DITUNDA",IF(TRIM(Panduan!$B$5)="","ISI_REVIEWER",IF(AND(F50&lt;&gt;"SETUJU_USULAN",F50&lt;&gt;"KOREKSI"),"CEK_KEPUTUSAN",IF(AND(F50="SETUJU_USULAN",G50&lt;&gt;""),"HAPUS_KOREKSI",IF(AND(F50="KOREKSI",TRIM(G50)=""),"ISI_KOREKSI",IF(AND(F50="KOREKSI",TRIM(H50)=""),"ISI_CATATAN","REVIEW_TERCATAT")))))))</x:f>
        <x:v>REVIEW_TERCATAT</x:v>
      </x:c>
      <x:c r="K50" s="4" t="str">
        <x:v>Usulan awal mengikuti output model; periksa terhadap narasi. Null/[] menyatakan informasi tidak ditemukan, bukan kepastian tidak ada.</x:v>
      </x:c>
    </x:row>
    <x:row r="51" ht="66" customHeight="1">
      <x:c r="A51" s="4" t="str">
        <x:v>D07</x:v>
      </x:c>
      <x:c r="B51" s="4" t="str">
        <x:v>time_text</x:v>
      </x:c>
      <x:c r="C51" s="4" t="str">
        <x:v>Pemerintah sedang membahas solusi banjir untuk tahun depan.</x:v>
      </x:c>
      <x:c r="D51" s="4" t="str">
        <x:v>null</x:v>
      </x:c>
      <x:c r="E51" s="4" t="str">
        <x:v>null</x:v>
      </x:c>
      <x:c r="F51" s="12" t="str">
        <x:v>SETUJU_USULAN</x:v>
      </x:c>
      <x:c r="G51" s="12" t="str"/>
      <x:c r="H51" s="12" t="str">
        <x:v>Tahun depan merujuk rencana solusi, bukan waktu kejadian banjir. Tidak ada waktu kejadian yang dapat diisi.</x:v>
      </x:c>
      <x:c r="I51" s="4" t="str">
        <x:f>IF(F51="SETUJU_USULAN",E51,IF(F51="KOREKSI",G51,""))</x:f>
        <x:v>null</x:v>
      </x:c>
      <x:c r="J51" s="4" t="str">
        <x:f>IF(F51="","BELUM_DIREVIEW",IF(F51="TUNDA","DITUNDA",IF(TRIM(Panduan!$B$5)="","ISI_REVIEWER",IF(AND(F51&lt;&gt;"SETUJU_USULAN",F51&lt;&gt;"KOREKSI"),"CEK_KEPUTUSAN",IF(AND(F51="SETUJU_USULAN",G51&lt;&gt;""),"HAPUS_KOREKSI",IF(AND(F51="KOREKSI",TRIM(G51)=""),"ISI_KOREKSI",IF(AND(F51="KOREKSI",TRIM(H51)=""),"ISI_CATATAN","REVIEW_TERCATAT")))))))</x:f>
        <x:v>REVIEW_TERCATAT</x:v>
      </x:c>
      <x:c r="K51" s="4" t="str">
        <x:v>Usulan awal mengikuti output model; periksa terhadap narasi. Null/[] menyatakan informasi tidak ditemukan, bukan kepastian tidak ada.</x:v>
      </x:c>
    </x:row>
    <x:row r="52" ht="66" customHeight="1">
      <x:c r="A52" s="4" t="str">
        <x:v>D07</x:v>
      </x:c>
      <x:c r="B52" s="4" t="str">
        <x:v>occurred_at</x:v>
      </x:c>
      <x:c r="C52" s="4" t="str">
        <x:v>Pemerintah sedang membahas solusi banjir untuk tahun depan.</x:v>
      </x:c>
      <x:c r="D52" s="4" t="str">
        <x:v>null</x:v>
      </x:c>
      <x:c r="E52" s="4" t="str">
        <x:v>null</x:v>
      </x:c>
      <x:c r="F52" s="12" t="str">
        <x:v>SETUJU_USULAN</x:v>
      </x:c>
      <x:c r="G52" s="12" t="str"/>
      <x:c r="H52" s="12" t="str">
        <x:v>Tidak tersedia gabungan tanggal, jam dan zona waktu yang memadai. occurred_at tetap null tanpa menebak timestamp.</x:v>
      </x:c>
      <x:c r="I52" s="4" t="str">
        <x:f>IF(F52="SETUJU_USULAN",E52,IF(F52="KOREKSI",G52,""))</x:f>
        <x:v>null</x:v>
      </x:c>
      <x:c r="J52" s="4" t="str">
        <x:f>IF(F52="","BELUM_DIREVIEW",IF(F52="TUNDA","DITUNDA",IF(TRIM(Panduan!$B$5)="","ISI_REVIEWER",IF(AND(F52&lt;&gt;"SETUJU_USULAN",F52&lt;&gt;"KOREKSI"),"CEK_KEPUTUSAN",IF(AND(F52="SETUJU_USULAN",G52&lt;&gt;""),"HAPUS_KOREKSI",IF(AND(F52="KOREKSI",TRIM(G52)=""),"ISI_KOREKSI",IF(AND(F52="KOREKSI",TRIM(H52)=""),"ISI_CATATAN","REVIEW_TERCATAT")))))))</x:f>
        <x:v>REVIEW_TERCATAT</x:v>
      </x:c>
      <x:c r="K52" s="4" t="str">
        <x:v>Narasi tidak memberi tanggal, jam dan konteks zona waktu yang memadai; timestamp tidak ditebak.</x:v>
      </x:c>
    </x:row>
    <x:row r="53" ht="66" customHeight="1">
      <x:c r="A53" s="4" t="str">
        <x:v>D07</x:v>
      </x:c>
      <x:c r="B53" s="4" t="str">
        <x:v>involved_parties</x:v>
      </x:c>
      <x:c r="C53" s="4" t="str">
        <x:v>Pemerintah sedang membahas solusi banjir untuk tahun depan.</x:v>
      </x:c>
      <x:c r="D53" s="4" t="str">
        <x:v>[]</x:v>
      </x:c>
      <x:c r="E53" s="4" t="str">
        <x:v>["Pemerintah"]</x:v>
      </x:c>
      <x:c r="F53" s="12" t="str">
        <x:v>SETUJU_USULAN</x:v>
      </x:c>
      <x:c r="G53" s="12" t="str"/>
      <x:c r="H53" s="12" t="str">
        <x:v>Pemerintah disebut sebagai pihak yang membahas solusi. Informasi pihak tetap dipertahankan meski narasi bukan laporan banjir.</x:v>
      </x:c>
      <x:c r="I53" s="4" t="str">
        <x:f>IF(F53="SETUJU_USULAN",E53,IF(F53="KOREKSI",G53,""))</x:f>
        <x:v>["Pemerintah"]</x:v>
      </x:c>
      <x:c r="J53" s="4" t="str">
        <x:f>IF(F53="","BELUM_DIREVIEW",IF(F53="TUNDA","DITUNDA",IF(TRIM(Panduan!$B$5)="","ISI_REVIEWER",IF(AND(F53&lt;&gt;"SETUJU_USULAN",F53&lt;&gt;"KOREKSI"),"CEK_KEPUTUSAN",IF(AND(F53="SETUJU_USULAN",G53&lt;&gt;""),"HAPUS_KOREKSI",IF(AND(F53="KOREKSI",TRIM(G53)=""),"ISI_KOREKSI",IF(AND(F53="KOREKSI",TRIM(H53)=""),"ISI_CATATAN","REVIEW_TERCATAT")))))))</x:f>
        <x:v>REVIEW_TERCATAT</x:v>
      </x:c>
      <x:c r="K53" s="4" t="str">
        <x:v>Aktor pembahasan solusi disebut eksplisit. Reviewer menilai relevansinya pada narasi NON_EVENT.</x:v>
      </x:c>
    </x:row>
    <x:row r="54" ht="66" customHeight="1">
      <x:c r="A54" s="4" t="str">
        <x:v>D07</x:v>
      </x:c>
      <x:c r="B54" s="4" t="str">
        <x:v>impacts</x:v>
      </x:c>
      <x:c r="C54" s="4" t="str">
        <x:v>Pemerintah sedang membahas solusi banjir untuk tahun depan.</x:v>
      </x:c>
      <x:c r="D54" s="4" t="str">
        <x:v>[]</x:v>
      </x:c>
      <x:c r="E54" s="4" t="str">
        <x:v>[]</x:v>
      </x:c>
      <x:c r="F54" s="12" t="str">
        <x:v>SETUJU_USULAN</x:v>
      </x:c>
      <x:c r="G54" s="12" t="str"/>
      <x:c r="H54" s="12" t="str">
        <x:v>Tidak ada dampak kejadian yang dinyatakan secara eksplisit untuk field ini. [] menyatakan tidak ada dampak yang diekstrak, bukan kepastian tanpa dampak.</x:v>
      </x:c>
      <x:c r="I54" s="4" t="str">
        <x:f>IF(F54="SETUJU_USULAN",E54,IF(F54="KOREKSI",G54,""))</x:f>
        <x:v>[]</x:v>
      </x:c>
      <x:c r="J54" s="4" t="str">
        <x:f>IF(F54="","BELUM_DIREVIEW",IF(F54="TUNDA","DITUNDA",IF(TRIM(Panduan!$B$5)="","ISI_REVIEWER",IF(AND(F54&lt;&gt;"SETUJU_USULAN",F54&lt;&gt;"KOREKSI"),"CEK_KEPUTUSAN",IF(AND(F54="SETUJU_USULAN",G54&lt;&gt;""),"HAPUS_KOREKSI",IF(AND(F54="KOREKSI",TRIM(G54)=""),"ISI_KOREKSI",IF(AND(F54="KOREKSI",TRIM(H54)=""),"ISI_CATATAN","REVIEW_TERCATAT")))))))</x:f>
        <x:v>REVIEW_TERCATAT</x:v>
      </x:c>
      <x:c r="K54" s="4" t="str">
        <x:v>Usulan awal mengikuti output model; periksa terhadap narasi. Null/[] menyatakan informasi tidak ditemukan, bukan kepastian tidak ada.</x:v>
      </x:c>
    </x:row>
    <x:row r="55" ht="66" customHeight="1">
      <x:c r="A55" s="4" t="str">
        <x:v>D07</x:v>
      </x:c>
      <x:c r="B55" s="4" t="str">
        <x:v>victims</x:v>
      </x:c>
      <x:c r="C55" s="4" t="str">
        <x:v>Pemerintah sedang membahas solusi banjir untuk tahun depan.</x:v>
      </x:c>
      <x:c r="D55" s="4" t="str">
        <x:v>[]</x:v>
      </x:c>
      <x:c r="E55" s="4" t="str">
        <x:v>[]</x:v>
      </x:c>
      <x:c r="F55" s="12" t="str">
        <x:v>SETUJU_USULAN</x:v>
      </x:c>
      <x:c r="G55" s="12" t="str"/>
      <x:c r="H55" s="12" t="str">
        <x:v>Tidak ada jumlah atau kondisi korban yang dinyatakan. [] menyatakan tidak ada informasi korban yang diekstrak, bukan nol korban di lapangan.</x:v>
      </x:c>
      <x:c r="I55" s="4" t="str">
        <x:f>IF(F55="SETUJU_USULAN",E55,IF(F55="KOREKSI",G55,""))</x:f>
        <x:v>[]</x:v>
      </x:c>
      <x:c r="J55" s="4" t="str">
        <x:f>IF(F55="","BELUM_DIREVIEW",IF(F55="TUNDA","DITUNDA",IF(TRIM(Panduan!$B$5)="","ISI_REVIEWER",IF(AND(F55&lt;&gt;"SETUJU_USULAN",F55&lt;&gt;"KOREKSI"),"CEK_KEPUTUSAN",IF(AND(F55="SETUJU_USULAN",G55&lt;&gt;""),"HAPUS_KOREKSI",IF(AND(F55="KOREKSI",TRIM(G55)=""),"ISI_KOREKSI",IF(AND(F55="KOREKSI",TRIM(H55)=""),"ISI_CATATAN","REVIEW_TERCATAT")))))))</x:f>
        <x:v>REVIEW_TERCATAT</x:v>
      </x:c>
      <x:c r="K55" s="4" t="str">
        <x:v>Usulan awal mengikuti output model; periksa terhadap narasi. Null/[] menyatakan informasi tidak ditemukan, bukan kepastian tidak ada.</x:v>
      </x:c>
    </x:row>
    <x:row r="56" ht="66" customHeight="1">
      <x:c r="A56" s="4" t="str">
        <x:v>D07</x:v>
      </x:c>
      <x:c r="B56" s="4" t="str">
        <x:v>affected_objects</x:v>
      </x:c>
      <x:c r="C56" s="4" t="str">
        <x:v>Pemerintah sedang membahas solusi banjir untuk tahun depan.</x:v>
      </x:c>
      <x:c r="D56" s="4" t="str">
        <x:v>[]</x:v>
      </x:c>
      <x:c r="E56" s="4" t="str">
        <x:v>[]</x:v>
      </x:c>
      <x:c r="F56" s="12" t="str">
        <x:v>SETUJU_USULAN</x:v>
      </x:c>
      <x:c r="G56" s="12" t="str"/>
      <x:c r="H56" s="12" t="str">
        <x:v>Tidak ada objek terdampak yang dinyatakan eksplisit. Acuan lokasi, sarana ambulans dan penyelenggara tidak otomatis menjadi objek terdampak.</x:v>
      </x:c>
      <x:c r="I56" s="4" t="str">
        <x:f>IF(F56="SETUJU_USULAN",E56,IF(F56="KOREKSI",G56,""))</x:f>
        <x:v>[]</x:v>
      </x:c>
      <x:c r="J56" s="4" t="str">
        <x:f>IF(F56="","BELUM_DIREVIEW",IF(F56="TUNDA","DITUNDA",IF(TRIM(Panduan!$B$5)="","ISI_REVIEWER",IF(AND(F56&lt;&gt;"SETUJU_USULAN",F56&lt;&gt;"KOREKSI"),"CEK_KEPUTUSAN",IF(AND(F56="SETUJU_USULAN",G56&lt;&gt;""),"HAPUS_KOREKSI",IF(AND(F56="KOREKSI",TRIM(G56)=""),"ISI_KOREKSI",IF(AND(F56="KOREKSI",TRIM(H56)=""),"ISI_CATATAN","REVIEW_TERCATAT")))))))</x:f>
        <x:v>REVIEW_TERCATAT</x:v>
      </x:c>
      <x:c r="K56" s="4" t="str">
        <x:v>Usulan awal mengikuti output model; periksa terhadap narasi. Null/[] menyatakan informasi tidak ditemukan, bukan kepastian tidak ada.</x:v>
      </x:c>
    </x:row>
    <x:row r="57" ht="66" customHeight="1">
      <x:c r="A57" s="4" t="str">
        <x:v>D08</x:v>
      </x:c>
      <x:c r="B57" s="4" t="str">
        <x:v>location_text</x:v>
      </x:c>
      <x:c r="C57" s="4" t="str">
        <x:v>Sekolah mengadakan simulasi evakuasi kebakaran pagi ini.</x:v>
      </x:c>
      <x:c r="D57" s="4" t="str">
        <x:v>null</x:v>
      </x:c>
      <x:c r="E57" s="4" t="str">
        <x:v>null</x:v>
      </x:c>
      <x:c r="F57" s="12" t="str">
        <x:v>SETUJU_USULAN</x:v>
      </x:c>
      <x:c r="G57" s="12" t="str"/>
      <x:c r="H57" s="12" t="str">
        <x:v>Tidak ada lokasi kejadian yang dapat diambil dari narasi. null menyatakan informasi lokasi tidak tersedia.</x:v>
      </x:c>
      <x:c r="I57" s="4" t="str">
        <x:f>IF(F57="SETUJU_USULAN",E57,IF(F57="KOREKSI",G57,""))</x:f>
        <x:v>null</x:v>
      </x:c>
      <x:c r="J57" s="4" t="str">
        <x:f>IF(F57="","BELUM_DIREVIEW",IF(F57="TUNDA","DITUNDA",IF(TRIM(Panduan!$B$5)="","ISI_REVIEWER",IF(AND(F57&lt;&gt;"SETUJU_USULAN",F57&lt;&gt;"KOREKSI"),"CEK_KEPUTUSAN",IF(AND(F57="SETUJU_USULAN",G57&lt;&gt;""),"HAPUS_KOREKSI",IF(AND(F57="KOREKSI",TRIM(G57)=""),"ISI_KOREKSI",IF(AND(F57="KOREKSI",TRIM(H57)=""),"ISI_CATATAN","REVIEW_TERCATAT")))))))</x:f>
        <x:v>REVIEW_TERCATAT</x:v>
      </x:c>
      <x:c r="K57" s="4" t="str">
        <x:v>Usulan awal mengikuti output model; periksa terhadap narasi. Null/[] menyatakan informasi tidak ditemukan, bukan kepastian tidak ada.</x:v>
      </x:c>
    </x:row>
    <x:row r="58" ht="66" customHeight="1">
      <x:c r="A58" s="4" t="str">
        <x:v>D08</x:v>
      </x:c>
      <x:c r="B58" s="4" t="str">
        <x:v>time_text</x:v>
      </x:c>
      <x:c r="C58" s="4" t="str">
        <x:v>Sekolah mengadakan simulasi evakuasi kebakaran pagi ini.</x:v>
      </x:c>
      <x:c r="D58" s="4" t="str">
        <x:v>"pagi ini"</x:v>
      </x:c>
      <x:c r="E58" s="4" t="str">
        <x:v>"pagi ini"</x:v>
      </x:c>
      <x:c r="F58" s="12" t="str">
        <x:v>SETUJU_USULAN</x:v>
      </x:c>
      <x:c r="G58" s="12" t="str"/>
      <x:c r="H58" s="12" t="str">
        <x:v>Pagi ini merupakan waktu simulasi yang dinyatakan eksplisit. Nilai tidak diartikan sebagai waktu kebakaran nyata.</x:v>
      </x:c>
      <x:c r="I58" s="4" t="str">
        <x:f>IF(F58="SETUJU_USULAN",E58,IF(F58="KOREKSI",G58,""))</x:f>
        <x:v>"pagi ini"</x:v>
      </x:c>
      <x:c r="J58" s="4" t="str">
        <x:f>IF(F58="","BELUM_DIREVIEW",IF(F58="TUNDA","DITUNDA",IF(TRIM(Panduan!$B$5)="","ISI_REVIEWER",IF(AND(F58&lt;&gt;"SETUJU_USULAN",F58&lt;&gt;"KOREKSI"),"CEK_KEPUTUSAN",IF(AND(F58="SETUJU_USULAN",G58&lt;&gt;""),"HAPUS_KOREKSI",IF(AND(F58="KOREKSI",TRIM(G58)=""),"ISI_KOREKSI",IF(AND(F58="KOREKSI",TRIM(H58)=""),"ISI_CATATAN","REVIEW_TERCATAT")))))))</x:f>
        <x:v>REVIEW_TERCATAT</x:v>
      </x:c>
      <x:c r="K58" s="4" t="str">
        <x:v>Output model menunjuk waktu simulasi. Reviewer perlu menilai relevansinya terhadap field kejadian.</x:v>
      </x:c>
    </x:row>
    <x:row r="59" ht="66" customHeight="1">
      <x:c r="A59" s="4" t="str">
        <x:v>D08</x:v>
      </x:c>
      <x:c r="B59" s="4" t="str">
        <x:v>occurred_at</x:v>
      </x:c>
      <x:c r="C59" s="4" t="str">
        <x:v>Sekolah mengadakan simulasi evakuasi kebakaran pagi ini.</x:v>
      </x:c>
      <x:c r="D59" s="4" t="str">
        <x:v>null</x:v>
      </x:c>
      <x:c r="E59" s="4" t="str">
        <x:v>null</x:v>
      </x:c>
      <x:c r="F59" s="12" t="str">
        <x:v>SETUJU_USULAN</x:v>
      </x:c>
      <x:c r="G59" s="12" t="str"/>
      <x:c r="H59" s="12" t="str">
        <x:v>Tidak tersedia gabungan tanggal, jam dan zona waktu yang memadai. occurred_at tetap null tanpa menebak timestamp.</x:v>
      </x:c>
      <x:c r="I59" s="4" t="str">
        <x:f>IF(F59="SETUJU_USULAN",E59,IF(F59="KOREKSI",G59,""))</x:f>
        <x:v>null</x:v>
      </x:c>
      <x:c r="J59" s="4" t="str">
        <x:f>IF(F59="","BELUM_DIREVIEW",IF(F59="TUNDA","DITUNDA",IF(TRIM(Panduan!$B$5)="","ISI_REVIEWER",IF(AND(F59&lt;&gt;"SETUJU_USULAN",F59&lt;&gt;"KOREKSI"),"CEK_KEPUTUSAN",IF(AND(F59="SETUJU_USULAN",G59&lt;&gt;""),"HAPUS_KOREKSI",IF(AND(F59="KOREKSI",TRIM(G59)=""),"ISI_KOREKSI",IF(AND(F59="KOREKSI",TRIM(H59)=""),"ISI_CATATAN","REVIEW_TERCATAT")))))))</x:f>
        <x:v>REVIEW_TERCATAT</x:v>
      </x:c>
      <x:c r="K59" s="4" t="str">
        <x:v>Narasi tidak memberi tanggal, jam dan konteks zona waktu yang memadai; timestamp tidak ditebak.</x:v>
      </x:c>
    </x:row>
    <x:row r="60" ht="66" customHeight="1">
      <x:c r="A60" s="4" t="str">
        <x:v>D08</x:v>
      </x:c>
      <x:c r="B60" s="4" t="str">
        <x:v>involved_parties</x:v>
      </x:c>
      <x:c r="C60" s="4" t="str">
        <x:v>Sekolah mengadakan simulasi evakuasi kebakaran pagi ini.</x:v>
      </x:c>
      <x:c r="D60" s="4" t="str">
        <x:v>[]</x:v>
      </x:c>
      <x:c r="E60" s="4" t="str">
        <x:v>["Sekolah"]</x:v>
      </x:c>
      <x:c r="F60" s="12" t="str">
        <x:v>SETUJU_USULAN</x:v>
      </x:c>
      <x:c r="G60" s="12" t="str"/>
      <x:c r="H60" s="12" t="str">
        <x:v>Sekolah disebut sebagai penyelenggara simulasi. Ini pihak dalam narasi, bukan bukti sekolah terbakar atau lokasi kebakaran.</x:v>
      </x:c>
      <x:c r="I60" s="4" t="str">
        <x:f>IF(F60="SETUJU_USULAN",E60,IF(F60="KOREKSI",G60,""))</x:f>
        <x:v>["Sekolah"]</x:v>
      </x:c>
      <x:c r="J60" s="4" t="str">
        <x:f>IF(F60="","BELUM_DIREVIEW",IF(F60="TUNDA","DITUNDA",IF(TRIM(Panduan!$B$5)="","ISI_REVIEWER",IF(AND(F60&lt;&gt;"SETUJU_USULAN",F60&lt;&gt;"KOREKSI"),"CEK_KEPUTUSAN",IF(AND(F60="SETUJU_USULAN",G60&lt;&gt;""),"HAPUS_KOREKSI",IF(AND(F60="KOREKSI",TRIM(G60)=""),"ISI_KOREKSI",IF(AND(F60="KOREKSI",TRIM(H60)=""),"ISI_CATATAN","REVIEW_TERCATAT")))))))</x:f>
        <x:v>REVIEW_TERCATAT</x:v>
      </x:c>
      <x:c r="K60" s="4" t="str">
        <x:v>Penyelenggara simulasi disebut eksplisit. Tidak menyatakan kebakaran nyata.</x:v>
      </x:c>
    </x:row>
    <x:row r="61" ht="66" customHeight="1">
      <x:c r="A61" s="4" t="str">
        <x:v>D08</x:v>
      </x:c>
      <x:c r="B61" s="4" t="str">
        <x:v>impacts</x:v>
      </x:c>
      <x:c r="C61" s="4" t="str">
        <x:v>Sekolah mengadakan simulasi evakuasi kebakaran pagi ini.</x:v>
      </x:c>
      <x:c r="D61" s="4" t="str">
        <x:v>[]</x:v>
      </x:c>
      <x:c r="E61" s="4" t="str">
        <x:v>[]</x:v>
      </x:c>
      <x:c r="F61" s="12" t="str">
        <x:v>SETUJU_USULAN</x:v>
      </x:c>
      <x:c r="G61" s="12" t="str"/>
      <x:c r="H61" s="12" t="str">
        <x:v>Tidak ada dampak kejadian yang dinyatakan secara eksplisit untuk field ini. [] menyatakan tidak ada dampak yang diekstrak, bukan kepastian tanpa dampak.</x:v>
      </x:c>
      <x:c r="I61" s="4" t="str">
        <x:f>IF(F61="SETUJU_USULAN",E61,IF(F61="KOREKSI",G61,""))</x:f>
        <x:v>[]</x:v>
      </x:c>
      <x:c r="J61" s="4" t="str">
        <x:f>IF(F61="","BELUM_DIREVIEW",IF(F61="TUNDA","DITUNDA",IF(TRIM(Panduan!$B$5)="","ISI_REVIEWER",IF(AND(F61&lt;&gt;"SETUJU_USULAN",F61&lt;&gt;"KOREKSI"),"CEK_KEPUTUSAN",IF(AND(F61="SETUJU_USULAN",G61&lt;&gt;""),"HAPUS_KOREKSI",IF(AND(F61="KOREKSI",TRIM(G61)=""),"ISI_KOREKSI",IF(AND(F61="KOREKSI",TRIM(H61)=""),"ISI_CATATAN","REVIEW_TERCATAT")))))))</x:f>
        <x:v>REVIEW_TERCATAT</x:v>
      </x:c>
      <x:c r="K61" s="4" t="str">
        <x:v>Usulan awal mengikuti output model; periksa terhadap narasi. Null/[] menyatakan informasi tidak ditemukan, bukan kepastian tidak ada.</x:v>
      </x:c>
    </x:row>
    <x:row r="62" ht="66" customHeight="1">
      <x:c r="A62" s="4" t="str">
        <x:v>D08</x:v>
      </x:c>
      <x:c r="B62" s="4" t="str">
        <x:v>victims</x:v>
      </x:c>
      <x:c r="C62" s="4" t="str">
        <x:v>Sekolah mengadakan simulasi evakuasi kebakaran pagi ini.</x:v>
      </x:c>
      <x:c r="D62" s="4" t="str">
        <x:v>[]</x:v>
      </x:c>
      <x:c r="E62" s="4" t="str">
        <x:v>[]</x:v>
      </x:c>
      <x:c r="F62" s="12" t="str">
        <x:v>SETUJU_USULAN</x:v>
      </x:c>
      <x:c r="G62" s="12" t="str"/>
      <x:c r="H62" s="12" t="str">
        <x:v>Tidak ada jumlah atau kondisi korban yang dinyatakan. [] menyatakan tidak ada informasi korban yang diekstrak, bukan nol korban di lapangan.</x:v>
      </x:c>
      <x:c r="I62" s="4" t="str">
        <x:f>IF(F62="SETUJU_USULAN",E62,IF(F62="KOREKSI",G62,""))</x:f>
        <x:v>[]</x:v>
      </x:c>
      <x:c r="J62" s="4" t="str">
        <x:f>IF(F62="","BELUM_DIREVIEW",IF(F62="TUNDA","DITUNDA",IF(TRIM(Panduan!$B$5)="","ISI_REVIEWER",IF(AND(F62&lt;&gt;"SETUJU_USULAN",F62&lt;&gt;"KOREKSI"),"CEK_KEPUTUSAN",IF(AND(F62="SETUJU_USULAN",G62&lt;&gt;""),"HAPUS_KOREKSI",IF(AND(F62="KOREKSI",TRIM(G62)=""),"ISI_KOREKSI",IF(AND(F62="KOREKSI",TRIM(H62)=""),"ISI_CATATAN","REVIEW_TERCATAT")))))))</x:f>
        <x:v>REVIEW_TERCATAT</x:v>
      </x:c>
      <x:c r="K62" s="4" t="str">
        <x:v>Usulan awal mengikuti output model; periksa terhadap narasi. Null/[] menyatakan informasi tidak ditemukan, bukan kepastian tidak ada.</x:v>
      </x:c>
    </x:row>
    <x:row r="63" ht="66" customHeight="1">
      <x:c r="A63" s="4" t="str">
        <x:v>D08</x:v>
      </x:c>
      <x:c r="B63" s="4" t="str">
        <x:v>affected_objects</x:v>
      </x:c>
      <x:c r="C63" s="4" t="str">
        <x:v>Sekolah mengadakan simulasi evakuasi kebakaran pagi ini.</x:v>
      </x:c>
      <x:c r="D63" s="4" t="str">
        <x:v>[]</x:v>
      </x:c>
      <x:c r="E63" s="4" t="str">
        <x:v>[]</x:v>
      </x:c>
      <x:c r="F63" s="12" t="str">
        <x:v>SETUJU_USULAN</x:v>
      </x:c>
      <x:c r="G63" s="12" t="str"/>
      <x:c r="H63" s="12" t="str">
        <x:v>Tidak ada objek terdampak yang dinyatakan eksplisit. Acuan lokasi, sarana ambulans dan penyelenggara tidak otomatis menjadi objek terdampak.</x:v>
      </x:c>
      <x:c r="I63" s="4" t="str">
        <x:f>IF(F63="SETUJU_USULAN",E63,IF(F63="KOREKSI",G63,""))</x:f>
        <x:v>[]</x:v>
      </x:c>
      <x:c r="J63" s="4" t="str">
        <x:f>IF(F63="","BELUM_DIREVIEW",IF(F63="TUNDA","DITUNDA",IF(TRIM(Panduan!$B$5)="","ISI_REVIEWER",IF(AND(F63&lt;&gt;"SETUJU_USULAN",F63&lt;&gt;"KOREKSI"),"CEK_KEPUTUSAN",IF(AND(F63="SETUJU_USULAN",G63&lt;&gt;""),"HAPUS_KOREKSI",IF(AND(F63="KOREKSI",TRIM(G63)=""),"ISI_KOREKSI",IF(AND(F63="KOREKSI",TRIM(H63)=""),"ISI_CATATAN","REVIEW_TERCATAT")))))))</x:f>
        <x:v>REVIEW_TERCATAT</x:v>
      </x:c>
      <x:c r="K63" s="4" t="str">
        <x:v>Usulan awal mengikuti output model; periksa terhadap narasi. Null/[] menyatakan informasi tidak ditemukan, bukan kepastian tidak ada.</x:v>
      </x:c>
    </x:row>
    <x:row r="64" ht="66" customHeight="1">
      <x:c r="A64" s="4" t="str">
        <x:v>D09</x:v>
      </x:c>
      <x:c r="B64" s="4" t="str">
        <x:v>location_text</x:v>
      </x:c>
      <x:c r="C64" s="4" t="str">
        <x:v>Video gempa yang beredar itu ternyata rekaman lama dan bukan kejadian hari ini.</x:v>
      </x:c>
      <x:c r="D64" s="4" t="str">
        <x:v>null</x:v>
      </x:c>
      <x:c r="E64" s="4" t="str">
        <x:v>null</x:v>
      </x:c>
      <x:c r="F64" s="12" t="str">
        <x:v>SETUJU_USULAN</x:v>
      </x:c>
      <x:c r="G64" s="12" t="str"/>
      <x:c r="H64" s="12" t="str">
        <x:v>Tidak ada lokasi kejadian yang dapat diambil dari narasi. null menyatakan informasi lokasi tidak tersedia.</x:v>
      </x:c>
      <x:c r="I64" s="4" t="str">
        <x:f>IF(F64="SETUJU_USULAN",E64,IF(F64="KOREKSI",G64,""))</x:f>
        <x:v>null</x:v>
      </x:c>
      <x:c r="J64" s="4" t="str">
        <x:f>IF(F64="","BELUM_DIREVIEW",IF(F64="TUNDA","DITUNDA",IF(TRIM(Panduan!$B$5)="","ISI_REVIEWER",IF(AND(F64&lt;&gt;"SETUJU_USULAN",F64&lt;&gt;"KOREKSI"),"CEK_KEPUTUSAN",IF(AND(F64="SETUJU_USULAN",G64&lt;&gt;""),"HAPUS_KOREKSI",IF(AND(F64="KOREKSI",TRIM(G64)=""),"ISI_KOREKSI",IF(AND(F64="KOREKSI",TRIM(H64)=""),"ISI_CATATAN","REVIEW_TERCATAT")))))))</x:f>
        <x:v>REVIEW_TERCATAT</x:v>
      </x:c>
      <x:c r="K64" s="4" t="str">
        <x:v>Usulan awal mengikuti output model; periksa terhadap narasi. Null/[] menyatakan informasi tidak ditemukan, bukan kepastian tidak ada.</x:v>
      </x:c>
    </x:row>
    <x:row r="65" ht="66" customHeight="1">
      <x:c r="A65" s="4" t="str">
        <x:v>D09</x:v>
      </x:c>
      <x:c r="B65" s="4" t="str">
        <x:v>time_text</x:v>
      </x:c>
      <x:c r="C65" s="4" t="str">
        <x:v>Video gempa yang beredar itu ternyata rekaman lama dan bukan kejadian hari ini.</x:v>
      </x:c>
      <x:c r="D65" s="4" t="str">
        <x:v>null</x:v>
      </x:c>
      <x:c r="E65" s="4" t="str">
        <x:v>null</x:v>
      </x:c>
      <x:c r="F65" s="13" t="str">
        <x:v>TERWARIS</x:v>
      </x:c>
      <x:c r="G65" s="13" t="str"/>
      <x:c r="H65" s="13" t="str"/>
      <x:c r="I65" s="13" t="str">
        <x:v>null</x:v>
      </x:c>
      <x:c r="J65" s="13" t="str">
        <x:v>FINAL_TERWARIS</x:v>
      </x:c>
      <x:c r="K65" s="4" t="str">
        <x:v>Hari ini secara eksplisit disangkal sebagai waktu kejadian. Rekaman lama tidak memberikan waktu kejadian yang spesifik, sehingga time_text ditetapkan null.</x:v>
      </x:c>
    </x:row>
    <x:row r="66" ht="66" customHeight="1">
      <x:c r="A66" s="4" t="str">
        <x:v>D09</x:v>
      </x:c>
      <x:c r="B66" s="4" t="str">
        <x:v>occurred_at</x:v>
      </x:c>
      <x:c r="C66" s="4" t="str">
        <x:v>Video gempa yang beredar itu ternyata rekaman lama dan bukan kejadian hari ini.</x:v>
      </x:c>
      <x:c r="D66" s="4" t="str">
        <x:v>null</x:v>
      </x:c>
      <x:c r="E66" s="4" t="str">
        <x:v>null</x:v>
      </x:c>
      <x:c r="F66" s="12" t="str">
        <x:v>SETUJU_USULAN</x:v>
      </x:c>
      <x:c r="G66" s="12" t="str"/>
      <x:c r="H66" s="12" t="str">
        <x:v>Tidak tersedia gabungan tanggal, jam dan zona waktu yang memadai. occurred_at tetap null tanpa menebak timestamp.</x:v>
      </x:c>
      <x:c r="I66" s="4" t="str">
        <x:f>IF(F66="SETUJU_USULAN",E66,IF(F66="KOREKSI",G66,""))</x:f>
        <x:v>null</x:v>
      </x:c>
      <x:c r="J66" s="4" t="str">
        <x:f>IF(F66="","BELUM_DIREVIEW",IF(F66="TUNDA","DITUNDA",IF(TRIM(Panduan!$B$5)="","ISI_REVIEWER",IF(AND(F66&lt;&gt;"SETUJU_USULAN",F66&lt;&gt;"KOREKSI"),"CEK_KEPUTUSAN",IF(AND(F66="SETUJU_USULAN",G66&lt;&gt;""),"HAPUS_KOREKSI",IF(AND(F66="KOREKSI",TRIM(G66)=""),"ISI_KOREKSI",IF(AND(F66="KOREKSI",TRIM(H66)=""),"ISI_CATATAN","REVIEW_TERCATAT")))))))</x:f>
        <x:v>REVIEW_TERCATAT</x:v>
      </x:c>
      <x:c r="K66" s="4" t="str">
        <x:v>Narasi tidak memberi tanggal, jam dan konteks zona waktu yang memadai; timestamp tidak ditebak.</x:v>
      </x:c>
    </x:row>
    <x:row r="67" ht="66" customHeight="1">
      <x:c r="A67" s="4" t="str">
        <x:v>D09</x:v>
      </x:c>
      <x:c r="B67" s="4" t="str">
        <x:v>involved_parties</x:v>
      </x:c>
      <x:c r="C67" s="4" t="str">
        <x:v>Video gempa yang beredar itu ternyata rekaman lama dan bukan kejadian hari ini.</x:v>
      </x:c>
      <x:c r="D67" s="4" t="str">
        <x:v>[]</x:v>
      </x:c>
      <x:c r="E67" s="4" t="str">
        <x:v>[]</x:v>
      </x:c>
      <x:c r="F67" s="12" t="str">
        <x:v>SETUJU_USULAN</x:v>
      </x:c>
      <x:c r="G67" s="12" t="str"/>
      <x:c r="H67" s="12" t="str">
        <x:v>Tidak ada pihak atau orang yang disebut secara eksplisit sebagai pelaku atau pihak terlibat. Tidak ditambahkan dari dugaan.</x:v>
      </x:c>
      <x:c r="I67" s="4" t="str">
        <x:f>IF(F67="SETUJU_USULAN",E67,IF(F67="KOREKSI",G67,""))</x:f>
        <x:v>[]</x:v>
      </x:c>
      <x:c r="J67" s="4" t="str">
        <x:f>IF(F67="","BELUM_DIREVIEW",IF(F67="TUNDA","DITUNDA",IF(TRIM(Panduan!$B$5)="","ISI_REVIEWER",IF(AND(F67&lt;&gt;"SETUJU_USULAN",F67&lt;&gt;"KOREKSI"),"CEK_KEPUTUSAN",IF(AND(F67="SETUJU_USULAN",G67&lt;&gt;""),"HAPUS_KOREKSI",IF(AND(F67="KOREKSI",TRIM(G67)=""),"ISI_KOREKSI",IF(AND(F67="KOREKSI",TRIM(H67)=""),"ISI_CATATAN","REVIEW_TERCATAT")))))))</x:f>
        <x:v>REVIEW_TERCATAT</x:v>
      </x:c>
      <x:c r="K67" s="4" t="str">
        <x:v>Usulan awal mengikuti output model; periksa terhadap narasi. Null/[] menyatakan informasi tidak ditemukan, bukan kepastian tidak ada.</x:v>
      </x:c>
    </x:row>
    <x:row r="68" ht="66" customHeight="1">
      <x:c r="A68" s="4" t="str">
        <x:v>D09</x:v>
      </x:c>
      <x:c r="B68" s="4" t="str">
        <x:v>impacts</x:v>
      </x:c>
      <x:c r="C68" s="4" t="str">
        <x:v>Video gempa yang beredar itu ternyata rekaman lama dan bukan kejadian hari ini.</x:v>
      </x:c>
      <x:c r="D68" s="4" t="str">
        <x:v>[]</x:v>
      </x:c>
      <x:c r="E68" s="4" t="str">
        <x:v>[]</x:v>
      </x:c>
      <x:c r="F68" s="12" t="str">
        <x:v>SETUJU_USULAN</x:v>
      </x:c>
      <x:c r="G68" s="12" t="str"/>
      <x:c r="H68" s="12" t="str">
        <x:v>Tidak ada dampak kejadian yang dinyatakan secara eksplisit untuk field ini. [] menyatakan tidak ada dampak yang diekstrak, bukan kepastian tanpa dampak.</x:v>
      </x:c>
      <x:c r="I68" s="4" t="str">
        <x:f>IF(F68="SETUJU_USULAN",E68,IF(F68="KOREKSI",G68,""))</x:f>
        <x:v>[]</x:v>
      </x:c>
      <x:c r="J68" s="4" t="str">
        <x:f>IF(F68="","BELUM_DIREVIEW",IF(F68="TUNDA","DITUNDA",IF(TRIM(Panduan!$B$5)="","ISI_REVIEWER",IF(AND(F68&lt;&gt;"SETUJU_USULAN",F68&lt;&gt;"KOREKSI"),"CEK_KEPUTUSAN",IF(AND(F68="SETUJU_USULAN",G68&lt;&gt;""),"HAPUS_KOREKSI",IF(AND(F68="KOREKSI",TRIM(G68)=""),"ISI_KOREKSI",IF(AND(F68="KOREKSI",TRIM(H68)=""),"ISI_CATATAN","REVIEW_TERCATAT")))))))</x:f>
        <x:v>REVIEW_TERCATAT</x:v>
      </x:c>
      <x:c r="K68" s="4" t="str">
        <x:v>Usulan awal mengikuti output model; periksa terhadap narasi. Null/[] menyatakan informasi tidak ditemukan, bukan kepastian tidak ada.</x:v>
      </x:c>
    </x:row>
    <x:row r="69" ht="66" customHeight="1">
      <x:c r="A69" s="4" t="str">
        <x:v>D09</x:v>
      </x:c>
      <x:c r="B69" s="4" t="str">
        <x:v>victims</x:v>
      </x:c>
      <x:c r="C69" s="4" t="str">
        <x:v>Video gempa yang beredar itu ternyata rekaman lama dan bukan kejadian hari ini.</x:v>
      </x:c>
      <x:c r="D69" s="4" t="str">
        <x:v>[]</x:v>
      </x:c>
      <x:c r="E69" s="4" t="str">
        <x:v>[]</x:v>
      </x:c>
      <x:c r="F69" s="12" t="str">
        <x:v>SETUJU_USULAN</x:v>
      </x:c>
      <x:c r="G69" s="12" t="str"/>
      <x:c r="H69" s="12" t="str">
        <x:v>Tidak ada jumlah atau kondisi korban yang dinyatakan. [] menyatakan tidak ada informasi korban yang diekstrak, bukan nol korban di lapangan.</x:v>
      </x:c>
      <x:c r="I69" s="4" t="str">
        <x:f>IF(F69="SETUJU_USULAN",E69,IF(F69="KOREKSI",G69,""))</x:f>
        <x:v>[]</x:v>
      </x:c>
      <x:c r="J69" s="4" t="str">
        <x:f>IF(F69="","BELUM_DIREVIEW",IF(F69="TUNDA","DITUNDA",IF(TRIM(Panduan!$B$5)="","ISI_REVIEWER",IF(AND(F69&lt;&gt;"SETUJU_USULAN",F69&lt;&gt;"KOREKSI"),"CEK_KEPUTUSAN",IF(AND(F69="SETUJU_USULAN",G69&lt;&gt;""),"HAPUS_KOREKSI",IF(AND(F69="KOREKSI",TRIM(G69)=""),"ISI_KOREKSI",IF(AND(F69="KOREKSI",TRIM(H69)=""),"ISI_CATATAN","REVIEW_TERCATAT")))))))</x:f>
        <x:v>REVIEW_TERCATAT</x:v>
      </x:c>
      <x:c r="K69" s="4" t="str">
        <x:v>Usulan awal mengikuti output model; periksa terhadap narasi. Null/[] menyatakan informasi tidak ditemukan, bukan kepastian tidak ada.</x:v>
      </x:c>
    </x:row>
    <x:row r="70" ht="66" customHeight="1">
      <x:c r="A70" s="4" t="str">
        <x:v>D09</x:v>
      </x:c>
      <x:c r="B70" s="4" t="str">
        <x:v>affected_objects</x:v>
      </x:c>
      <x:c r="C70" s="4" t="str">
        <x:v>Video gempa yang beredar itu ternyata rekaman lama dan bukan kejadian hari ini.</x:v>
      </x:c>
      <x:c r="D70" s="4" t="str">
        <x:v>[]</x:v>
      </x:c>
      <x:c r="E70" s="4" t="str">
        <x:v>[]</x:v>
      </x:c>
      <x:c r="F70" s="12" t="str">
        <x:v>SETUJU_USULAN</x:v>
      </x:c>
      <x:c r="G70" s="12" t="str"/>
      <x:c r="H70" s="12" t="str">
        <x:v>Tidak ada objek terdampak yang dinyatakan eksplisit. Acuan lokasi, sarana ambulans dan penyelenggara tidak otomatis menjadi objek terdampak.</x:v>
      </x:c>
      <x:c r="I70" s="4" t="str">
        <x:f>IF(F70="SETUJU_USULAN",E70,IF(F70="KOREKSI",G70,""))</x:f>
        <x:v>[]</x:v>
      </x:c>
      <x:c r="J70" s="4" t="str">
        <x:f>IF(F70="","BELUM_DIREVIEW",IF(F70="TUNDA","DITUNDA",IF(TRIM(Panduan!$B$5)="","ISI_REVIEWER",IF(AND(F70&lt;&gt;"SETUJU_USULAN",F70&lt;&gt;"KOREKSI"),"CEK_KEPUTUSAN",IF(AND(F70="SETUJU_USULAN",G70&lt;&gt;""),"HAPUS_KOREKSI",IF(AND(F70="KOREKSI",TRIM(G70)=""),"ISI_KOREKSI",IF(AND(F70="KOREKSI",TRIM(H70)=""),"ISI_CATATAN","REVIEW_TERCATAT")))))))</x:f>
        <x:v>REVIEW_TERCATAT</x:v>
      </x:c>
      <x:c r="K70" s="4" t="str">
        <x:v>Usulan awal mengikuti output model; periksa terhadap narasi. Null/[] menyatakan informasi tidak ditemukan, bukan kepastian tidak ada.</x:v>
      </x:c>
    </x:row>
    <x:row r="71" ht="66" customHeight="1">
      <x:c r="A71" s="4" t="str">
        <x:v>D10</x:v>
      </x:c>
      <x:c r="B71" s="4" t="str">
        <x:v>location_text</x:v>
      </x:c>
      <x:c r="C71" s="4" t="str">
        <x:v>Asap terlihat dari arah belakang pasar, belum diketahui apakah kebakaran atau pembakaran sampah.</x:v>
      </x:c>
      <x:c r="D71" s="4" t="str">
        <x:v>null</x:v>
      </x:c>
      <x:c r="E71" s="4" t="str">
        <x:v>"arah belakang pasar"</x:v>
      </x:c>
      <x:c r="F71" s="13" t="str">
        <x:v>TERWARIS</x:v>
      </x:c>
      <x:c r="G71" s="13" t="str"/>
      <x:c r="H71" s="13" t="str"/>
      <x:c r="I71" s="13" t="str">
        <x:v>"arah belakang pasar"</x:v>
      </x:c>
      <x:c r="J71" s="13" t="str">
        <x:v>FINAL_TERWARIS</x:v>
      </x:c>
      <x:c r="K71" s="4" t="str">
        <x:v>Asap dinyatakan berasal dari arah belakang pasar. Lokasi relatif tersebut eksplisit meskipun jenis kejadian belum diketahui. Rincian alamat tidak ditambahkan.</x:v>
      </x:c>
    </x:row>
    <x:row r="72" ht="66" customHeight="1">
      <x:c r="A72" s="4" t="str">
        <x:v>D10</x:v>
      </x:c>
      <x:c r="B72" s="4" t="str">
        <x:v>time_text</x:v>
      </x:c>
      <x:c r="C72" s="4" t="str">
        <x:v>Asap terlihat dari arah belakang pasar, belum diketahui apakah kebakaran atau pembakaran sampah.</x:v>
      </x:c>
      <x:c r="D72" s="4" t="str">
        <x:v>null</x:v>
      </x:c>
      <x:c r="E72" s="4" t="str">
        <x:v>null</x:v>
      </x:c>
      <x:c r="F72" s="12" t="str">
        <x:v>SETUJU_USULAN</x:v>
      </x:c>
      <x:c r="G72" s="12" t="str"/>
      <x:c r="H72" s="12" t="str">
        <x:v>Tidak ada keterangan waktu kejadian yang dapat diekstrak. time_text ditetapkan null.</x:v>
      </x:c>
      <x:c r="I72" s="4" t="str">
        <x:f>IF(F72="SETUJU_USULAN",E72,IF(F72="KOREKSI",G72,""))</x:f>
        <x:v>null</x:v>
      </x:c>
      <x:c r="J72" s="4" t="str">
        <x:f>IF(F72="","BELUM_DIREVIEW",IF(F72="TUNDA","DITUNDA",IF(TRIM(Panduan!$B$5)="","ISI_REVIEWER",IF(AND(F72&lt;&gt;"SETUJU_USULAN",F72&lt;&gt;"KOREKSI"),"CEK_KEPUTUSAN",IF(AND(F72="SETUJU_USULAN",G72&lt;&gt;""),"HAPUS_KOREKSI",IF(AND(F72="KOREKSI",TRIM(G72)=""),"ISI_KOREKSI",IF(AND(F72="KOREKSI",TRIM(H72)=""),"ISI_CATATAN","REVIEW_TERCATAT")))))))</x:f>
        <x:v>REVIEW_TERCATAT</x:v>
      </x:c>
      <x:c r="K72" s="4" t="str">
        <x:v>Usulan awal mengikuti output model; periksa terhadap narasi. Null/[] menyatakan informasi tidak ditemukan, bukan kepastian tidak ada.</x:v>
      </x:c>
    </x:row>
    <x:row r="73" ht="66" customHeight="1">
      <x:c r="A73" s="4" t="str">
        <x:v>D10</x:v>
      </x:c>
      <x:c r="B73" s="4" t="str">
        <x:v>occurred_at</x:v>
      </x:c>
      <x:c r="C73" s="4" t="str">
        <x:v>Asap terlihat dari arah belakang pasar, belum diketahui apakah kebakaran atau pembakaran sampah.</x:v>
      </x:c>
      <x:c r="D73" s="4" t="str">
        <x:v>null</x:v>
      </x:c>
      <x:c r="E73" s="4" t="str">
        <x:v>null</x:v>
      </x:c>
      <x:c r="F73" s="12" t="str">
        <x:v>SETUJU_USULAN</x:v>
      </x:c>
      <x:c r="G73" s="12" t="str"/>
      <x:c r="H73" s="12" t="str">
        <x:v>Tidak tersedia gabungan tanggal, jam dan zona waktu yang memadai. occurred_at tetap null tanpa menebak timestamp.</x:v>
      </x:c>
      <x:c r="I73" s="4" t="str">
        <x:f>IF(F73="SETUJU_USULAN",E73,IF(F73="KOREKSI",G73,""))</x:f>
        <x:v>null</x:v>
      </x:c>
      <x:c r="J73" s="4" t="str">
        <x:f>IF(F73="","BELUM_DIREVIEW",IF(F73="TUNDA","DITUNDA",IF(TRIM(Panduan!$B$5)="","ISI_REVIEWER",IF(AND(F73&lt;&gt;"SETUJU_USULAN",F73&lt;&gt;"KOREKSI"),"CEK_KEPUTUSAN",IF(AND(F73="SETUJU_USULAN",G73&lt;&gt;""),"HAPUS_KOREKSI",IF(AND(F73="KOREKSI",TRIM(G73)=""),"ISI_KOREKSI",IF(AND(F73="KOREKSI",TRIM(H73)=""),"ISI_CATATAN","REVIEW_TERCATAT")))))))</x:f>
        <x:v>REVIEW_TERCATAT</x:v>
      </x:c>
      <x:c r="K73" s="4" t="str">
        <x:v>Narasi tidak memberi tanggal, jam dan konteks zona waktu yang memadai; timestamp tidak ditebak.</x:v>
      </x:c>
    </x:row>
    <x:row r="74" ht="66" customHeight="1">
      <x:c r="A74" s="4" t="str">
        <x:v>D10</x:v>
      </x:c>
      <x:c r="B74" s="4" t="str">
        <x:v>involved_parties</x:v>
      </x:c>
      <x:c r="C74" s="4" t="str">
        <x:v>Asap terlihat dari arah belakang pasar, belum diketahui apakah kebakaran atau pembakaran sampah.</x:v>
      </x:c>
      <x:c r="D74" s="4" t="str">
        <x:v>[]</x:v>
      </x:c>
      <x:c r="E74" s="4" t="str">
        <x:v>[]</x:v>
      </x:c>
      <x:c r="F74" s="12" t="str">
        <x:v>SETUJU_USULAN</x:v>
      </x:c>
      <x:c r="G74" s="12" t="str"/>
      <x:c r="H74" s="12" t="str">
        <x:v>Tidak ada pihak atau orang yang disebut secara eksplisit sebagai pelaku atau pihak terlibat. Tidak ditambahkan dari dugaan.</x:v>
      </x:c>
      <x:c r="I74" s="4" t="str">
        <x:f>IF(F74="SETUJU_USULAN",E74,IF(F74="KOREKSI",G74,""))</x:f>
        <x:v>[]</x:v>
      </x:c>
      <x:c r="J74" s="4" t="str">
        <x:f>IF(F74="","BELUM_DIREVIEW",IF(F74="TUNDA","DITUNDA",IF(TRIM(Panduan!$B$5)="","ISI_REVIEWER",IF(AND(F74&lt;&gt;"SETUJU_USULAN",F74&lt;&gt;"KOREKSI"),"CEK_KEPUTUSAN",IF(AND(F74="SETUJU_USULAN",G74&lt;&gt;""),"HAPUS_KOREKSI",IF(AND(F74="KOREKSI",TRIM(G74)=""),"ISI_KOREKSI",IF(AND(F74="KOREKSI",TRIM(H74)=""),"ISI_CATATAN","REVIEW_TERCATAT")))))))</x:f>
        <x:v>REVIEW_TERCATAT</x:v>
      </x:c>
      <x:c r="K74" s="4" t="str">
        <x:v>Usulan awal mengikuti output model; periksa terhadap narasi. Null/[] menyatakan informasi tidak ditemukan, bukan kepastian tidak ada.</x:v>
      </x:c>
    </x:row>
    <x:row r="75" ht="66" customHeight="1">
      <x:c r="A75" s="4" t="str">
        <x:v>D10</x:v>
      </x:c>
      <x:c r="B75" s="4" t="str">
        <x:v>impacts</x:v>
      </x:c>
      <x:c r="C75" s="4" t="str">
        <x:v>Asap terlihat dari arah belakang pasar, belum diketahui apakah kebakaran atau pembakaran sampah.</x:v>
      </x:c>
      <x:c r="D75" s="4" t="str">
        <x:v>[]</x:v>
      </x:c>
      <x:c r="E75" s="4" t="str">
        <x:v>[]</x:v>
      </x:c>
      <x:c r="F75" s="12" t="str">
        <x:v>SETUJU_USULAN</x:v>
      </x:c>
      <x:c r="G75" s="12" t="str"/>
      <x:c r="H75" s="12" t="str">
        <x:v>Tidak ada dampak kejadian yang dinyatakan secara eksplisit untuk field ini. [] menyatakan tidak ada dampak yang diekstrak, bukan kepastian tanpa dampak.</x:v>
      </x:c>
      <x:c r="I75" s="4" t="str">
        <x:f>IF(F75="SETUJU_USULAN",E75,IF(F75="KOREKSI",G75,""))</x:f>
        <x:v>[]</x:v>
      </x:c>
      <x:c r="J75" s="4" t="str">
        <x:f>IF(F75="","BELUM_DIREVIEW",IF(F75="TUNDA","DITUNDA",IF(TRIM(Panduan!$B$5)="","ISI_REVIEWER",IF(AND(F75&lt;&gt;"SETUJU_USULAN",F75&lt;&gt;"KOREKSI"),"CEK_KEPUTUSAN",IF(AND(F75="SETUJU_USULAN",G75&lt;&gt;""),"HAPUS_KOREKSI",IF(AND(F75="KOREKSI",TRIM(G75)=""),"ISI_KOREKSI",IF(AND(F75="KOREKSI",TRIM(H75)=""),"ISI_CATATAN","REVIEW_TERCATAT")))))))</x:f>
        <x:v>REVIEW_TERCATAT</x:v>
      </x:c>
      <x:c r="K75" s="4" t="str">
        <x:v>Usulan awal mengikuti output model; periksa terhadap narasi. Null/[] menyatakan informasi tidak ditemukan, bukan kepastian tidak ada.</x:v>
      </x:c>
    </x:row>
    <x:row r="76" ht="66" customHeight="1">
      <x:c r="A76" s="4" t="str">
        <x:v>D10</x:v>
      </x:c>
      <x:c r="B76" s="4" t="str">
        <x:v>victims</x:v>
      </x:c>
      <x:c r="C76" s="4" t="str">
        <x:v>Asap terlihat dari arah belakang pasar, belum diketahui apakah kebakaran atau pembakaran sampah.</x:v>
      </x:c>
      <x:c r="D76" s="4" t="str">
        <x:v>[]</x:v>
      </x:c>
      <x:c r="E76" s="4" t="str">
        <x:v>[]</x:v>
      </x:c>
      <x:c r="F76" s="12" t="str">
        <x:v>SETUJU_USULAN</x:v>
      </x:c>
      <x:c r="G76" s="12" t="str"/>
      <x:c r="H76" s="12" t="str">
        <x:v>Tidak ada jumlah atau kondisi korban yang dinyatakan. [] menyatakan tidak ada informasi korban yang diekstrak, bukan nol korban di lapangan.</x:v>
      </x:c>
      <x:c r="I76" s="4" t="str">
        <x:f>IF(F76="SETUJU_USULAN",E76,IF(F76="KOREKSI",G76,""))</x:f>
        <x:v>[]</x:v>
      </x:c>
      <x:c r="J76" s="4" t="str">
        <x:f>IF(F76="","BELUM_DIREVIEW",IF(F76="TUNDA","DITUNDA",IF(TRIM(Panduan!$B$5)="","ISI_REVIEWER",IF(AND(F76&lt;&gt;"SETUJU_USULAN",F76&lt;&gt;"KOREKSI"),"CEK_KEPUTUSAN",IF(AND(F76="SETUJU_USULAN",G76&lt;&gt;""),"HAPUS_KOREKSI",IF(AND(F76="KOREKSI",TRIM(G76)=""),"ISI_KOREKSI",IF(AND(F76="KOREKSI",TRIM(H76)=""),"ISI_CATATAN","REVIEW_TERCATAT")))))))</x:f>
        <x:v>REVIEW_TERCATAT</x:v>
      </x:c>
      <x:c r="K76" s="4" t="str">
        <x:v>Usulan awal mengikuti output model; periksa terhadap narasi. Null/[] menyatakan informasi tidak ditemukan, bukan kepastian tidak ada.</x:v>
      </x:c>
    </x:row>
    <x:row r="77" ht="66" customHeight="1">
      <x:c r="A77" s="4" t="str">
        <x:v>D10</x:v>
      </x:c>
      <x:c r="B77" s="4" t="str">
        <x:v>affected_objects</x:v>
      </x:c>
      <x:c r="C77" s="4" t="str">
        <x:v>Asap terlihat dari arah belakang pasar, belum diketahui apakah kebakaran atau pembakaran sampah.</x:v>
      </x:c>
      <x:c r="D77" s="4" t="str">
        <x:v>["sampah"]</x:v>
      </x:c>
      <x:c r="E77" s="4" t="str">
        <x:v>[]</x:v>
      </x:c>
      <x:c r="F77" s="13" t="str">
        <x:v>TERWARIS</x:v>
      </x:c>
      <x:c r="G77" s="13" t="str"/>
      <x:c r="H77" s="13" t="str"/>
      <x:c r="I77" s="13" t="str">
        <x:v>[]</x:v>
      </x:c>
      <x:c r="J77" s="13" t="str">
        <x:v>FINAL_TERWARIS</x:v>
      </x:c>
      <x:c r="K77" s="4" t="str">
        <x:v>Sampah hanya disebut dalam alternatif pembakaran sampah yang belum dipastikan. Pasar adalah acuan lokasi. Tidak ada objek terdampak yang dinyatakan pasti, sehingga [].</x:v>
      </x:c>
    </x:row>
    <x:row r="78" ht="66" customHeight="1">
      <x:c r="A78" s="4" t="str">
        <x:v>D11</x:v>
      </x:c>
      <x:c r="B78" s="4" t="str">
        <x:v>location_text</x:v>
      </x:c>
      <x:c r="C78" s="4" t="str">
        <x:v>Ada informasi dua orang dibawa ambulans dari jalan depan mall, penyebabnya belum diketahui.</x:v>
      </x:c>
      <x:c r="D78" s="4" t="str">
        <x:v>null</x:v>
      </x:c>
      <x:c r="E78" s="4" t="str">
        <x:v>"jalan depan mall"</x:v>
      </x:c>
      <x:c r="F78" s="13" t="str">
        <x:v>TERWARIS</x:v>
      </x:c>
      <x:c r="G78" s="13" t="str"/>
      <x:c r="H78" s="13" t="str"/>
      <x:c r="I78" s="13" t="str">
        <x:v>"jalan depan mall"</x:v>
      </x:c>
      <x:c r="J78" s="13" t="str">
        <x:v>FINAL_TERWARIS</x:v>
      </x:c>
      <x:c r="K78" s="4" t="str">
        <x:v>Jalan depan mall dinyatakan sebagai lokasi asal dua orang yang dibawa ambulans. Seluruh frasa lokasi dipertahankan tanpa menebak nama jalan atau mall.</x:v>
      </x:c>
    </x:row>
    <x:row r="79" ht="66" customHeight="1">
      <x:c r="A79" s="4" t="str">
        <x:v>D11</x:v>
      </x:c>
      <x:c r="B79" s="4" t="str">
        <x:v>time_text</x:v>
      </x:c>
      <x:c r="C79" s="4" t="str">
        <x:v>Ada informasi dua orang dibawa ambulans dari jalan depan mall, penyebabnya belum diketahui.</x:v>
      </x:c>
      <x:c r="D79" s="4" t="str">
        <x:v>null</x:v>
      </x:c>
      <x:c r="E79" s="4" t="str">
        <x:v>null</x:v>
      </x:c>
      <x:c r="F79" s="12" t="str">
        <x:v>SETUJU_USULAN</x:v>
      </x:c>
      <x:c r="G79" s="12" t="str"/>
      <x:c r="H79" s="12" t="str">
        <x:v>Tidak ada keterangan waktu kejadian yang dapat diekstrak. time_text ditetapkan null.</x:v>
      </x:c>
      <x:c r="I79" s="4" t="str">
        <x:f>IF(F79="SETUJU_USULAN",E79,IF(F79="KOREKSI",G79,""))</x:f>
        <x:v>null</x:v>
      </x:c>
      <x:c r="J79" s="4" t="str">
        <x:f>IF(F79="","BELUM_DIREVIEW",IF(F79="TUNDA","DITUNDA",IF(TRIM(Panduan!$B$5)="","ISI_REVIEWER",IF(AND(F79&lt;&gt;"SETUJU_USULAN",F79&lt;&gt;"KOREKSI"),"CEK_KEPUTUSAN",IF(AND(F79="SETUJU_USULAN",G79&lt;&gt;""),"HAPUS_KOREKSI",IF(AND(F79="KOREKSI",TRIM(G79)=""),"ISI_KOREKSI",IF(AND(F79="KOREKSI",TRIM(H79)=""),"ISI_CATATAN","REVIEW_TERCATAT")))))))</x:f>
        <x:v>REVIEW_TERCATAT</x:v>
      </x:c>
      <x:c r="K79" s="4" t="str">
        <x:v>Usulan awal mengikuti output model; periksa terhadap narasi. Null/[] menyatakan informasi tidak ditemukan, bukan kepastian tidak ada.</x:v>
      </x:c>
    </x:row>
    <x:row r="80" ht="66" customHeight="1">
      <x:c r="A80" s="4" t="str">
        <x:v>D11</x:v>
      </x:c>
      <x:c r="B80" s="4" t="str">
        <x:v>occurred_at</x:v>
      </x:c>
      <x:c r="C80" s="4" t="str">
        <x:v>Ada informasi dua orang dibawa ambulans dari jalan depan mall, penyebabnya belum diketahui.</x:v>
      </x:c>
      <x:c r="D80" s="4" t="str">
        <x:v>null</x:v>
      </x:c>
      <x:c r="E80" s="4" t="str">
        <x:v>null</x:v>
      </x:c>
      <x:c r="F80" s="12" t="str">
        <x:v>SETUJU_USULAN</x:v>
      </x:c>
      <x:c r="G80" s="12" t="str"/>
      <x:c r="H80" s="12" t="str">
        <x:v>Tidak tersedia gabungan tanggal, jam dan zona waktu yang memadai. occurred_at tetap null tanpa menebak timestamp.</x:v>
      </x:c>
      <x:c r="I80" s="4" t="str">
        <x:f>IF(F80="SETUJU_USULAN",E80,IF(F80="KOREKSI",G80,""))</x:f>
        <x:v>null</x:v>
      </x:c>
      <x:c r="J80" s="4" t="str">
        <x:f>IF(F80="","BELUM_DIREVIEW",IF(F80="TUNDA","DITUNDA",IF(TRIM(Panduan!$B$5)="","ISI_REVIEWER",IF(AND(F80&lt;&gt;"SETUJU_USULAN",F80&lt;&gt;"KOREKSI"),"CEK_KEPUTUSAN",IF(AND(F80="SETUJU_USULAN",G80&lt;&gt;""),"HAPUS_KOREKSI",IF(AND(F80="KOREKSI",TRIM(G80)=""),"ISI_KOREKSI",IF(AND(F80="KOREKSI",TRIM(H80)=""),"ISI_CATATAN","REVIEW_TERCATAT")))))))</x:f>
        <x:v>REVIEW_TERCATAT</x:v>
      </x:c>
      <x:c r="K80" s="4" t="str">
        <x:v>Narasi tidak memberi tanggal, jam dan konteks zona waktu yang memadai; timestamp tidak ditebak.</x:v>
      </x:c>
    </x:row>
    <x:row r="81" ht="66" customHeight="1">
      <x:c r="A81" s="4" t="str">
        <x:v>D11</x:v>
      </x:c>
      <x:c r="B81" s="4" t="str">
        <x:v>involved_parties</x:v>
      </x:c>
      <x:c r="C81" s="4" t="str">
        <x:v>Ada informasi dua orang dibawa ambulans dari jalan depan mall, penyebabnya belum diketahui.</x:v>
      </x:c>
      <x:c r="D81" s="4" t="str">
        <x:v>[]</x:v>
      </x:c>
      <x:c r="E81" s="4" t="str">
        <x:v>["dua orang"]</x:v>
      </x:c>
      <x:c r="F81" s="12" t="str">
        <x:v>SETUJU_USULAN</x:v>
      </x:c>
      <x:c r="G81" s="12" t="str"/>
      <x:c r="H81" s="12" t="str">
        <x:v>Dua orang disebut sebagai pihak yang dibawa ambulans. Penyebutan ini tidak membuktikan mereka luka atau meninggal.</x:v>
      </x:c>
      <x:c r="I81" s="4" t="str">
        <x:f>IF(F81="SETUJU_USULAN",E81,IF(F81="KOREKSI",G81,""))</x:f>
        <x:v>["dua orang"]</x:v>
      </x:c>
      <x:c r="J81" s="4" t="str">
        <x:f>IF(F81="","BELUM_DIREVIEW",IF(F81="TUNDA","DITUNDA",IF(TRIM(Panduan!$B$5)="","ISI_REVIEWER",IF(AND(F81&lt;&gt;"SETUJU_USULAN",F81&lt;&gt;"KOREKSI"),"CEK_KEPUTUSAN",IF(AND(F81="SETUJU_USULAN",G81&lt;&gt;""),"HAPUS_KOREKSI",IF(AND(F81="KOREKSI",TRIM(G81)=""),"ISI_KOREKSI",IF(AND(F81="KOREKSI",TRIM(H81)=""),"ISI_CATATAN","REVIEW_TERCATAT")))))))</x:f>
        <x:v>REVIEW_TERCATAT</x:v>
      </x:c>
      <x:c r="K81" s="4" t="str">
        <x:v>Dua orang disebut dibawa ambulans. Tidak disimpulkan terluka atau meninggal.</x:v>
      </x:c>
    </x:row>
    <x:row r="82" ht="66" customHeight="1">
      <x:c r="A82" s="4" t="str">
        <x:v>D11</x:v>
      </x:c>
      <x:c r="B82" s="4" t="str">
        <x:v>impacts</x:v>
      </x:c>
      <x:c r="C82" s="4" t="str">
        <x:v>Ada informasi dua orang dibawa ambulans dari jalan depan mall, penyebabnya belum diketahui.</x:v>
      </x:c>
      <x:c r="D82" s="4" t="str">
        <x:v>[]</x:v>
      </x:c>
      <x:c r="E82" s="4" t="str">
        <x:v>[]</x:v>
      </x:c>
      <x:c r="F82" s="13" t="str">
        <x:v>TERWARIS</x:v>
      </x:c>
      <x:c r="G82" s="13" t="str"/>
      <x:c r="H82" s="13" t="str"/>
      <x:c r="I82" s="13" t="str">
        <x:v>[]</x:v>
      </x:c>
      <x:c r="J82" s="13" t="str">
        <x:v>FINAL_TERWARIS</x:v>
      </x:c>
      <x:c r="K82" s="4" t="str">
        <x:v>Mall adalah acuan lokasi. Dua orang dibawa ambulans belum dinyatakan sebagai akibat kejadian tertentu, sehingga tidak ditetapkan sebagai dampak. Tidak ada dampak eksplisit untuk diisi.</x:v>
      </x:c>
    </x:row>
    <x:row r="83" ht="66" customHeight="1">
      <x:c r="A83" s="4" t="str">
        <x:v>D11</x:v>
      </x:c>
      <x:c r="B83" s="4" t="str">
        <x:v>victims</x:v>
      </x:c>
      <x:c r="C83" s="4" t="str">
        <x:v>Ada informasi dua orang dibawa ambulans dari jalan depan mall, penyebabnya belum diketahui.</x:v>
      </x:c>
      <x:c r="D83" s="4" t="str">
        <x:v>[]</x:v>
      </x:c>
      <x:c r="E83" s="4" t="str">
        <x:v>[]</x:v>
      </x:c>
      <x:c r="F83" s="12" t="str">
        <x:v>SETUJU_USULAN</x:v>
      </x:c>
      <x:c r="G83" s="12" t="str"/>
      <x:c r="H83" s="12" t="str">
        <x:v>Dibawa ambulans tidak membuktikan luka atau kematian. Tidak ada frasa korban yang memenuhi kondisi tersebut untuk diekstrak.</x:v>
      </x:c>
      <x:c r="I83" s="4" t="str">
        <x:f>IF(F83="SETUJU_USULAN",E83,IF(F83="KOREKSI",G83,""))</x:f>
        <x:v>[]</x:v>
      </x:c>
      <x:c r="J83" s="4" t="str">
        <x:f>IF(F83="","BELUM_DIREVIEW",IF(F83="TUNDA","DITUNDA",IF(TRIM(Panduan!$B$5)="","ISI_REVIEWER",IF(AND(F83&lt;&gt;"SETUJU_USULAN",F83&lt;&gt;"KOREKSI"),"CEK_KEPUTUSAN",IF(AND(F83="SETUJU_USULAN",G83&lt;&gt;""),"HAPUS_KOREKSI",IF(AND(F83="KOREKSI",TRIM(G83)=""),"ISI_KOREKSI",IF(AND(F83="KOREKSI",TRIM(H83)=""),"ISI_CATATAN","REVIEW_TERCATAT")))))))</x:f>
        <x:v>REVIEW_TERCATAT</x:v>
      </x:c>
      <x:c r="K83" s="4" t="str">
        <x:v>Usulan awal mengikuti output model; periksa terhadap narasi. Null/[] menyatakan informasi tidak ditemukan, bukan kepastian tidak ada.</x:v>
      </x:c>
    </x:row>
    <x:row r="84" ht="66" customHeight="1">
      <x:c r="A84" s="4" t="str">
        <x:v>D11</x:v>
      </x:c>
      <x:c r="B84" s="4" t="str">
        <x:v>affected_objects</x:v>
      </x:c>
      <x:c r="C84" s="4" t="str">
        <x:v>Ada informasi dua orang dibawa ambulans dari jalan depan mall, penyebabnya belum diketahui.</x:v>
      </x:c>
      <x:c r="D84" s="4" t="str">
        <x:v>[]</x:v>
      </x:c>
      <x:c r="E84" s="4" t="str">
        <x:v>[]</x:v>
      </x:c>
      <x:c r="F84" s="12" t="str">
        <x:v>SETUJU_USULAN</x:v>
      </x:c>
      <x:c r="G84" s="12" t="str"/>
      <x:c r="H84" s="12" t="str">
        <x:v>Tidak ada objek terdampak yang dinyatakan eksplisit. Acuan lokasi, sarana ambulans dan penyelenggara tidak otomatis menjadi objek terdampak.</x:v>
      </x:c>
      <x:c r="I84" s="4" t="str">
        <x:f>IF(F84="SETUJU_USULAN",E84,IF(F84="KOREKSI",G84,""))</x:f>
        <x:v>[]</x:v>
      </x:c>
      <x:c r="J84" s="4" t="str">
        <x:f>IF(F84="","BELUM_DIREVIEW",IF(F84="TUNDA","DITUNDA",IF(TRIM(Panduan!$B$5)="","ISI_REVIEWER",IF(AND(F84&lt;&gt;"SETUJU_USULAN",F84&lt;&gt;"KOREKSI"),"CEK_KEPUTUSAN",IF(AND(F84="SETUJU_USULAN",G84&lt;&gt;""),"HAPUS_KOREKSI",IF(AND(F84="KOREKSI",TRIM(G84)=""),"ISI_KOREKSI",IF(AND(F84="KOREKSI",TRIM(H84)=""),"ISI_CATATAN","REVIEW_TERCATAT")))))))</x:f>
        <x:v>REVIEW_TERCATAT</x:v>
      </x:c>
      <x:c r="K84" s="4" t="str">
        <x:v>Usulan awal mengikuti output model; periksa terhadap narasi. Null/[] menyatakan informasi tidak ditemukan, bukan kepastian tidak ada.</x:v>
      </x:c>
    </x:row>
    <x:row r="85" ht="66" customHeight="1">
      <x:c r="A85" s="4" t="str">
        <x:v>D12</x:v>
      </x:c>
      <x:c r="B85" s="4" t="str">
        <x:v>location_text</x:v>
      </x:c>
      <x:c r="C85" s="4" t="str">
        <x:v>Gempa terasa di Kemiling malam tadi dan warga keluar rumah.</x:v>
      </x:c>
      <x:c r="D85" s="4" t="str">
        <x:v>"Kemiling"</x:v>
      </x:c>
      <x:c r="E85" s="4" t="str">
        <x:v>"Kemiling"</x:v>
      </x:c>
      <x:c r="F85" s="12" t="str">
        <x:v>SETUJU_USULAN</x:v>
      </x:c>
      <x:c r="G85" s="12" t="str"/>
      <x:c r="H85" s="12" t="str">
        <x:v>Frasa lokasi disebut eksplisit pada sumber dan dipertahankan tanpa menambah alamat.</x:v>
      </x:c>
      <x:c r="I85" s="4" t="str">
        <x:f>IF(F85="SETUJU_USULAN",E85,IF(F85="KOREKSI",G85,""))</x:f>
        <x:v>"Kemiling"</x:v>
      </x:c>
      <x:c r="J85" s="4" t="str">
        <x:f>IF(F85="","BELUM_DIREVIEW",IF(F85="TUNDA","DITUNDA",IF(TRIM(Panduan!$B$5)="","ISI_REVIEWER",IF(AND(F85&lt;&gt;"SETUJU_USULAN",F85&lt;&gt;"KOREKSI"),"CEK_KEPUTUSAN",IF(AND(F85="SETUJU_USULAN",G85&lt;&gt;""),"HAPUS_KOREKSI",IF(AND(F85="KOREKSI",TRIM(G85)=""),"ISI_KOREKSI",IF(AND(F85="KOREKSI",TRIM(H85)=""),"ISI_CATATAN","REVIEW_TERCATAT")))))))</x:f>
        <x:v>REVIEW_TERCATAT</x:v>
      </x:c>
      <x:c r="K85" s="4" t="str">
        <x:v>Usulan awal mengikuti output model; periksa terhadap narasi. Null/[] menyatakan informasi tidak ditemukan, bukan kepastian tidak ada.</x:v>
      </x:c>
    </x:row>
    <x:row r="86" ht="66" customHeight="1">
      <x:c r="A86" s="4" t="str">
        <x:v>D12</x:v>
      </x:c>
      <x:c r="B86" s="4" t="str">
        <x:v>time_text</x:v>
      </x:c>
      <x:c r="C86" s="4" t="str">
        <x:v>Gempa terasa di Kemiling malam tadi dan warga keluar rumah.</x:v>
      </x:c>
      <x:c r="D86" s="4" t="str">
        <x:v>"malam tadi"</x:v>
      </x:c>
      <x:c r="E86" s="4" t="str">
        <x:v>"malam tadi"</x:v>
      </x:c>
      <x:c r="F86" s="12" t="str">
        <x:v>SETUJU_USULAN</x:v>
      </x:c>
      <x:c r="G86" s="12" t="str"/>
      <x:c r="H86" s="12" t="str">
        <x:v>Frasa waktu dinyatakan pada sumber. Tidak ditambahkan tanggal absolut.</x:v>
      </x:c>
      <x:c r="I86" s="4" t="str">
        <x:f>IF(F86="SETUJU_USULAN",E86,IF(F86="KOREKSI",G86,""))</x:f>
        <x:v>"malam tadi"</x:v>
      </x:c>
      <x:c r="J86" s="4" t="str">
        <x:f>IF(F86="","BELUM_DIREVIEW",IF(F86="TUNDA","DITUNDA",IF(TRIM(Panduan!$B$5)="","ISI_REVIEWER",IF(AND(F86&lt;&gt;"SETUJU_USULAN",F86&lt;&gt;"KOREKSI"),"CEK_KEPUTUSAN",IF(AND(F86="SETUJU_USULAN",G86&lt;&gt;""),"HAPUS_KOREKSI",IF(AND(F86="KOREKSI",TRIM(G86)=""),"ISI_KOREKSI",IF(AND(F86="KOREKSI",TRIM(H86)=""),"ISI_CATATAN","REVIEW_TERCATAT")))))))</x:f>
        <x:v>REVIEW_TERCATAT</x:v>
      </x:c>
      <x:c r="K86" s="4" t="str">
        <x:v>Usulan awal mengikuti output model; periksa terhadap narasi. Null/[] menyatakan informasi tidak ditemukan, bukan kepastian tidak ada.</x:v>
      </x:c>
    </x:row>
    <x:row r="87" ht="66" customHeight="1">
      <x:c r="A87" s="4" t="str">
        <x:v>D12</x:v>
      </x:c>
      <x:c r="B87" s="4" t="str">
        <x:v>occurred_at</x:v>
      </x:c>
      <x:c r="C87" s="4" t="str">
        <x:v>Gempa terasa di Kemiling malam tadi dan warga keluar rumah.</x:v>
      </x:c>
      <x:c r="D87" s="4" t="str">
        <x:v>null</x:v>
      </x:c>
      <x:c r="E87" s="4" t="str">
        <x:v>null</x:v>
      </x:c>
      <x:c r="F87" s="12" t="str">
        <x:v>SETUJU_USULAN</x:v>
      </x:c>
      <x:c r="G87" s="12" t="str"/>
      <x:c r="H87" s="12" t="str">
        <x:v>Tidak tersedia gabungan tanggal, jam dan zona waktu yang memadai. occurred_at tetap null tanpa menebak timestamp.</x:v>
      </x:c>
      <x:c r="I87" s="4" t="str">
        <x:f>IF(F87="SETUJU_USULAN",E87,IF(F87="KOREKSI",G87,""))</x:f>
        <x:v>null</x:v>
      </x:c>
      <x:c r="J87" s="4" t="str">
        <x:f>IF(F87="","BELUM_DIREVIEW",IF(F87="TUNDA","DITUNDA",IF(TRIM(Panduan!$B$5)="","ISI_REVIEWER",IF(AND(F87&lt;&gt;"SETUJU_USULAN",F87&lt;&gt;"KOREKSI"),"CEK_KEPUTUSAN",IF(AND(F87="SETUJU_USULAN",G87&lt;&gt;""),"HAPUS_KOREKSI",IF(AND(F87="KOREKSI",TRIM(G87)=""),"ISI_KOREKSI",IF(AND(F87="KOREKSI",TRIM(H87)=""),"ISI_CATATAN","REVIEW_TERCATAT")))))))</x:f>
        <x:v>REVIEW_TERCATAT</x:v>
      </x:c>
      <x:c r="K87" s="4" t="str">
        <x:v>Narasi tidak memberi tanggal, jam dan konteks zona waktu yang memadai; timestamp tidak ditebak.</x:v>
      </x:c>
    </x:row>
    <x:row r="88" ht="66" customHeight="1">
      <x:c r="A88" s="4" t="str">
        <x:v>D12</x:v>
      </x:c>
      <x:c r="B88" s="4" t="str">
        <x:v>involved_parties</x:v>
      </x:c>
      <x:c r="C88" s="4" t="str">
        <x:v>Gempa terasa di Kemiling malam tadi dan warga keluar rumah.</x:v>
      </x:c>
      <x:c r="D88" s="4" t="str">
        <x:v>[]</x:v>
      </x:c>
      <x:c r="E88" s="4" t="str">
        <x:v>["warga"]</x:v>
      </x:c>
      <x:c r="F88" s="13" t="str">
        <x:v>TERWARIS</x:v>
      </x:c>
      <x:c r="G88" s="13" t="str"/>
      <x:c r="H88" s="13" t="str"/>
      <x:c r="I88" s="13" t="str">
        <x:v>["warga"]</x:v>
      </x:c>
      <x:c r="J88" s="13" t="str">
        <x:v>FINAL_TERWARIS</x:v>
      </x:c>
      <x:c r="K88" s="4" t="str">
        <x:v>Warga disebut eksplisit melakukan tindakan keluar rumah dalam narasi gempa. Pihak yang terlibat mencakup warga yang disebut dan tidak terbatas pada petugas.</x:v>
      </x:c>
    </x:row>
    <x:row r="89" ht="66" customHeight="1">
      <x:c r="A89" s="4" t="str">
        <x:v>D12</x:v>
      </x:c>
      <x:c r="B89" s="4" t="str">
        <x:v>impacts</x:v>
      </x:c>
      <x:c r="C89" s="4" t="str">
        <x:v>Gempa terasa di Kemiling malam tadi dan warga keluar rumah.</x:v>
      </x:c>
      <x:c r="D89" s="4" t="str">
        <x:v>[]</x:v>
      </x:c>
      <x:c r="E89" s="4" t="str">
        <x:v>["warga keluar rumah"]</x:v>
      </x:c>
      <x:c r="F89" s="12" t="str">
        <x:v>SETUJU_USULAN</x:v>
      </x:c>
      <x:c r="G89" s="12" t="str"/>
      <x:c r="H89" s="12" t="str">
        <x:v>Warga keluar rumah adalah respons yang disebut setelah gempa terasa. Tidak ditafsirkan sebagai luka, kematian atau kerusakan.</x:v>
      </x:c>
      <x:c r="I89" s="4" t="str">
        <x:f>IF(F89="SETUJU_USULAN",E89,IF(F89="KOREKSI",G89,""))</x:f>
        <x:v>["warga keluar rumah"]</x:v>
      </x:c>
      <x:c r="J89" s="4" t="str">
        <x:f>IF(F89="","BELUM_DIREVIEW",IF(F89="TUNDA","DITUNDA",IF(TRIM(Panduan!$B$5)="","ISI_REVIEWER",IF(AND(F89&lt;&gt;"SETUJU_USULAN",F89&lt;&gt;"KOREKSI"),"CEK_KEPUTUSAN",IF(AND(F89="SETUJU_USULAN",G89&lt;&gt;""),"HAPUS_KOREKSI",IF(AND(F89="KOREKSI",TRIM(G89)=""),"ISI_KOREKSI",IF(AND(F89="KOREKSI",TRIM(H89)=""),"ISI_CATATAN","REVIEW_TERCATAT")))))))</x:f>
        <x:v>REVIEW_TERCATAT</x:v>
      </x:c>
      <x:c r="K89" s="4" t="str">
        <x:v>Reaksi warga dinyatakan literal; reviewer menilai apakah menjadi dampak pada field ini.</x:v>
      </x:c>
    </x:row>
    <x:row r="90" ht="66" customHeight="1">
      <x:c r="A90" s="4" t="str">
        <x:v>D12</x:v>
      </x:c>
      <x:c r="B90" s="4" t="str">
        <x:v>victims</x:v>
      </x:c>
      <x:c r="C90" s="4" t="str">
        <x:v>Gempa terasa di Kemiling malam tadi dan warga keluar rumah.</x:v>
      </x:c>
      <x:c r="D90" s="4" t="str">
        <x:v>[]</x:v>
      </x:c>
      <x:c r="E90" s="4" t="str">
        <x:v>[]</x:v>
      </x:c>
      <x:c r="F90" s="12" t="str">
        <x:v>SETUJU_USULAN</x:v>
      </x:c>
      <x:c r="G90" s="12" t="str"/>
      <x:c r="H90" s="12" t="str">
        <x:v>Tidak ada jumlah atau kondisi korban yang dinyatakan. [] menyatakan tidak ada informasi korban yang diekstrak, bukan nol korban di lapangan.</x:v>
      </x:c>
      <x:c r="I90" s="4" t="str">
        <x:f>IF(F90="SETUJU_USULAN",E90,IF(F90="KOREKSI",G90,""))</x:f>
        <x:v>[]</x:v>
      </x:c>
      <x:c r="J90" s="4" t="str">
        <x:f>IF(F90="","BELUM_DIREVIEW",IF(F90="TUNDA","DITUNDA",IF(TRIM(Panduan!$B$5)="","ISI_REVIEWER",IF(AND(F90&lt;&gt;"SETUJU_USULAN",F90&lt;&gt;"KOREKSI"),"CEK_KEPUTUSAN",IF(AND(F90="SETUJU_USULAN",G90&lt;&gt;""),"HAPUS_KOREKSI",IF(AND(F90="KOREKSI",TRIM(G90)=""),"ISI_KOREKSI",IF(AND(F90="KOREKSI",TRIM(H90)=""),"ISI_CATATAN","REVIEW_TERCATAT")))))))</x:f>
        <x:v>REVIEW_TERCATAT</x:v>
      </x:c>
      <x:c r="K90" s="4" t="str">
        <x:v>Usulan awal mengikuti output model; periksa terhadap narasi. Null/[] menyatakan informasi tidak ditemukan, bukan kepastian tidak ada.</x:v>
      </x:c>
    </x:row>
    <x:row r="91" ht="66" customHeight="1">
      <x:c r="A91" s="4" t="str">
        <x:v>D12</x:v>
      </x:c>
      <x:c r="B91" s="4" t="str">
        <x:v>affected_objects</x:v>
      </x:c>
      <x:c r="C91" s="4" t="str">
        <x:v>Gempa terasa di Kemiling malam tadi dan warga keluar rumah.</x:v>
      </x:c>
      <x:c r="D91" s="4" t="str">
        <x:v>[]</x:v>
      </x:c>
      <x:c r="E91" s="4" t="str">
        <x:v>[]</x:v>
      </x:c>
      <x:c r="F91" s="12" t="str">
        <x:v>SETUJU_USULAN</x:v>
      </x:c>
      <x:c r="G91" s="12" t="str"/>
      <x:c r="H91" s="12" t="str">
        <x:v>Tidak ada objek terdampak yang dinyatakan eksplisit. Acuan lokasi, sarana ambulans dan penyelenggara tidak otomatis menjadi objek terdampak.</x:v>
      </x:c>
      <x:c r="I91" s="4" t="str">
        <x:f>IF(F91="SETUJU_USULAN",E91,IF(F91="KOREKSI",G91,""))</x:f>
        <x:v>[]</x:v>
      </x:c>
      <x:c r="J91" s="4" t="str">
        <x:f>IF(F91="","BELUM_DIREVIEW",IF(F91="TUNDA","DITUNDA",IF(TRIM(Panduan!$B$5)="","ISI_REVIEWER",IF(AND(F91&lt;&gt;"SETUJU_USULAN",F91&lt;&gt;"KOREKSI"),"CEK_KEPUTUSAN",IF(AND(F91="SETUJU_USULAN",G91&lt;&gt;""),"HAPUS_KOREKSI",IF(AND(F91="KOREKSI",TRIM(G91)=""),"ISI_KOREKSI",IF(AND(F91="KOREKSI",TRIM(H91)=""),"ISI_CATATAN","REVIEW_TERCATAT")))))))</x:f>
        <x:v>REVIEW_TERCATAT</x:v>
      </x:c>
      <x:c r="K91" s="4" t="str">
        <x:v>Usulan awal mengikuti output model; periksa terhadap narasi. Null/[] menyatakan informasi tidak ditemukan, bukan kepastian tidak ada.</x:v>
      </x:c>
    </x:row>
  </x:sheetData>
  <x:conditionalFormatting sqref="J8:J91">
    <x:cfRule type="expression" dxfId="2" priority="1">
      <x:formula>OR(LEFT($J8,4)="ISI_",LEFT($J8,4)="CEK_",$J8="HAPUS_KOREKSI")</x:formula>
    </x:cfRule>
  </x:conditionalFormatting>
  <x:dataValidations count="73">
    <x:dataValidation type="list" sqref="F8">
      <x:formula1>"SETUJU_USULAN,KOREKSI,TUNDA"</x:formula1>
    </x:dataValidation>
    <x:dataValidation type="list" sqref="F9">
      <x:formula1>"SETUJU_USULAN,KOREKSI,TUNDA"</x:formula1>
    </x:dataValidation>
    <x:dataValidation type="list" sqref="F10">
      <x:formula1>"SETUJU_USULAN,KOREKSI,TUNDA"</x:formula1>
    </x:dataValidation>
    <x:dataValidation type="list" sqref="F11">
      <x:formula1>"SETUJU_USULAN,KOREKSI,TUNDA"</x:formula1>
    </x:dataValidation>
    <x:dataValidation type="list" sqref="F13">
      <x:formula1>"SETUJU_USULAN,KOREKSI,TUNDA"</x:formula1>
    </x:dataValidation>
    <x:dataValidation type="list" sqref="F14">
      <x:formula1>"SETUJU_USULAN,KOREKSI,TUNDA"</x:formula1>
    </x:dataValidation>
    <x:dataValidation type="list" sqref="F15">
      <x:formula1>"SETUJU_USULAN,KOREKSI,TUNDA"</x:formula1>
    </x:dataValidation>
    <x:dataValidation type="list" sqref="F16">
      <x:formula1>"SETUJU_USULAN,KOREKSI,TUNDA"</x:formula1>
    </x:dataValidation>
    <x:dataValidation type="list" sqref="F17">
      <x:formula1>"SETUJU_USULAN,KOREKSI,TUNDA"</x:formula1>
    </x:dataValidation>
    <x:dataValidation type="list" sqref="F18">
      <x:formula1>"SETUJU_USULAN,KOREKSI,TUNDA"</x:formula1>
    </x:dataValidation>
    <x:dataValidation type="list" sqref="F20">
      <x:formula1>"SETUJU_USULAN,KOREKSI,TUNDA"</x:formula1>
    </x:dataValidation>
    <x:dataValidation type="list" sqref="F21">
      <x:formula1>"SETUJU_USULAN,KOREKSI,TUNDA"</x:formula1>
    </x:dataValidation>
    <x:dataValidation type="list" sqref="F22">
      <x:formula1>"SETUJU_USULAN,KOREKSI,TUNDA"</x:formula1>
    </x:dataValidation>
    <x:dataValidation type="list" sqref="F23">
      <x:formula1>"SETUJU_USULAN,KOREKSI,TUNDA"</x:formula1>
    </x:dataValidation>
    <x:dataValidation type="list" sqref="F24">
      <x:formula1>"SETUJU_USULAN,KOREKSI,TUNDA"</x:formula1>
    </x:dataValidation>
    <x:dataValidation type="list" sqref="F25">
      <x:formula1>"SETUJU_USULAN,KOREKSI,TUNDA"</x:formula1>
    </x:dataValidation>
    <x:dataValidation type="list" sqref="F26">
      <x:formula1>"SETUJU_USULAN,KOREKSI,TUNDA"</x:formula1>
    </x:dataValidation>
    <x:dataValidation type="list" sqref="F27">
      <x:formula1>"SETUJU_USULAN,KOREKSI,TUNDA"</x:formula1>
    </x:dataValidation>
    <x:dataValidation type="list" sqref="F28">
      <x:formula1>"SETUJU_USULAN,KOREKSI,TUNDA"</x:formula1>
    </x:dataValidation>
    <x:dataValidation type="list" sqref="F30">
      <x:formula1>"SETUJU_USULAN,KOREKSI,TUNDA"</x:formula1>
    </x:dataValidation>
    <x:dataValidation type="list" sqref="F31">
      <x:formula1>"SETUJU_USULAN,KOREKSI,TUNDA"</x:formula1>
    </x:dataValidation>
    <x:dataValidation type="list" sqref="F32">
      <x:formula1>"SETUJU_USULAN,KOREKSI,TUNDA"</x:formula1>
    </x:dataValidation>
    <x:dataValidation type="list" sqref="F33">
      <x:formula1>"SETUJU_USULAN,KOREKSI,TUNDA"</x:formula1>
    </x:dataValidation>
    <x:dataValidation type="list" sqref="F34">
      <x:formula1>"SETUJU_USULAN,KOREKSI,TUNDA"</x:formula1>
    </x:dataValidation>
    <x:dataValidation type="list" sqref="F36">
      <x:formula1>"SETUJU_USULAN,KOREKSI,TUNDA"</x:formula1>
    </x:dataValidation>
    <x:dataValidation type="list" sqref="F37">
      <x:formula1>"SETUJU_USULAN,KOREKSI,TUNDA"</x:formula1>
    </x:dataValidation>
    <x:dataValidation type="list" sqref="F38">
      <x:formula1>"SETUJU_USULAN,KOREKSI,TUNDA"</x:formula1>
    </x:dataValidation>
    <x:dataValidation type="list" sqref="F39">
      <x:formula1>"SETUJU_USULAN,KOREKSI,TUNDA"</x:formula1>
    </x:dataValidation>
    <x:dataValidation type="list" sqref="F40">
      <x:formula1>"SETUJU_USULAN,KOREKSI,TUNDA"</x:formula1>
    </x:dataValidation>
    <x:dataValidation type="list" sqref="F41">
      <x:formula1>"SETUJU_USULAN,KOREKSI,TUNDA"</x:formula1>
    </x:dataValidation>
    <x:dataValidation type="list" sqref="F42">
      <x:formula1>"SETUJU_USULAN,KOREKSI,TUNDA"</x:formula1>
    </x:dataValidation>
    <x:dataValidation type="list" sqref="F43">
      <x:formula1>"SETUJU_USULAN,KOREKSI,TUNDA"</x:formula1>
    </x:dataValidation>
    <x:dataValidation type="list" sqref="F44">
      <x:formula1>"SETUJU_USULAN,KOREKSI,TUNDA"</x:formula1>
    </x:dataValidation>
    <x:dataValidation type="list" sqref="F45">
      <x:formula1>"SETUJU_USULAN,KOREKSI,TUNDA"</x:formula1>
    </x:dataValidation>
    <x:dataValidation type="list" sqref="F46">
      <x:formula1>"SETUJU_USULAN,KOREKSI,TUNDA"</x:formula1>
    </x:dataValidation>
    <x:dataValidation type="list" sqref="F47">
      <x:formula1>"SETUJU_USULAN,KOREKSI,TUNDA"</x:formula1>
    </x:dataValidation>
    <x:dataValidation type="list" sqref="F48">
      <x:formula1>"SETUJU_USULAN,KOREKSI,TUNDA"</x:formula1>
    </x:dataValidation>
    <x:dataValidation type="list" sqref="F50">
      <x:formula1>"SETUJU_USULAN,KOREKSI,TUNDA"</x:formula1>
    </x:dataValidation>
    <x:dataValidation type="list" sqref="F51">
      <x:formula1>"SETUJU_USULAN,KOREKSI,TUNDA"</x:formula1>
    </x:dataValidation>
    <x:dataValidation type="list" sqref="F52">
      <x:formula1>"SETUJU_USULAN,KOREKSI,TUNDA"</x:formula1>
    </x:dataValidation>
    <x:dataValidation type="list" sqref="F53">
      <x:formula1>"SETUJU_USULAN,KOREKSI,TUNDA"</x:formula1>
    </x:dataValidation>
    <x:dataValidation type="list" sqref="F54">
      <x:formula1>"SETUJU_USULAN,KOREKSI,TUNDA"</x:formula1>
    </x:dataValidation>
    <x:dataValidation type="list" sqref="F55">
      <x:formula1>"SETUJU_USULAN,KOREKSI,TUNDA"</x:formula1>
    </x:dataValidation>
    <x:dataValidation type="list" sqref="F56">
      <x:formula1>"SETUJU_USULAN,KOREKSI,TUNDA"</x:formula1>
    </x:dataValidation>
    <x:dataValidation type="list" sqref="F57">
      <x:formula1>"SETUJU_USULAN,KOREKSI,TUNDA"</x:formula1>
    </x:dataValidation>
    <x:dataValidation type="list" sqref="F58">
      <x:formula1>"SETUJU_USULAN,KOREKSI,TUNDA"</x:formula1>
    </x:dataValidation>
    <x:dataValidation type="list" sqref="F59">
      <x:formula1>"SETUJU_USULAN,KOREKSI,TUNDA"</x:formula1>
    </x:dataValidation>
    <x:dataValidation type="list" sqref="F60">
      <x:formula1>"SETUJU_USULAN,KOREKSI,TUNDA"</x:formula1>
    </x:dataValidation>
    <x:dataValidation type="list" sqref="F61">
      <x:formula1>"SETUJU_USULAN,KOREKSI,TUNDA"</x:formula1>
    </x:dataValidation>
    <x:dataValidation type="list" sqref="F62">
      <x:formula1>"SETUJU_USULAN,KOREKSI,TUNDA"</x:formula1>
    </x:dataValidation>
    <x:dataValidation type="list" sqref="F63">
      <x:formula1>"SETUJU_USULAN,KOREKSI,TUNDA"</x:formula1>
    </x:dataValidation>
    <x:dataValidation type="list" sqref="F64">
      <x:formula1>"SETUJU_USULAN,KOREKSI,TUNDA"</x:formula1>
    </x:dataValidation>
    <x:dataValidation type="list" sqref="F66">
      <x:formula1>"SETUJU_USULAN,KOREKSI,TUNDA"</x:formula1>
    </x:dataValidation>
    <x:dataValidation type="list" sqref="F67">
      <x:formula1>"SETUJU_USULAN,KOREKSI,TUNDA"</x:formula1>
    </x:dataValidation>
    <x:dataValidation type="list" sqref="F68">
      <x:formula1>"SETUJU_USULAN,KOREKSI,TUNDA"</x:formula1>
    </x:dataValidation>
    <x:dataValidation type="list" sqref="F69">
      <x:formula1>"SETUJU_USULAN,KOREKSI,TUNDA"</x:formula1>
    </x:dataValidation>
    <x:dataValidation type="list" sqref="F70">
      <x:formula1>"SETUJU_USULAN,KOREKSI,TUNDA"</x:formula1>
    </x:dataValidation>
    <x:dataValidation type="list" sqref="F72">
      <x:formula1>"SETUJU_USULAN,KOREKSI,TUNDA"</x:formula1>
    </x:dataValidation>
    <x:dataValidation type="list" sqref="F73">
      <x:formula1>"SETUJU_USULAN,KOREKSI,TUNDA"</x:formula1>
    </x:dataValidation>
    <x:dataValidation type="list" sqref="F74">
      <x:formula1>"SETUJU_USULAN,KOREKSI,TUNDA"</x:formula1>
    </x:dataValidation>
    <x:dataValidation type="list" sqref="F75">
      <x:formula1>"SETUJU_USULAN,KOREKSI,TUNDA"</x:formula1>
    </x:dataValidation>
    <x:dataValidation type="list" sqref="F76">
      <x:formula1>"SETUJU_USULAN,KOREKSI,TUNDA"</x:formula1>
    </x:dataValidation>
    <x:dataValidation type="list" sqref="F79">
      <x:formula1>"SETUJU_USULAN,KOREKSI,TUNDA"</x:formula1>
    </x:dataValidation>
    <x:dataValidation type="list" sqref="F80">
      <x:formula1>"SETUJU_USULAN,KOREKSI,TUNDA"</x:formula1>
    </x:dataValidation>
    <x:dataValidation type="list" sqref="F81">
      <x:formula1>"SETUJU_USULAN,KOREKSI,TUNDA"</x:formula1>
    </x:dataValidation>
    <x:dataValidation type="list" sqref="F83">
      <x:formula1>"SETUJU_USULAN,KOREKSI,TUNDA"</x:formula1>
    </x:dataValidation>
    <x:dataValidation type="list" sqref="F84">
      <x:formula1>"SETUJU_USULAN,KOREKSI,TUNDA"</x:formula1>
    </x:dataValidation>
    <x:dataValidation type="list" sqref="F85">
      <x:formula1>"SETUJU_USULAN,KOREKSI,TUNDA"</x:formula1>
    </x:dataValidation>
    <x:dataValidation type="list" sqref="F86">
      <x:formula1>"SETUJU_USULAN,KOREKSI,TUNDA"</x:formula1>
    </x:dataValidation>
    <x:dataValidation type="list" sqref="F87">
      <x:formula1>"SETUJU_USULAN,KOREKSI,TUNDA"</x:formula1>
    </x:dataValidation>
    <x:dataValidation type="list" sqref="F89">
      <x:formula1>"SETUJU_USULAN,KOREKSI,TUNDA"</x:formula1>
    </x:dataValidation>
    <x:dataValidation type="list" sqref="F90">
      <x:formula1>"SETUJU_USULAN,KOREKSI,TUNDA"</x:formula1>
    </x:dataValidation>
    <x:dataValidation type="list" sqref="F91">
      <x:formula1>"SETUJU_USULAN,KOREKSI,TUNDA"</x:formula1>
    </x:dataValidation>
  </x:dataValidations>
  <x:pageMargins left="0.7" right="0.7" top="0.75" bottom="0.75" header="0.3" footer="0.3"/>
  <x:tableParts count="1">
    <x:tablePart xmlns:r="http://schemas.openxmlformats.org/officeDocument/2006/relationships" r:id="R68c821f7e0e54029"/>
  </x:tableParts>
</x:worksheet>
</file>

<file path=xl/worksheets/sheet4.xml><?xml version="1.0" encoding="utf-8"?>
<x:worksheet xmlns:x="http://schemas.openxmlformats.org/spreadsheetml/2006/main">
  <x:sheetPr>
    <x:tabColor rgb="FF244B6B"/>
  </x:sheetPr>
  <x:sheetViews>
    <x:sheetView showGridLines="0" workbookViewId="0">
      <x:pane xSplit="2" ySplit="7" topLeftCell="C8" activePane="bottomRight" state="frozen"/>
    </x:sheetView>
  </x:sheetViews>
  <x:sheetFormatPr defaultRowHeight="15"/>
  <x:cols>
    <x:col min="1" max="1" width="15" hidden="0" customWidth="1"/>
    <x:col min="2" max="2" width="78" hidden="0" customWidth="1"/>
    <x:col min="3" max="3" width="18" hidden="0" customWidth="1"/>
    <x:col min="4" max="4" width="18" hidden="0" customWidth="1"/>
    <x:col min="5" max="5" width="23" hidden="0" customWidth="1"/>
    <x:col min="6" max="6" width="18" hidden="0" customWidth="1"/>
    <x:col min="7" max="7" width="40" hidden="0" customWidth="1"/>
    <x:col min="8" max="8" width="18" hidden="0" customWidth="1"/>
    <x:col min="9" max="9" width="25" hidden="0" customWidth="1"/>
    <x:col min="10" max="10" width="59" hidden="0" customWidth="1"/>
    <x:col min="11" max="11" width="20" hidden="0" customWidth="1"/>
    <x:col min="12" max="12" width="21" hidden="0" customWidth="1"/>
  </x:cols>
  <x:sheetData>
    <x:row r="1" ht="32" customHeight="1">
      <x:c r="A1" s="6" t="str">
        <x:v>SENA · Review kandidat validation</x:v>
      </x:c>
      <x:c r="B1" s="6"/>
      <x:c r="C1" s="6"/>
      <x:c r="D1" s="6"/>
      <x:c r="E1" s="6"/>
      <x:c r="F1" s="6"/>
      <x:c r="G1" s="6"/>
      <x:c r="H1" s="6"/>
      <x:c r="I1" s="6"/>
      <x:c r="J1" s="6"/>
      <x:c r="K1" s="6"/>
      <x:c r="L1" s="6"/>
    </x:row>
    <x:row r="2" ht="25" customHeight="1">
      <x:c r="A2" s="7" t="str">
        <x:v>623 teks; 71 keputusan terdahulu dipertahankan dan 552 label sumber perlu review MVP.</x:v>
      </x:c>
      <x:c r="B2" s="7"/>
      <x:c r="C2" s="7"/>
      <x:c r="D2" s="7"/>
      <x:c r="E2" s="7"/>
      <x:c r="F2" s="7"/>
      <x:c r="G2" s="7"/>
      <x:c r="H2" s="7"/>
      <x:c r="I2" s="7"/>
      <x:c r="J2" s="7"/>
      <x:c r="K2" s="7"/>
      <x:c r="L2" s="7"/>
    </x:row>
    <x:row r="3" ht="23" customHeight="1">
      <x:c r="A3" s="7" t="str">
        <x:v>Sumber: dataset krisis → analisis error v0.1; runtime 17 Okt 2026; keputusan terdahulu dari workbook review v0.5.</x:v>
      </x:c>
      <x:c r="B3" s="7"/>
      <x:c r="C3" s="7"/>
      <x:c r="D3" s="7"/>
      <x:c r="E3" s="7"/>
      <x:c r="F3" s="7"/>
      <x:c r="G3" s="7"/>
      <x:c r="H3" s="7"/>
      <x:c r="I3" s="7"/>
      <x:c r="J3" s="7"/>
      <x:c r="K3" s="7"/>
      <x:c r="L3" s="7"/>
    </x:row>
    <x:row r="4" ht="23" customHeight="1">
      <x:c r="A4" s="7" t="str">
        <x:v>Isi sel kuning: keputusan, koreksi bila perlu, dan catatan. Nama reviewer di Panduan!B5.</x:v>
      </x:c>
      <x:c r="B4" s="7"/>
      <x:c r="C4" s="7"/>
      <x:c r="D4" s="7"/>
      <x:c r="E4" s="7"/>
      <x:c r="F4" s="7"/>
      <x:c r="G4" s="7"/>
      <x:c r="H4" s="7"/>
      <x:c r="I4" s="7"/>
      <x:c r="J4" s="7"/>
      <x:c r="K4" s="7"/>
      <x:c r="L4" s="7"/>
    </x:row>
    <x:row r="5" ht="25" customHeight="1">
      <x:c r="A5" s="7" t="str">
        <x:v>Label sumber/prediksi baseline yang sama belum menjadi gold MVP. Data ini belum terbukti independen dari model historis.</x:v>
      </x:c>
      <x:c r="B5" s="7"/>
      <x:c r="C5" s="7"/>
      <x:c r="D5" s="7"/>
      <x:c r="E5" s="7"/>
      <x:c r="F5" s="7"/>
      <x:c r="G5" s="7"/>
      <x:c r="H5" s="7"/>
      <x:c r="I5" s="7"/>
      <x:c r="J5" s="7"/>
      <x:c r="K5" s="7"/>
      <x:c r="L5" s="7"/>
    </x:row>
    <x:row r="6">
      <x:c r="A6" s="4"/>
      <x:c r="B6" s="4"/>
      <x:c r="C6" s="4"/>
      <x:c r="D6" s="4"/>
      <x:c r="E6" s="4"/>
      <x:c r="F6" s="4"/>
      <x:c r="G6" s="4"/>
      <x:c r="H6" s="4"/>
      <x:c r="I6" s="4"/>
      <x:c r="J6" s="4"/>
      <x:c r="K6" s="4"/>
      <x:c r="L6" s="4"/>
    </x:row>
    <x:row r="7" ht="36" customHeight="1">
      <x:c r="A7" s="11" t="str">
        <x:v>ID</x:v>
      </x:c>
      <x:c r="B7" s="11" t="str">
        <x:v>Narasi</x:v>
      </x:c>
      <x:c r="C7" s="11" t="str">
        <x:v>Label sumber</x:v>
      </x:c>
      <x:c r="D7" s="11" t="str">
        <x:v>Usulan</x:v>
      </x:c>
      <x:c r="E7" s="11" t="str">
        <x:v>Keputusan</x:v>
      </x:c>
      <x:c r="F7" s="11" t="str">
        <x:v>Koreksi label</x:v>
      </x:c>
      <x:c r="G7" s="11" t="str">
        <x:v>Catatan reviewer</x:v>
      </x:c>
      <x:c r="H7" s="11" t="str">
        <x:v>Label final</x:v>
      </x:c>
      <x:c r="I7" s="11" t="str">
        <x:v>Status</x:v>
      </x:c>
      <x:c r="J7" s="11" t="str">
        <x:v>Dasar usulan</x:v>
      </x:c>
      <x:c r="K7" s="11" t="str">
        <x:v>Prediksi baseline</x:v>
      </x:c>
      <x:c r="L7" s="11" t="str">
        <x:v>Confidence baseline</x:v>
      </x:c>
    </x:row>
    <x:row r="8" ht="64" customHeight="1">
      <x:c r="A8" s="4" t="str">
        <x:v>KEC-01487</x:v>
      </x:c>
      <x:c r="B8" s="4" t="str">
        <x:v>katanya kecelakaan bis masuk jurang kok bisa muncul di gua</x:v>
      </x:c>
      <x:c r="C8" s="4" t="str">
        <x:v>NON_EVENT</x:v>
      </x:c>
      <x:c r="D8" s="4" t="str">
        <x:v>NON_EVENT</x:v>
      </x:c>
      <x:c r="E8" s="12" t="str">
        <x:v>KOREKSI</x:v>
      </x:c>
      <x:c r="F8" s="12" t="str">
        <x:v>ACCIDENT</x:v>
      </x:c>
      <x:c r="G8" s="12" t="str">
        <x:v>Teks merujuk kecelakaan bus masuk jurang. Pertanyaan tentang posisi bus tidak menyangkal kecelakaan, dan tidak ada penanda fiksi eksplisit. R1,R2,R4.</x:v>
      </x:c>
      <x:c r="H8" s="4" t="str">
        <x:f>IF(E8="SETUJU_USULAN",D8,IF(E8="KOREKSI",F8,""))</x:f>
        <x:v>ACCIDENT</x:v>
      </x:c>
      <x:c r="I8" s="4" t="str">
        <x:f>IF(E8="","BELUM_DIREVIEW",IF(E8="TUNDA","DITUNDA",IF(TRIM(Panduan!$B$5)="","ISI_REVIEWER",IF(AND(E8&lt;&gt;"SETUJU_USULAN",E8&lt;&gt;"KOREKSI"),"CEK_KEPUTUSAN",IF(AND(E8="SETUJU_USULAN",F8&lt;&gt;""),"HAPUS_KOREKSI",IF(H8="","ISI_KOREKSI",IF(NOT(OR(H8="FLOOD",H8="EARTHQUAKE",H8="FIRE",H8="ACCIDENT",H8="NON_EVENT")),"CEK_LABEL",IF(AND(E8="KOREKSI",TRIM(G8)=""),"ISI_CATATAN","REVIEW_TERCATAT"))))))))</x:f>
        <x:v>REVIEW_TERCATAT</x:v>
      </x:c>
      <x:c r="J8" s="4" t="str">
        <x:v>Label dataset dan prediksi baseline sama; makna MVP belum direview. Kesepakatan keduanya belum membuktikan label final.</x:v>
      </x:c>
      <x:c r="K8" s="4" t="str">
        <x:v>NON_EVENT</x:v>
      </x:c>
      <x:c r="L8" s="14" t="n">
        <x:v>0.5348230004310608</x:v>
      </x:c>
    </x:row>
    <x:row r="9" ht="64" customHeight="1">
      <x:c r="A9" s="4" t="str">
        <x:v>KEB-00663</x:v>
      </x:c>
      <x:c r="B9" s="4" t="str">
        <x:v>dua aula polsek disiapkan untuk lokasi pengungsian kebakaran di balikpapan</x:v>
      </x:c>
      <x:c r="C9" s="4" t="str">
        <x:v>NON_EVENT</x:v>
      </x:c>
      <x:c r="D9" s="4" t="str">
        <x:v>NON_EVENT</x:v>
      </x:c>
      <x:c r="E9" s="12" t="str">
        <x:v>KOREKSI</x:v>
      </x:c>
      <x:c r="F9" s="12" t="str">
        <x:v>FIRE</x:v>
      </x:c>
      <x:c r="G9" s="12" t="str">
        <x:v>Penyiapan aula untuk pengungsian merujuk kebakaran tertentu di Balikpapan. Konteks penanganan tetap memuat kejadian. R1,R5.</x:v>
      </x:c>
      <x:c r="H9" s="4" t="str">
        <x:f>IF(E9="SETUJU_USULAN",D9,IF(E9="KOREKSI",F9,""))</x:f>
        <x:v>FIRE</x:v>
      </x:c>
      <x:c r="I9" s="4" t="str">
        <x:f>IF(E9="","BELUM_DIREVIEW",IF(E9="TUNDA","DITUNDA",IF(TRIM(Panduan!$B$5)="","ISI_REVIEWER",IF(AND(E9&lt;&gt;"SETUJU_USULAN",E9&lt;&gt;"KOREKSI"),"CEK_KEPUTUSAN",IF(AND(E9="SETUJU_USULAN",F9&lt;&gt;""),"HAPUS_KOREKSI",IF(H9="","ISI_KOREKSI",IF(NOT(OR(H9="FLOOD",H9="EARTHQUAKE",H9="FIRE",H9="ACCIDENT",H9="NON_EVENT")),"CEK_LABEL",IF(AND(E9="KOREKSI",TRIM(G9)=""),"ISI_CATATAN","REVIEW_TERCATAT"))))))))</x:f>
        <x:v>REVIEW_TERCATAT</x:v>
      </x:c>
      <x:c r="J9" s="4" t="str">
        <x:v>Label dataset dan prediksi baseline sama; makna MVP belum direview. Kesepakatan keduanya belum membuktikan label final.</x:v>
      </x:c>
      <x:c r="K9" s="4" t="str">
        <x:v>NON_EVENT</x:v>
      </x:c>
      <x:c r="L9" s="14" t="n">
        <x:v>0.5374277234077454</x:v>
      </x:c>
    </x:row>
    <x:row r="10" ht="64" customHeight="1">
      <x:c r="A10" s="4" t="str">
        <x:v>KEB-00546</x:v>
      </x:c>
      <x:c r="B10" s="4" t="str">
        <x:v>seorang warga tewas akibat kebakaran di makassar</x:v>
      </x:c>
      <x:c r="C10" s="4" t="str">
        <x:v>FIRE</x:v>
      </x:c>
      <x:c r="D10" s="4" t="str">
        <x:v>FIRE</x:v>
      </x:c>
      <x:c r="E10" s="12" t="str">
        <x:v>SETUJU_USULAN</x:v>
      </x:c>
      <x:c r="F10" s="12" t="str"/>
      <x:c r="G10" s="12" t="str">
        <x:v>Narasi menyatakan kejadian kebakaran yang terjadi atau telah terjadi. Label mengikuti isi kejadian, termasuk penanganan dan dampak yang disebut. R1,R4.</x:v>
      </x:c>
      <x:c r="H10" s="4" t="str">
        <x:f>IF(E10="SETUJU_USULAN",D10,IF(E10="KOREKSI",F10,""))</x:f>
        <x:v>FIRE</x:v>
      </x:c>
      <x:c r="I10" s="4" t="str">
        <x:f>IF(E10="","BELUM_DIREVIEW",IF(E10="TUNDA","DITUNDA",IF(TRIM(Panduan!$B$5)="","ISI_REVIEWER",IF(AND(E10&lt;&gt;"SETUJU_USULAN",E10&lt;&gt;"KOREKSI"),"CEK_KEPUTUSAN",IF(AND(E10="SETUJU_USULAN",F10&lt;&gt;""),"HAPUS_KOREKSI",IF(H10="","ISI_KOREKSI",IF(NOT(OR(H10="FLOOD",H10="EARTHQUAKE",H10="FIRE",H10="ACCIDENT",H10="NON_EVENT")),"CEK_LABEL",IF(AND(E10="KOREKSI",TRIM(G10)=""),"ISI_CATATAN","REVIEW_TERCATAT"))))))))</x:f>
        <x:v>REVIEW_TERCATAT</x:v>
      </x:c>
      <x:c r="J10" s="4" t="str">
        <x:v>Label dataset dan prediksi baseline sama; makna MVP belum direview. Kesepakatan keduanya belum membuktikan label final.</x:v>
      </x:c>
      <x:c r="K10" s="4" t="str">
        <x:v>FIRE</x:v>
      </x:c>
      <x:c r="L10" s="14" t="n">
        <x:v>0.5611132383346558</x:v>
      </x:c>
    </x:row>
    <x:row r="11" ht="66" customHeight="1">
      <x:c r="A11" s="4" t="str">
        <x:v>KEB-00984</x:v>
      </x:c>
      <x:c r="B11" s="4" t="str">
        <x:v>telah tejadi kebakaran di betang siut / sayut , dayak taman di kapuas hulu / putusibau tadi sekitar 8 lewat . semoga keluarga kita yang disana tidak ada korban , dan semoga keluarga yang mendapatkan musibah bisa ditenangkan oleh doa kalian</x:v>
      </x:c>
      <x:c r="C11" s="4" t="str">
        <x:v>FIRE</x:v>
      </x:c>
      <x:c r="D11" s="4" t="str">
        <x:v>FIRE</x:v>
      </x:c>
      <x:c r="E11" s="12" t="str">
        <x:v>SETUJU_USULAN</x:v>
      </x:c>
      <x:c r="F11" s="12" t="str"/>
      <x:c r="G11" s="12" t="str">
        <x:v>Narasi menyatakan kejadian kebakaran yang terjadi atau telah terjadi. Label mengikuti isi kejadian, termasuk penanganan dan dampak yang disebut. R1,R4.</x:v>
      </x:c>
      <x:c r="H11" s="4" t="str">
        <x:f>IF(E11="SETUJU_USULAN",D11,IF(E11="KOREKSI",F11,""))</x:f>
        <x:v>FIRE</x:v>
      </x:c>
      <x:c r="I11" s="4" t="str">
        <x:f>IF(E11="","BELUM_DIREVIEW",IF(E11="TUNDA","DITUNDA",IF(TRIM(Panduan!$B$5)="","ISI_REVIEWER",IF(AND(E11&lt;&gt;"SETUJU_USULAN",E11&lt;&gt;"KOREKSI"),"CEK_KEPUTUSAN",IF(AND(E11="SETUJU_USULAN",F11&lt;&gt;""),"HAPUS_KOREKSI",IF(H11="","ISI_KOREKSI",IF(NOT(OR(H11="FLOOD",H11="EARTHQUAKE",H11="FIRE",H11="ACCIDENT",H11="NON_EVENT")),"CEK_LABEL",IF(AND(E11="KOREKSI",TRIM(G11)=""),"ISI_CATATAN","REVIEW_TERCATAT"))))))))</x:f>
        <x:v>REVIEW_TERCATAT</x:v>
      </x:c>
      <x:c r="J11" s="4" t="str">
        <x:v>Label dataset dan prediksi baseline sama; makna MVP belum direview. Kesepakatan keduanya belum membuktikan label final.</x:v>
      </x:c>
      <x:c r="K11" s="4" t="str">
        <x:v>FIRE</x:v>
      </x:c>
      <x:c r="L11" s="14" t="n">
        <x:v>0.5716107487678528</x:v>
      </x:c>
    </x:row>
    <x:row r="12" ht="64" customHeight="1">
      <x:c r="A12" s="4" t="str">
        <x:v>BAN-01279</x:v>
      </x:c>
      <x:c r="B12" s="4" t="str">
        <x:v>penangana bencana banjir di desa wironatan kecamatan butuh purworejo</x:v>
      </x:c>
      <x:c r="C12" s="4" t="str">
        <x:v>FLOOD</x:v>
      </x:c>
      <x:c r="D12" s="4" t="str">
        <x:v>FLOOD</x:v>
      </x:c>
      <x:c r="E12" s="12" t="str">
        <x:v>SETUJU_USULAN</x:v>
      </x:c>
      <x:c r="F12" s="12" t="str"/>
      <x:c r="G12" s="12" t="str">
        <x:v>Narasi menyatakan kejadian banjir yang terjadi atau telah terjadi. Label mengikuti isi kejadian, termasuk penanganan dan dampak yang disebut. R1,R4.</x:v>
      </x:c>
      <x:c r="H12" s="4" t="str">
        <x:f>IF(E12="SETUJU_USULAN",D12,IF(E12="KOREKSI",F12,""))</x:f>
        <x:v>FLOOD</x:v>
      </x:c>
      <x:c r="I12" s="4" t="str">
        <x:f>IF(E12="","BELUM_DIREVIEW",IF(E12="TUNDA","DITUNDA",IF(TRIM(Panduan!$B$5)="","ISI_REVIEWER",IF(AND(E12&lt;&gt;"SETUJU_USULAN",E12&lt;&gt;"KOREKSI"),"CEK_KEPUTUSAN",IF(AND(E12="SETUJU_USULAN",F12&lt;&gt;""),"HAPUS_KOREKSI",IF(H12="","ISI_KOREKSI",IF(NOT(OR(H12="FLOOD",H12="EARTHQUAKE",H12="FIRE",H12="ACCIDENT",H12="NON_EVENT")),"CEK_LABEL",IF(AND(E12="KOREKSI",TRIM(G12)=""),"ISI_CATATAN","REVIEW_TERCATAT"))))))))</x:f>
        <x:v>REVIEW_TERCATAT</x:v>
      </x:c>
      <x:c r="J12" s="4" t="str">
        <x:v>Label dataset dan prediksi baseline sama; makna MVP belum direview. Kesepakatan keduanya belum membuktikan label final.</x:v>
      </x:c>
      <x:c r="K12" s="4" t="str">
        <x:v>FLOOD</x:v>
      </x:c>
      <x:c r="L12" s="14" t="n">
        <x:v>0.5755633115768433</x:v>
      </x:c>
    </x:row>
    <x:row r="13" ht="64" customHeight="1">
      <x:c r="A13" s="4" t="str">
        <x:v>BAN-01461</x:v>
      </x:c>
      <x:c r="B13" s="4" t="str">
        <x:v>1552 : jalan muh ramdhan terpantau ramai lancar cuaca hujan ada banjir cileunca di beberapa titik</x:v>
      </x:c>
      <x:c r="C13" s="4" t="str">
        <x:v>NON_EVENT</x:v>
      </x:c>
      <x:c r="D13" s="4" t="str">
        <x:v>NON_EVENT</x:v>
      </x:c>
      <x:c r="E13" s="12" t="str">
        <x:v>KOREKSI</x:v>
      </x:c>
      <x:c r="F13" s="12" t="str">
        <x:v>FLOOD</x:v>
      </x:c>
      <x:c r="G13" s="12" t="str">
        <x:v>Ada banjir di beberapa titik Cileunca dinyatakan eksplisit. Kondisi jalan ramai lancar tidak menyangkal banjir. R1,R2.</x:v>
      </x:c>
      <x:c r="H13" s="4" t="str">
        <x:f>IF(E13="SETUJU_USULAN",D13,IF(E13="KOREKSI",F13,""))</x:f>
        <x:v>FLOOD</x:v>
      </x:c>
      <x:c r="I13" s="4" t="str">
        <x:f>IF(E13="","BELUM_DIREVIEW",IF(E13="TUNDA","DITUNDA",IF(TRIM(Panduan!$B$5)="","ISI_REVIEWER",IF(AND(E13&lt;&gt;"SETUJU_USULAN",E13&lt;&gt;"KOREKSI"),"CEK_KEPUTUSAN",IF(AND(E13="SETUJU_USULAN",F13&lt;&gt;""),"HAPUS_KOREKSI",IF(H13="","ISI_KOREKSI",IF(NOT(OR(H13="FLOOD",H13="EARTHQUAKE",H13="FIRE",H13="ACCIDENT",H13="NON_EVENT")),"CEK_LABEL",IF(AND(E13="KOREKSI",TRIM(G13)=""),"ISI_CATATAN","REVIEW_TERCATAT"))))))))</x:f>
        <x:v>REVIEW_TERCATAT</x:v>
      </x:c>
      <x:c r="J13" s="4" t="str">
        <x:v>Label dataset dan prediksi baseline sama; makna MVP belum direview. Kesepakatan keduanya belum membuktikan label final.</x:v>
      </x:c>
      <x:c r="K13" s="4" t="str">
        <x:v>NON_EVENT</x:v>
      </x:c>
      <x:c r="L13" s="14" t="n">
        <x:v>0.5827413201332092</x:v>
      </x:c>
    </x:row>
    <x:row r="14" ht="64" customHeight="1">
      <x:c r="A14" s="4" t="str">
        <x:v>GEM-01540</x:v>
      </x:c>
      <x:c r="B14" s="4" t="str">
        <x:v>rt pdrmsia : tiada ancaman tsunami di malaysia gempa bumi sederhana telah berlaku di rantau sumbawa indonesia pada jam 644 petang 21 disember 2018 koordinat : 85deg selatan dan 1170deg timur magnitud :</x:v>
      </x:c>
      <x:c r="C14" s="4" t="str">
        <x:v>EARTHQUAKE</x:v>
      </x:c>
      <x:c r="D14" s="4" t="str">
        <x:v>EARTHQUAKE</x:v>
      </x:c>
      <x:c r="E14" s="12" t="str">
        <x:v>SETUJU_USULAN</x:v>
      </x:c>
      <x:c r="F14" s="12" t="str"/>
      <x:c r="G14" s="12" t="str">
        <x:v>Narasi menyatakan kejadian gempa bumi yang terjadi atau telah terjadi. Label mengikuti isi kejadian, termasuk penanganan dan dampak yang disebut. R1,R4.</x:v>
      </x:c>
      <x:c r="H14" s="4" t="str">
        <x:f>IF(E14="SETUJU_USULAN",D14,IF(E14="KOREKSI",F14,""))</x:f>
        <x:v>EARTHQUAKE</x:v>
      </x:c>
      <x:c r="I14" s="4" t="str">
        <x:f>IF(E14="","BELUM_DIREVIEW",IF(E14="TUNDA","DITUNDA",IF(TRIM(Panduan!$B$5)="","ISI_REVIEWER",IF(AND(E14&lt;&gt;"SETUJU_USULAN",E14&lt;&gt;"KOREKSI"),"CEK_KEPUTUSAN",IF(AND(E14="SETUJU_USULAN",F14&lt;&gt;""),"HAPUS_KOREKSI",IF(H14="","ISI_KOREKSI",IF(NOT(OR(H14="FLOOD",H14="EARTHQUAKE",H14="FIRE",H14="ACCIDENT",H14="NON_EVENT")),"CEK_LABEL",IF(AND(E14="KOREKSI",TRIM(G14)=""),"ISI_CATATAN","REVIEW_TERCATAT"))))))))</x:f>
        <x:v>REVIEW_TERCATAT</x:v>
      </x:c>
      <x:c r="J14" s="4" t="str">
        <x:v>Label dataset dan prediksi baseline sama; makna MVP belum direview. Kesepakatan keduanya belum membuktikan label final.</x:v>
      </x:c>
      <x:c r="K14" s="4" t="str">
        <x:v>EARTHQUAKE</x:v>
      </x:c>
      <x:c r="L14" s="14" t="n">
        <x:v>0.5878084301948547</x:v>
      </x:c>
    </x:row>
    <x:row r="15" ht="64" customHeight="1">
      <x:c r="A15" s="4" t="str">
        <x:v>KEC-00254</x:v>
      </x:c>
      <x:c r="B15" s="4" t="str">
        <x:v>ini pesan ustad hamzah korban kecelakaan di desa pundu minggu 4 februari 2018 00:12</x:v>
      </x:c>
      <x:c r="C15" s="4" t="str">
        <x:v>NON_EVENT</x:v>
      </x:c>
      <x:c r="D15" s="4" t="str">
        <x:v>NON_EVENT</x:v>
      </x:c>
      <x:c r="E15" s="12" t="str">
        <x:v>KOREKSI</x:v>
      </x:c>
      <x:c r="F15" s="12" t="str">
        <x:v>ACCIDENT</x:v>
      </x:c>
      <x:c r="G15" s="12" t="str">
        <x:v>Pesan Ustad Hamzah merujuk dirinya sebagai korban kecelakaan di Desa Pundu dengan tanggal sumber. Informasi lanjutan tetap merujuk kejadian. R1,R5,R6.</x:v>
      </x:c>
      <x:c r="H15" s="4" t="str">
        <x:f>IF(E15="SETUJU_USULAN",D15,IF(E15="KOREKSI",F15,""))</x:f>
        <x:v>ACCIDENT</x:v>
      </x:c>
      <x:c r="I15" s="4" t="str">
        <x:f>IF(E15="","BELUM_DIREVIEW",IF(E15="TUNDA","DITUNDA",IF(TRIM(Panduan!$B$5)="","ISI_REVIEWER",IF(AND(E15&lt;&gt;"SETUJU_USULAN",E15&lt;&gt;"KOREKSI"),"CEK_KEPUTUSAN",IF(AND(E15="SETUJU_USULAN",F15&lt;&gt;""),"HAPUS_KOREKSI",IF(H15="","ISI_KOREKSI",IF(NOT(OR(H15="FLOOD",H15="EARTHQUAKE",H15="FIRE",H15="ACCIDENT",H15="NON_EVENT")),"CEK_LABEL",IF(AND(E15="KOREKSI",TRIM(G15)=""),"ISI_CATATAN","REVIEW_TERCATAT"))))))))</x:f>
        <x:v>REVIEW_TERCATAT</x:v>
      </x:c>
      <x:c r="J15" s="4" t="str">
        <x:v>Label dataset dan prediksi baseline sama; makna MVP belum direview. Kesepakatan keduanya belum membuktikan label final.</x:v>
      </x:c>
      <x:c r="K15" s="4" t="str">
        <x:v>NON_EVENT</x:v>
      </x:c>
      <x:c r="L15" s="14" t="n">
        <x:v>0.6375889778137207</x:v>
      </x:c>
    </x:row>
    <x:row r="16" ht="64" customHeight="1">
      <x:c r="A16" s="4" t="str">
        <x:v>BAN-01862</x:v>
      </x:c>
      <x:c r="B16" s="4" t="str">
        <x:v>jalan rusak di poros bone-wajo banjir di sidrap netizen pertanyakan keberadaan gubernur nya</x:v>
      </x:c>
      <x:c r="C16" s="4" t="str">
        <x:v>NON_EVENT</x:v>
      </x:c>
      <x:c r="D16" s="4" t="str">
        <x:v>NON_EVENT</x:v>
      </x:c>
      <x:c r="E16" s="12" t="str">
        <x:v>KOREKSI</x:v>
      </x:c>
      <x:c r="F16" s="12" t="str">
        <x:v>FLOOD</x:v>
      </x:c>
      <x:c r="G16" s="12" t="str">
        <x:v>Teks menyebut banjir di Sidrap di samping jalan rusak dan kritik gubernur. Tujuan kritik tidak menghapus klaim banjir. R1,R5.</x:v>
      </x:c>
      <x:c r="H16" s="4" t="str">
        <x:f>IF(E16="SETUJU_USULAN",D16,IF(E16="KOREKSI",F16,""))</x:f>
        <x:v>FLOOD</x:v>
      </x:c>
      <x:c r="I16" s="4" t="str">
        <x:f>IF(E16="","BELUM_DIREVIEW",IF(E16="TUNDA","DITUNDA",IF(TRIM(Panduan!$B$5)="","ISI_REVIEWER",IF(AND(E16&lt;&gt;"SETUJU_USULAN",E16&lt;&gt;"KOREKSI"),"CEK_KEPUTUSAN",IF(AND(E16="SETUJU_USULAN",F16&lt;&gt;""),"HAPUS_KOREKSI",IF(H16="","ISI_KOREKSI",IF(NOT(OR(H16="FLOOD",H16="EARTHQUAKE",H16="FIRE",H16="ACCIDENT",H16="NON_EVENT")),"CEK_LABEL",IF(AND(E16="KOREKSI",TRIM(G16)=""),"ISI_CATATAN","REVIEW_TERCATAT"))))))))</x:f>
        <x:v>REVIEW_TERCATAT</x:v>
      </x:c>
      <x:c r="J16" s="4" t="str">
        <x:v>Label dataset dan prediksi baseline sama; makna MVP belum direview. Kesepakatan keduanya belum membuktikan label final.</x:v>
      </x:c>
      <x:c r="K16" s="4" t="str">
        <x:v>NON_EVENT</x:v>
      </x:c>
      <x:c r="L16" s="14" t="n">
        <x:v>0.6484891772270203</x:v>
      </x:c>
    </x:row>
    <x:row r="17" ht="64" customHeight="1">
      <x:c r="A17" s="4" t="str">
        <x:v>GEM-01051</x:v>
      </x:c>
      <x:c r="B17" s="4" t="str">
        <x:v>gempa bumi berkekuatan 7 4 skala ritcher mengguncang donggala palu sulawesi tengah masih menjadi duka untuk bangsa indonesia belum lupa akan kejadian gempa di lombok</x:v>
      </x:c>
      <x:c r="C17" s="4" t="str">
        <x:v>EARTHQUAKE</x:v>
      </x:c>
      <x:c r="D17" s="4" t="str">
        <x:v>EARTHQUAKE</x:v>
      </x:c>
      <x:c r="E17" s="12" t="str">
        <x:v>SETUJU_USULAN</x:v>
      </x:c>
      <x:c r="F17" s="12" t="str"/>
      <x:c r="G17" s="12" t="str">
        <x:v>Narasi menyatakan kejadian gempa bumi yang terjadi atau telah terjadi. Label mengikuti isi kejadian, termasuk penanganan dan dampak yang disebut. R1,R4.</x:v>
      </x:c>
      <x:c r="H17" s="4" t="str">
        <x:f>IF(E17="SETUJU_USULAN",D17,IF(E17="KOREKSI",F17,""))</x:f>
        <x:v>EARTHQUAKE</x:v>
      </x:c>
      <x:c r="I17" s="4" t="str">
        <x:f>IF(E17="","BELUM_DIREVIEW",IF(E17="TUNDA","DITUNDA",IF(TRIM(Panduan!$B$5)="","ISI_REVIEWER",IF(AND(E17&lt;&gt;"SETUJU_USULAN",E17&lt;&gt;"KOREKSI"),"CEK_KEPUTUSAN",IF(AND(E17="SETUJU_USULAN",F17&lt;&gt;""),"HAPUS_KOREKSI",IF(H17="","ISI_KOREKSI",IF(NOT(OR(H17="FLOOD",H17="EARTHQUAKE",H17="FIRE",H17="ACCIDENT",H17="NON_EVENT")),"CEK_LABEL",IF(AND(E17="KOREKSI",TRIM(G17)=""),"ISI_CATATAN","REVIEW_TERCATAT"))))))))</x:f>
        <x:v>REVIEW_TERCATAT</x:v>
      </x:c>
      <x:c r="J17" s="4" t="str">
        <x:v>Label dataset dan prediksi baseline sama; makna MVP belum direview. Kesepakatan keduanya belum membuktikan label final.</x:v>
      </x:c>
      <x:c r="K17" s="4" t="str">
        <x:v>EARTHQUAKE</x:v>
      </x:c>
      <x:c r="L17" s="14" t="n">
        <x:v>0.6603113412857056</x:v>
      </x:c>
    </x:row>
    <x:row r="18" ht="64" customHeight="1">
      <x:c r="A18" s="4" t="str">
        <x:v>BAN-01641</x:v>
      </x:c>
      <x:c r="B18" s="4" t="str">
        <x:v>1530 ini banjir di jalan antara dramaga sampai medika dramaga sepertinya masalah drainase karena beberapa kali ketemu tumpukan sampah</x:v>
      </x:c>
      <x:c r="C18" s="4" t="str">
        <x:v>FLOOD</x:v>
      </x:c>
      <x:c r="D18" s="4" t="str">
        <x:v>FLOOD</x:v>
      </x:c>
      <x:c r="E18" s="12" t="str">
        <x:v>SETUJU_USULAN</x:v>
      </x:c>
      <x:c r="F18" s="12" t="str"/>
      <x:c r="G18" s="12" t="str">
        <x:v>Narasi menyatakan kejadian banjir yang terjadi atau telah terjadi. Label mengikuti isi kejadian, termasuk penanganan dan dampak yang disebut. R1,R4.</x:v>
      </x:c>
      <x:c r="H18" s="4" t="str">
        <x:f>IF(E18="SETUJU_USULAN",D18,IF(E18="KOREKSI",F18,""))</x:f>
        <x:v>FLOOD</x:v>
      </x:c>
      <x:c r="I18" s="4" t="str">
        <x:f>IF(E18="","BELUM_DIREVIEW",IF(E18="TUNDA","DITUNDA",IF(TRIM(Panduan!$B$5)="","ISI_REVIEWER",IF(AND(E18&lt;&gt;"SETUJU_USULAN",E18&lt;&gt;"KOREKSI"),"CEK_KEPUTUSAN",IF(AND(E18="SETUJU_USULAN",F18&lt;&gt;""),"HAPUS_KOREKSI",IF(H18="","ISI_KOREKSI",IF(NOT(OR(H18="FLOOD",H18="EARTHQUAKE",H18="FIRE",H18="ACCIDENT",H18="NON_EVENT")),"CEK_LABEL",IF(AND(E18="KOREKSI",TRIM(G18)=""),"ISI_CATATAN","REVIEW_TERCATAT"))))))))</x:f>
        <x:v>REVIEW_TERCATAT</x:v>
      </x:c>
      <x:c r="J18" s="4" t="str">
        <x:v>Label dataset dan prediksi baseline sama; makna MVP belum direview. Kesepakatan keduanya belum membuktikan label final.</x:v>
      </x:c>
      <x:c r="K18" s="4" t="str">
        <x:v>FLOOD</x:v>
      </x:c>
      <x:c r="L18" s="14" t="n">
        <x:v>0.6618824601173401</x:v>
      </x:c>
    </x:row>
    <x:row r="19" ht="64" customHeight="1">
      <x:c r="A19" s="4" t="str">
        <x:v>BAN-01649</x:v>
      </x:c>
      <x:c r="B19" s="4" t="str">
        <x:v>banjir kilat di jalan jelatek setiawangsa guna laluan alternatif</x:v>
      </x:c>
      <x:c r="C19" s="4" t="str">
        <x:v>FLOOD</x:v>
      </x:c>
      <x:c r="D19" s="4" t="str">
        <x:v>FLOOD</x:v>
      </x:c>
      <x:c r="E19" s="12" t="str">
        <x:v>SETUJU_USULAN</x:v>
      </x:c>
      <x:c r="F19" s="12" t="str"/>
      <x:c r="G19" s="12" t="str">
        <x:v>Narasi menyatakan kejadian banjir yang terjadi atau telah terjadi. Label mengikuti isi kejadian, termasuk penanganan dan dampak yang disebut. R1,R4.</x:v>
      </x:c>
      <x:c r="H19" s="4" t="str">
        <x:f>IF(E19="SETUJU_USULAN",D19,IF(E19="KOREKSI",F19,""))</x:f>
        <x:v>FLOOD</x:v>
      </x:c>
      <x:c r="I19" s="4" t="str">
        <x:f>IF(E19="","BELUM_DIREVIEW",IF(E19="TUNDA","DITUNDA",IF(TRIM(Panduan!$B$5)="","ISI_REVIEWER",IF(AND(E19&lt;&gt;"SETUJU_USULAN",E19&lt;&gt;"KOREKSI"),"CEK_KEPUTUSAN",IF(AND(E19="SETUJU_USULAN",F19&lt;&gt;""),"HAPUS_KOREKSI",IF(H19="","ISI_KOREKSI",IF(NOT(OR(H19="FLOOD",H19="EARTHQUAKE",H19="FIRE",H19="ACCIDENT",H19="NON_EVENT")),"CEK_LABEL",IF(AND(E19="KOREKSI",TRIM(G19)=""),"ISI_CATATAN","REVIEW_TERCATAT"))))))))</x:f>
        <x:v>REVIEW_TERCATAT</x:v>
      </x:c>
      <x:c r="J19" s="4" t="str">
        <x:v>Label dataset dan prediksi baseline sama; makna MVP belum direview. Kesepakatan keduanya belum membuktikan label final.</x:v>
      </x:c>
      <x:c r="K19" s="4" t="str">
        <x:v>FLOOD</x:v>
      </x:c>
      <x:c r="L19" s="14" t="n">
        <x:v>0.6896286010742188</x:v>
      </x:c>
    </x:row>
    <x:row r="20" ht="64" customHeight="1">
      <x:c r="A20" s="4" t="str">
        <x:v>KEB-00844</x:v>
      </x:c>
      <x:c r="B20" s="4" t="str">
        <x:v>dahsyat nya kebakaran di gedung utama kejaksaan agung di jakarta selatan | trending in indonesia asian networkmedia</x:v>
      </x:c>
      <x:c r="C20" s="4" t="str">
        <x:v>FIRE</x:v>
      </x:c>
      <x:c r="D20" s="4" t="str">
        <x:v>FIRE</x:v>
      </x:c>
      <x:c r="E20" s="12" t="str">
        <x:v>SETUJU_USULAN</x:v>
      </x:c>
      <x:c r="F20" s="12" t="str"/>
      <x:c r="G20" s="12" t="str">
        <x:v>Narasi menyatakan kejadian kebakaran yang terjadi atau telah terjadi. Label mengikuti isi kejadian, termasuk penanganan dan dampak yang disebut. R1,R4.</x:v>
      </x:c>
      <x:c r="H20" s="4" t="str">
        <x:f>IF(E20="SETUJU_USULAN",D20,IF(E20="KOREKSI",F20,""))</x:f>
        <x:v>FIRE</x:v>
      </x:c>
      <x:c r="I20" s="4" t="str">
        <x:f>IF(E20="","BELUM_DIREVIEW",IF(E20="TUNDA","DITUNDA",IF(TRIM(Panduan!$B$5)="","ISI_REVIEWER",IF(AND(E20&lt;&gt;"SETUJU_USULAN",E20&lt;&gt;"KOREKSI"),"CEK_KEPUTUSAN",IF(AND(E20="SETUJU_USULAN",F20&lt;&gt;""),"HAPUS_KOREKSI",IF(H20="","ISI_KOREKSI",IF(NOT(OR(H20="FLOOD",H20="EARTHQUAKE",H20="FIRE",H20="ACCIDENT",H20="NON_EVENT")),"CEK_LABEL",IF(AND(E20="KOREKSI",TRIM(G20)=""),"ISI_CATATAN","REVIEW_TERCATAT"))))))))</x:f>
        <x:v>REVIEW_TERCATAT</x:v>
      </x:c>
      <x:c r="J20" s="4" t="str">
        <x:v>Label dataset dan prediksi baseline sama; makna MVP belum direview. Kesepakatan keduanya belum membuktikan label final.</x:v>
      </x:c>
      <x:c r="K20" s="4" t="str">
        <x:v>FIRE</x:v>
      </x:c>
      <x:c r="L20" s="14" t="n">
        <x:v>0.6942291259765625</x:v>
      </x:c>
    </x:row>
    <x:row r="21" ht="64" customHeight="1">
      <x:c r="A21" s="4" t="str">
        <x:v>BAN-01755</x:v>
      </x:c>
      <x:c r="B21" s="4" t="str">
        <x:v>banjir di pakal tertangani dengan cepat</x:v>
      </x:c>
      <x:c r="C21" s="4" t="str">
        <x:v>NON_EVENT</x:v>
      </x:c>
      <x:c r="D21" s="4" t="str">
        <x:v>NON_EVENT</x:v>
      </x:c>
      <x:c r="E21" s="12" t="str">
        <x:v>KOREKSI</x:v>
      </x:c>
      <x:c r="F21" s="12" t="str">
        <x:v>FLOOD</x:v>
      </x:c>
      <x:c r="G21" s="12" t="str">
        <x:v>Banjir di Pakal dinyatakan tertangani dengan cepat. Selesainya penanganan tidak meniadakan kejadian. R1,R2,R5.</x:v>
      </x:c>
      <x:c r="H21" s="4" t="str">
        <x:f>IF(E21="SETUJU_USULAN",D21,IF(E21="KOREKSI",F21,""))</x:f>
        <x:v>FLOOD</x:v>
      </x:c>
      <x:c r="I21" s="4" t="str">
        <x:f>IF(E21="","BELUM_DIREVIEW",IF(E21="TUNDA","DITUNDA",IF(TRIM(Panduan!$B$5)="","ISI_REVIEWER",IF(AND(E21&lt;&gt;"SETUJU_USULAN",E21&lt;&gt;"KOREKSI"),"CEK_KEPUTUSAN",IF(AND(E21="SETUJU_USULAN",F21&lt;&gt;""),"HAPUS_KOREKSI",IF(H21="","ISI_KOREKSI",IF(NOT(OR(H21="FLOOD",H21="EARTHQUAKE",H21="FIRE",H21="ACCIDENT",H21="NON_EVENT")),"CEK_LABEL",IF(AND(E21="KOREKSI",TRIM(G21)=""),"ISI_CATATAN","REVIEW_TERCATAT"))))))))</x:f>
        <x:v>REVIEW_TERCATAT</x:v>
      </x:c>
      <x:c r="J21" s="4" t="str">
        <x:v>Label dataset dan prediksi baseline sama; makna MVP belum direview. Kesepakatan keduanya belum membuktikan label final.</x:v>
      </x:c>
      <x:c r="K21" s="4" t="str">
        <x:v>NON_EVENT</x:v>
      </x:c>
      <x:c r="L21" s="14" t="n">
        <x:v>0.7188243865966797</x:v>
      </x:c>
    </x:row>
    <x:row r="22" ht="64" customHeight="1">
      <x:c r="A22" s="4" t="str">
        <x:v>BAN-01964</x:v>
      </x:c>
      <x:c r="B22" s="4" t="str">
        <x:v>bantu korban banjir anggota polres purworejo membantu evakuasi korban banjir luapan sungai bogowonto di dusun jambu desa dadirejo kecamatan bagelen senin 18 maret 2019</x:v>
      </x:c>
      <x:c r="C22" s="4" t="str">
        <x:v>NON_EVENT</x:v>
      </x:c>
      <x:c r="D22" s="4" t="str">
        <x:v>NON_EVENT</x:v>
      </x:c>
      <x:c r="E22" s="12" t="str">
        <x:v>KOREKSI</x:v>
      </x:c>
      <x:c r="F22" s="12" t="str">
        <x:v>FLOOD</x:v>
      </x:c>
      <x:c r="G22" s="12" t="str">
        <x:v>Evakuasi korban merujuk banjir luapan Sungai Bogowonto di Dadirejo dengan tanggal sumber. R1,R5,R6.</x:v>
      </x:c>
      <x:c r="H22" s="4" t="str">
        <x:f>IF(E22="SETUJU_USULAN",D22,IF(E22="KOREKSI",F22,""))</x:f>
        <x:v>FLOOD</x:v>
      </x:c>
      <x:c r="I22" s="4" t="str">
        <x:f>IF(E22="","BELUM_DIREVIEW",IF(E22="TUNDA","DITUNDA",IF(TRIM(Panduan!$B$5)="","ISI_REVIEWER",IF(AND(E22&lt;&gt;"SETUJU_USULAN",E22&lt;&gt;"KOREKSI"),"CEK_KEPUTUSAN",IF(AND(E22="SETUJU_USULAN",F22&lt;&gt;""),"HAPUS_KOREKSI",IF(H22="","ISI_KOREKSI",IF(NOT(OR(H22="FLOOD",H22="EARTHQUAKE",H22="FIRE",H22="ACCIDENT",H22="NON_EVENT")),"CEK_LABEL",IF(AND(E22="KOREKSI",TRIM(G22)=""),"ISI_CATATAN","REVIEW_TERCATAT"))))))))</x:f>
        <x:v>REVIEW_TERCATAT</x:v>
      </x:c>
      <x:c r="J22" s="4" t="str">
        <x:v>Label dataset dan prediksi baseline sama; makna MVP belum direview. Kesepakatan keduanya belum membuktikan label final.</x:v>
      </x:c>
      <x:c r="K22" s="4" t="str">
        <x:v>NON_EVENT</x:v>
      </x:c>
      <x:c r="L22" s="14" t="n">
        <x:v>0.7256019711494446</x:v>
      </x:c>
    </x:row>
    <x:row r="23" ht="64" customHeight="1">
      <x:c r="A23" s="4" t="str">
        <x:v>KEB-00715</x:v>
      </x:c>
      <x:c r="B23" s="4" t="str">
        <x:v>damkar banda aceh : alat pemadam kebakaran penting di mobil</x:v>
      </x:c>
      <x:c r="C23" s="4" t="str">
        <x:v>NON_EVENT</x:v>
      </x:c>
      <x:c r="D23" s="4" t="str">
        <x:v>NON_EVENT</x:v>
      </x:c>
      <x:c r="E23" s="12" t="str">
        <x:v>SETUJU_USULAN</x:v>
      </x:c>
      <x:c r="F23" s="12" t="str"/>
      <x:c r="G23" s="12" t="str">
        <x:v>Informasi perlengkapan pemadam di mobil, tanpa kejadian kebakaran tertentu. R3.</x:v>
      </x:c>
      <x:c r="H23" s="4" t="str">
        <x:f>IF(E23="SETUJU_USULAN",D23,IF(E23="KOREKSI",F23,""))</x:f>
        <x:v>NON_EVENT</x:v>
      </x:c>
      <x:c r="I23" s="4" t="str">
        <x:f>IF(E23="","BELUM_DIREVIEW",IF(E23="TUNDA","DITUNDA",IF(TRIM(Panduan!$B$5)="","ISI_REVIEWER",IF(AND(E23&lt;&gt;"SETUJU_USULAN",E23&lt;&gt;"KOREKSI"),"CEK_KEPUTUSAN",IF(AND(E23="SETUJU_USULAN",F23&lt;&gt;""),"HAPUS_KOREKSI",IF(H23="","ISI_KOREKSI",IF(NOT(OR(H23="FLOOD",H23="EARTHQUAKE",H23="FIRE",H23="ACCIDENT",H23="NON_EVENT")),"CEK_LABEL",IF(AND(E23="KOREKSI",TRIM(G23)=""),"ISI_CATATAN","REVIEW_TERCATAT"))))))))</x:f>
        <x:v>REVIEW_TERCATAT</x:v>
      </x:c>
      <x:c r="J23" s="4" t="str">
        <x:v>Label dataset dan prediksi baseline sama; makna MVP belum direview. Kesepakatan keduanya belum membuktikan label final.</x:v>
      </x:c>
      <x:c r="K23" s="4" t="str">
        <x:v>NON_EVENT</x:v>
      </x:c>
      <x:c r="L23" s="14" t="n">
        <x:v>0.7274627685546875</x:v>
      </x:c>
    </x:row>
    <x:row r="24" ht="64" customHeight="1">
      <x:c r="A24" s="4" t="str">
        <x:v>BAN-01420</x:v>
      </x:c>
      <x:c r="B24" s="4" t="str">
        <x:v>unggal hujan badag pasti banjir di cikutra barat matak ulah miceun runtah sembarangan</x:v>
      </x:c>
      <x:c r="C24" s="4" t="str">
        <x:v>NON_EVENT</x:v>
      </x:c>
      <x:c r="D24" s="4" t="str">
        <x:v>NON_EVENT</x:v>
      </x:c>
      <x:c r="E24" s="12" t="str">
        <x:v>SETUJU_USULAN</x:v>
      </x:c>
      <x:c r="F24" s="12" t="str"/>
      <x:c r="G24" s="12" t="str">
        <x:v>Pernyataan kebiasaan setiap hujan besar dan larangan membuang sampah, tanpa episode banjir tertentu. R3.</x:v>
      </x:c>
      <x:c r="H24" s="4" t="str">
        <x:f>IF(E24="SETUJU_USULAN",D24,IF(E24="KOREKSI",F24,""))</x:f>
        <x:v>NON_EVENT</x:v>
      </x:c>
      <x:c r="I24" s="4" t="str">
        <x:f>IF(E24="","BELUM_DIREVIEW",IF(E24="TUNDA","DITUNDA",IF(TRIM(Panduan!$B$5)="","ISI_REVIEWER",IF(AND(E24&lt;&gt;"SETUJU_USULAN",E24&lt;&gt;"KOREKSI"),"CEK_KEPUTUSAN",IF(AND(E24="SETUJU_USULAN",F24&lt;&gt;""),"HAPUS_KOREKSI",IF(H24="","ISI_KOREKSI",IF(NOT(OR(H24="FLOOD",H24="EARTHQUAKE",H24="FIRE",H24="ACCIDENT",H24="NON_EVENT")),"CEK_LABEL",IF(AND(E24="KOREKSI",TRIM(G24)=""),"ISI_CATATAN","REVIEW_TERCATAT"))))))))</x:f>
        <x:v>REVIEW_TERCATAT</x:v>
      </x:c>
      <x:c r="J24" s="4" t="str">
        <x:v>Label dataset dan prediksi baseline sama; makna MVP belum direview. Kesepakatan keduanya belum membuktikan label final.</x:v>
      </x:c>
      <x:c r="K24" s="4" t="str">
        <x:v>NON_EVENT</x:v>
      </x:c>
      <x:c r="L24" s="14" t="n">
        <x:v>0.7442535161972046</x:v>
      </x:c>
    </x:row>
    <x:row r="25" ht="64" customHeight="1">
      <x:c r="A25" s="4" t="str">
        <x:v>KEB-00379</x:v>
      </x:c>
      <x:c r="B25" s="4" t="str">
        <x:v>sulselketuasatuan tugas ( satgas ) himpunan pelajar mahasiswa bantaeng ( hpmb ) ikhsan menyikapi musibah kebakaran yang menimpa sepasang keluarga suniati dan maudu di dusun morowa , kecamatan bisappu , kabupaten bantaeng ,</x:v>
      </x:c>
      <x:c r="C25" s="4" t="str">
        <x:v>NON_EVENT</x:v>
      </x:c>
      <x:c r="D25" s="4" t="str">
        <x:v>NON_EVENT</x:v>
      </x:c>
      <x:c r="E25" s="12" t="str">
        <x:v>KOREKSI</x:v>
      </x:c>
      <x:c r="F25" s="12" t="str">
        <x:v>FIRE</x:v>
      </x:c>
      <x:c r="G25" s="12" t="str">
        <x:v>Musibah kebakaran dinyatakan menimpa keluarga Suniati dan Maudu di Dusun Morowa. Respons organisasi tidak meniadakan kejadian. R1,R5.</x:v>
      </x:c>
      <x:c r="H25" s="4" t="str">
        <x:f>IF(E25="SETUJU_USULAN",D25,IF(E25="KOREKSI",F25,""))</x:f>
        <x:v>FIRE</x:v>
      </x:c>
      <x:c r="I25" s="4" t="str">
        <x:f>IF(E25="","BELUM_DIREVIEW",IF(E25="TUNDA","DITUNDA",IF(TRIM(Panduan!$B$5)="","ISI_REVIEWER",IF(AND(E25&lt;&gt;"SETUJU_USULAN",E25&lt;&gt;"KOREKSI"),"CEK_KEPUTUSAN",IF(AND(E25="SETUJU_USULAN",F25&lt;&gt;""),"HAPUS_KOREKSI",IF(H25="","ISI_KOREKSI",IF(NOT(OR(H25="FLOOD",H25="EARTHQUAKE",H25="FIRE",H25="ACCIDENT",H25="NON_EVENT")),"CEK_LABEL",IF(AND(E25="KOREKSI",TRIM(G25)=""),"ISI_CATATAN","REVIEW_TERCATAT"))))))))</x:f>
        <x:v>REVIEW_TERCATAT</x:v>
      </x:c>
      <x:c r="J25" s="4" t="str">
        <x:v>Label dataset dan prediksi baseline sama; makna MVP belum direview. Kesepakatan keduanya belum membuktikan label final.</x:v>
      </x:c>
      <x:c r="K25" s="4" t="str">
        <x:v>NON_EVENT</x:v>
      </x:c>
      <x:c r="L25" s="14" t="n">
        <x:v>0.7604716420173645</x:v>
      </x:c>
    </x:row>
    <x:row r="26" ht="64" customHeight="1">
      <x:c r="A26" s="4" t="str">
        <x:v>BAN-01372</x:v>
      </x:c>
      <x:c r="B26" s="4" t="str">
        <x:v>australia utara dilanda banjir besar tenggelamkan rumah sekolah dan lapangan terbang memaksa penduduk townsville berpindah berita penuh di</x:v>
      </x:c>
      <x:c r="C26" s="4" t="str">
        <x:v>FLOOD</x:v>
      </x:c>
      <x:c r="D26" s="4" t="str">
        <x:v>FLOOD</x:v>
      </x:c>
      <x:c r="E26" s="12" t="str">
        <x:v>SETUJU_USULAN</x:v>
      </x:c>
      <x:c r="F26" s="12" t="str"/>
      <x:c r="G26" s="12" t="str">
        <x:v>Narasi menyatakan kejadian banjir yang terjadi atau telah terjadi. Label mengikuti isi kejadian, termasuk penanganan dan dampak yang disebut. R1,R4.</x:v>
      </x:c>
      <x:c r="H26" s="4" t="str">
        <x:f>IF(E26="SETUJU_USULAN",D26,IF(E26="KOREKSI",F26,""))</x:f>
        <x:v>FLOOD</x:v>
      </x:c>
      <x:c r="I26" s="4" t="str">
        <x:f>IF(E26="","BELUM_DIREVIEW",IF(E26="TUNDA","DITUNDA",IF(TRIM(Panduan!$B$5)="","ISI_REVIEWER",IF(AND(E26&lt;&gt;"SETUJU_USULAN",E26&lt;&gt;"KOREKSI"),"CEK_KEPUTUSAN",IF(AND(E26="SETUJU_USULAN",F26&lt;&gt;""),"HAPUS_KOREKSI",IF(H26="","ISI_KOREKSI",IF(NOT(OR(H26="FLOOD",H26="EARTHQUAKE",H26="FIRE",H26="ACCIDENT",H26="NON_EVENT")),"CEK_LABEL",IF(AND(E26="KOREKSI",TRIM(G26)=""),"ISI_CATATAN","REVIEW_TERCATAT"))))))))</x:f>
        <x:v>REVIEW_TERCATAT</x:v>
      </x:c>
      <x:c r="J26" s="4" t="str">
        <x:v>Label dataset dan prediksi baseline sama; makna MVP belum direview. Kesepakatan keduanya belum membuktikan label final.</x:v>
      </x:c>
      <x:c r="K26" s="4" t="str">
        <x:v>FLOOD</x:v>
      </x:c>
      <x:c r="L26" s="14" t="n">
        <x:v>0.7713891863822937</x:v>
      </x:c>
    </x:row>
    <x:row r="27" ht="64" customHeight="1">
      <x:c r="A27" s="4" t="str">
        <x:v>KEC-00286</x:v>
      </x:c>
      <x:c r="B27" s="4" t="str">
        <x:v>619 imbas kecelakaan di pintu keluar kemayoran bagaimana ya ? ? ? info dongmakasih banyak</x:v>
      </x:c>
      <x:c r="C27" s="4" t="str">
        <x:v>NON_EVENT</x:v>
      </x:c>
      <x:c r="D27" s="4" t="str">
        <x:v>NON_EVENT</x:v>
      </x:c>
      <x:c r="E27" s="12" t="str">
        <x:v>KOREKSI</x:v>
      </x:c>
      <x:c r="F27" s="12" t="str">
        <x:v>ACCIDENT</x:v>
      </x:c>
      <x:c r="G27" s="12" t="str">
        <x:v>Pertanyaan mengenai imbas merujuk kecelakaan di pintu keluar Kemayoran. Yang diminta ialah informasi dampak, bukan kepastian bahwa kejadian tidak ada. R1,R4.</x:v>
      </x:c>
      <x:c r="H27" s="4" t="str">
        <x:f>IF(E27="SETUJU_USULAN",D27,IF(E27="KOREKSI",F27,""))</x:f>
        <x:v>ACCIDENT</x:v>
      </x:c>
      <x:c r="I27" s="4" t="str">
        <x:f>IF(E27="","BELUM_DIREVIEW",IF(E27="TUNDA","DITUNDA",IF(TRIM(Panduan!$B$5)="","ISI_REVIEWER",IF(AND(E27&lt;&gt;"SETUJU_USULAN",E27&lt;&gt;"KOREKSI"),"CEK_KEPUTUSAN",IF(AND(E27="SETUJU_USULAN",F27&lt;&gt;""),"HAPUS_KOREKSI",IF(H27="","ISI_KOREKSI",IF(NOT(OR(H27="FLOOD",H27="EARTHQUAKE",H27="FIRE",H27="ACCIDENT",H27="NON_EVENT")),"CEK_LABEL",IF(AND(E27="KOREKSI",TRIM(G27)=""),"ISI_CATATAN","REVIEW_TERCATAT"))))))))</x:f>
        <x:v>REVIEW_TERCATAT</x:v>
      </x:c>
      <x:c r="J27" s="4" t="str">
        <x:v>Label dataset dan prediksi baseline sama; makna MVP belum direview. Kesepakatan keduanya belum membuktikan label final.</x:v>
      </x:c>
      <x:c r="K27" s="4" t="str">
        <x:v>NON_EVENT</x:v>
      </x:c>
      <x:c r="L27" s="14" t="n">
        <x:v>0.7759110331535339</x:v>
      </x:c>
    </x:row>
    <x:row r="28" ht="66" customHeight="1">
      <x:c r="A28" s="4" t="str">
        <x:v>BAN-01168</x:v>
      </x:c>
      <x:c r="B28" s="4" t="str">
        <x:v>selamat pagi februari 2007 terjadi banjir besar di jakarta teman nyang rumahnya di kebon jeruk ngeli nginep di salah satu hotel di jalan sudirman salah satu maksudnya menghindari mobilnya kena banjir mobilnya justru tenggelam di basement hotel tersebut</x:v>
      </x:c>
      <x:c r="C28" s="4" t="str">
        <x:v>NON_EVENT</x:v>
      </x:c>
      <x:c r="D28" s="4" t="str">
        <x:v>NON_EVENT</x:v>
      </x:c>
      <x:c r="E28" s="12" t="str">
        <x:v>KOREKSI</x:v>
      </x:c>
      <x:c r="F28" s="12" t="str">
        <x:v>FLOOD</x:v>
      </x:c>
      <x:c r="G28" s="12" t="str">
        <x:v>Teks menyatakan banjir besar Jakarta pada Februari 2007 dan mobil tenggelam di basement. Narasi historis tetap dinilai sebagai kejadian. R1,R6.</x:v>
      </x:c>
      <x:c r="H28" s="4" t="str">
        <x:f>IF(E28="SETUJU_USULAN",D28,IF(E28="KOREKSI",F28,""))</x:f>
        <x:v>FLOOD</x:v>
      </x:c>
      <x:c r="I28" s="4" t="str">
        <x:f>IF(E28="","BELUM_DIREVIEW",IF(E28="TUNDA","DITUNDA",IF(TRIM(Panduan!$B$5)="","ISI_REVIEWER",IF(AND(E28&lt;&gt;"SETUJU_USULAN",E28&lt;&gt;"KOREKSI"),"CEK_KEPUTUSAN",IF(AND(E28="SETUJU_USULAN",F28&lt;&gt;""),"HAPUS_KOREKSI",IF(H28="","ISI_KOREKSI",IF(NOT(OR(H28="FLOOD",H28="EARTHQUAKE",H28="FIRE",H28="ACCIDENT",H28="NON_EVENT")),"CEK_LABEL",IF(AND(E28="KOREKSI",TRIM(G28)=""),"ISI_CATATAN","REVIEW_TERCATAT"))))))))</x:f>
        <x:v>REVIEW_TERCATAT</x:v>
      </x:c>
      <x:c r="J28" s="4" t="str">
        <x:v>Label dataset dan prediksi baseline sama; makna MVP belum direview. Kesepakatan keduanya belum membuktikan label final.</x:v>
      </x:c>
      <x:c r="K28" s="4" t="str">
        <x:v>NON_EVENT</x:v>
      </x:c>
      <x:c r="L28" s="14" t="n">
        <x:v>0.7882909774780273</x:v>
      </x:c>
    </x:row>
    <x:row r="29" ht="64" customHeight="1">
      <x:c r="A29" s="4" t="str">
        <x:v>BAN-01783</x:v>
      </x:c>
      <x:c r="B29" s="4" t="str">
        <x:v>salam sehat berikut adalah informasi kejadian banjir dan tanah longsor yang terjadi di provinsi bengkulu</x:v>
      </x:c>
      <x:c r="C29" s="4" t="str">
        <x:v>NON_EVENT</x:v>
      </x:c>
      <x:c r="D29" s="4" t="str">
        <x:v>NON_EVENT</x:v>
      </x:c>
      <x:c r="E29" s="12" t="str">
        <x:v>KOREKSI</x:v>
      </x:c>
      <x:c r="F29" s="12" t="str">
        <x:v>FLOOD</x:v>
      </x:c>
      <x:c r="G29" s="12" t="str">
        <x:v>Informasi secara eksplisit menyebut banjir dan longsor yang terjadi di Bengkulu. Banjir termasuk kategori MVP. R1,R5.</x:v>
      </x:c>
      <x:c r="H29" s="4" t="str">
        <x:f>IF(E29="SETUJU_USULAN",D29,IF(E29="KOREKSI",F29,""))</x:f>
        <x:v>FLOOD</x:v>
      </x:c>
      <x:c r="I29" s="4" t="str">
        <x:f>IF(E29="","BELUM_DIREVIEW",IF(E29="TUNDA","DITUNDA",IF(TRIM(Panduan!$B$5)="","ISI_REVIEWER",IF(AND(E29&lt;&gt;"SETUJU_USULAN",E29&lt;&gt;"KOREKSI"),"CEK_KEPUTUSAN",IF(AND(E29="SETUJU_USULAN",F29&lt;&gt;""),"HAPUS_KOREKSI",IF(H29="","ISI_KOREKSI",IF(NOT(OR(H29="FLOOD",H29="EARTHQUAKE",H29="FIRE",H29="ACCIDENT",H29="NON_EVENT")),"CEK_LABEL",IF(AND(E29="KOREKSI",TRIM(G29)=""),"ISI_CATATAN","REVIEW_TERCATAT"))))))))</x:f>
        <x:v>REVIEW_TERCATAT</x:v>
      </x:c>
      <x:c r="J29" s="4" t="str">
        <x:v>Label dataset dan prediksi baseline sama; makna MVP belum direview. Kesepakatan keduanya belum membuktikan label final.</x:v>
      </x:c>
      <x:c r="K29" s="4" t="str">
        <x:v>NON_EVENT</x:v>
      </x:c>
      <x:c r="L29" s="14" t="n">
        <x:v>0.7976966500282288</x:v>
      </x:c>
    </x:row>
    <x:row r="30" ht="66" customHeight="1">
      <x:c r="A30" s="4" t="str">
        <x:v>BAN-01324</x:v>
      </x:c>
      <x:c r="B30" s="4" t="str">
        <x:v>hujan lebat yang mengguyur makassar mengakibatkan banjir di berbagai daerah di sana dan banyak warga yang mengungsi di beberapa titik pengungsian karena rumah mereka terendam banjir untuk saat ini bantuan sangat di butuhkan baik tim medis maupun ban</x:v>
      </x:c>
      <x:c r="C30" s="4" t="str">
        <x:v>FLOOD</x:v>
      </x:c>
      <x:c r="D30" s="4" t="str">
        <x:v>FLOOD</x:v>
      </x:c>
      <x:c r="E30" s="12" t="str">
        <x:v>SETUJU_USULAN</x:v>
      </x:c>
      <x:c r="F30" s="12" t="str"/>
      <x:c r="G30" s="12" t="str">
        <x:v>Narasi menyatakan kejadian banjir yang terjadi atau telah terjadi. Label mengikuti isi kejadian, termasuk penanganan dan dampak yang disebut. R1,R4.</x:v>
      </x:c>
      <x:c r="H30" s="4" t="str">
        <x:f>IF(E30="SETUJU_USULAN",D30,IF(E30="KOREKSI",F30,""))</x:f>
        <x:v>FLOOD</x:v>
      </x:c>
      <x:c r="I30" s="4" t="str">
        <x:f>IF(E30="","BELUM_DIREVIEW",IF(E30="TUNDA","DITUNDA",IF(TRIM(Panduan!$B$5)="","ISI_REVIEWER",IF(AND(E30&lt;&gt;"SETUJU_USULAN",E30&lt;&gt;"KOREKSI"),"CEK_KEPUTUSAN",IF(AND(E30="SETUJU_USULAN",F30&lt;&gt;""),"HAPUS_KOREKSI",IF(H30="","ISI_KOREKSI",IF(NOT(OR(H30="FLOOD",H30="EARTHQUAKE",H30="FIRE",H30="ACCIDENT",H30="NON_EVENT")),"CEK_LABEL",IF(AND(E30="KOREKSI",TRIM(G30)=""),"ISI_CATATAN","REVIEW_TERCATAT"))))))))</x:f>
        <x:v>REVIEW_TERCATAT</x:v>
      </x:c>
      <x:c r="J30" s="4" t="str">
        <x:v>Label dataset dan prediksi baseline sama; makna MVP belum direview. Kesepakatan keduanya belum membuktikan label final.</x:v>
      </x:c>
      <x:c r="K30" s="4" t="str">
        <x:v>FLOOD</x:v>
      </x:c>
      <x:c r="L30" s="14" t="n">
        <x:v>0.8001882433891296</x:v>
      </x:c>
    </x:row>
    <x:row r="31" ht="64" customHeight="1">
      <x:c r="A31" s="4" t="str">
        <x:v>BAN-01448</x:v>
      </x:c>
      <x:c r="B31" s="4" t="str">
        <x:v>banjir lumpur di cilumuh bukan karena ada penembangan pohon di perhutani via</x:v>
      </x:c>
      <x:c r="C31" s="4" t="str">
        <x:v>NON_EVENT</x:v>
      </x:c>
      <x:c r="D31" s="4" t="str">
        <x:v>NON_EVENT</x:v>
      </x:c>
      <x:c r="E31" s="12" t="str">
        <x:v>KOREKSI</x:v>
      </x:c>
      <x:c r="F31" s="12" t="str">
        <x:v>FLOOD</x:v>
      </x:c>
      <x:c r="G31" s="12" t="str">
        <x:v>Kalimat menyebut banjir lumpur di Cilumuh. Negasi hanya menolak penebangan pohon sebagai penyebab, bukan kejadian banjir. R1,R2.</x:v>
      </x:c>
      <x:c r="H31" s="4" t="str">
        <x:f>IF(E31="SETUJU_USULAN",D31,IF(E31="KOREKSI",F31,""))</x:f>
        <x:v>FLOOD</x:v>
      </x:c>
      <x:c r="I31" s="4" t="str">
        <x:f>IF(E31="","BELUM_DIREVIEW",IF(E31="TUNDA","DITUNDA",IF(TRIM(Panduan!$B$5)="","ISI_REVIEWER",IF(AND(E31&lt;&gt;"SETUJU_USULAN",E31&lt;&gt;"KOREKSI"),"CEK_KEPUTUSAN",IF(AND(E31="SETUJU_USULAN",F31&lt;&gt;""),"HAPUS_KOREKSI",IF(H31="","ISI_KOREKSI",IF(NOT(OR(H31="FLOOD",H31="EARTHQUAKE",H31="FIRE",H31="ACCIDENT",H31="NON_EVENT")),"CEK_LABEL",IF(AND(E31="KOREKSI",TRIM(G31)=""),"ISI_CATATAN","REVIEW_TERCATAT"))))))))</x:f>
        <x:v>REVIEW_TERCATAT</x:v>
      </x:c>
      <x:c r="J31" s="4" t="str">
        <x:v>Label dataset dan prediksi baseline sama; makna MVP belum direview. Kesepakatan keduanya belum membuktikan label final.</x:v>
      </x:c>
      <x:c r="K31" s="4" t="str">
        <x:v>NON_EVENT</x:v>
      </x:c>
      <x:c r="L31" s="14" t="n">
        <x:v>0.8059493899345398</x:v>
      </x:c>
    </x:row>
    <x:row r="32" ht="66" customHeight="1">
      <x:c r="A32" s="4" t="str">
        <x:v>KEB-00739</x:v>
      </x:c>
      <x:c r="B32" s="4" t="str">
        <x:v>si tambahan untuk wilayah pekanbaru sedang terjadi gangguan yang disebabkan karena ada nya kebakaran di sto pekanbaru , dan tadi sempat terjadi gangguan nasional beberapa saat , namun kami dapat informasikan layanan mulai kembali normal . terima kasih - arvi ( 2/2 )</x:v>
      </x:c>
      <x:c r="C32" s="4" t="str">
        <x:v>NON_EVENT</x:v>
      </x:c>
      <x:c r="D32" s="4" t="str">
        <x:v>NON_EVENT</x:v>
      </x:c>
      <x:c r="E32" s="12" t="str">
        <x:v>KOREKSI</x:v>
      </x:c>
      <x:c r="F32" s="12" t="str">
        <x:v>FIRE</x:v>
      </x:c>
      <x:c r="G32" s="12" t="str">
        <x:v>Gangguan jaringan dinyatakan disebabkan kebakaran STO Pekanbaru. Pemulihan layanan tidak menyangkal kebakaran. R1,R2,R5.</x:v>
      </x:c>
      <x:c r="H32" s="4" t="str">
        <x:f>IF(E32="SETUJU_USULAN",D32,IF(E32="KOREKSI",F32,""))</x:f>
        <x:v>FIRE</x:v>
      </x:c>
      <x:c r="I32" s="4" t="str">
        <x:f>IF(E32="","BELUM_DIREVIEW",IF(E32="TUNDA","DITUNDA",IF(TRIM(Panduan!$B$5)="","ISI_REVIEWER",IF(AND(E32&lt;&gt;"SETUJU_USULAN",E32&lt;&gt;"KOREKSI"),"CEK_KEPUTUSAN",IF(AND(E32="SETUJU_USULAN",F32&lt;&gt;""),"HAPUS_KOREKSI",IF(H32="","ISI_KOREKSI",IF(NOT(OR(H32="FLOOD",H32="EARTHQUAKE",H32="FIRE",H32="ACCIDENT",H32="NON_EVENT")),"CEK_LABEL",IF(AND(E32="KOREKSI",TRIM(G32)=""),"ISI_CATATAN","REVIEW_TERCATAT"))))))))</x:f>
        <x:v>REVIEW_TERCATAT</x:v>
      </x:c>
      <x:c r="J32" s="4" t="str">
        <x:v>Label dataset dan prediksi baseline sama; makna MVP belum direview. Kesepakatan keduanya belum membuktikan label final.</x:v>
      </x:c>
      <x:c r="K32" s="4" t="str">
        <x:v>NON_EVENT</x:v>
      </x:c>
      <x:c r="L32" s="14" t="n">
        <x:v>0.8111050128936768</x:v>
      </x:c>
    </x:row>
    <x:row r="33" ht="64" customHeight="1">
      <x:c r="A33" s="4" t="str">
        <x:v>BAN-01006</x:v>
      </x:c>
      <x:c r="B33" s="4" t="str">
        <x:v>antisipasi banjir malam-malam anies sidak di cipinang melayu</x:v>
      </x:c>
      <x:c r="C33" s="4" t="str">
        <x:v>NON_EVENT</x:v>
      </x:c>
      <x:c r="D33" s="4" t="str">
        <x:v>NON_EVENT</x:v>
      </x:c>
      <x:c r="E33" s="12" t="str">
        <x:v>SETUJU_USULAN</x:v>
      </x:c>
      <x:c r="F33" s="12" t="str"/>
      <x:c r="G33" s="12" t="str">
        <x:v>Sidak dilakukan untuk antisipasi banjir. Tidak ada klaim banjir sudah terjadi. R3.</x:v>
      </x:c>
      <x:c r="H33" s="4" t="str">
        <x:f>IF(E33="SETUJU_USULAN",D33,IF(E33="KOREKSI",F33,""))</x:f>
        <x:v>NON_EVENT</x:v>
      </x:c>
      <x:c r="I33" s="4" t="str">
        <x:f>IF(E33="","BELUM_DIREVIEW",IF(E33="TUNDA","DITUNDA",IF(TRIM(Panduan!$B$5)="","ISI_REVIEWER",IF(AND(E33&lt;&gt;"SETUJU_USULAN",E33&lt;&gt;"KOREKSI"),"CEK_KEPUTUSAN",IF(AND(E33="SETUJU_USULAN",F33&lt;&gt;""),"HAPUS_KOREKSI",IF(H33="","ISI_KOREKSI",IF(NOT(OR(H33="FLOOD",H33="EARTHQUAKE",H33="FIRE",H33="ACCIDENT",H33="NON_EVENT")),"CEK_LABEL",IF(AND(E33="KOREKSI",TRIM(G33)=""),"ISI_CATATAN","REVIEW_TERCATAT"))))))))</x:f>
        <x:v>REVIEW_TERCATAT</x:v>
      </x:c>
      <x:c r="J33" s="4" t="str">
        <x:v>Label dataset dan prediksi baseline sama; makna MVP belum direview. Kesepakatan keduanya belum membuktikan label final.</x:v>
      </x:c>
      <x:c r="K33" s="4" t="str">
        <x:v>NON_EVENT</x:v>
      </x:c>
      <x:c r="L33" s="14" t="n">
        <x:v>0.8126646280288696</x:v>
      </x:c>
    </x:row>
    <x:row r="34" ht="64" customHeight="1">
      <x:c r="A34" s="4" t="str">
        <x:v>BAN-01484</x:v>
      </x:c>
      <x:c r="B34" s="4" t="str">
        <x:v>sebuah video menegangkan viral saat sebuah bus menerobos banjir yang terjadi di kawasan jalan tol ngawi jawa timur video tersebut diambil oleh salah satu penumpang bus tersebut dalam</x:v>
      </x:c>
      <x:c r="C34" s="4" t="str">
        <x:v>NON_EVENT</x:v>
      </x:c>
      <x:c r="D34" s="4" t="str">
        <x:v>NON_EVENT</x:v>
      </x:c>
      <x:c r="E34" s="12" t="str">
        <x:v>KOREKSI</x:v>
      </x:c>
      <x:c r="F34" s="12" t="str">
        <x:v>FLOOD</x:v>
      </x:c>
      <x:c r="G34" s="12" t="str">
        <x:v>Teks video menyatakan bus menerobos banjir yang terjadi di Tol Ngawi. Label mengikuti klaim tekstual tanpa menilai media. R1,R5.</x:v>
      </x:c>
      <x:c r="H34" s="4" t="str">
        <x:f>IF(E34="SETUJU_USULAN",D34,IF(E34="KOREKSI",F34,""))</x:f>
        <x:v>FLOOD</x:v>
      </x:c>
      <x:c r="I34" s="4" t="str">
        <x:f>IF(E34="","BELUM_DIREVIEW",IF(E34="TUNDA","DITUNDA",IF(TRIM(Panduan!$B$5)="","ISI_REVIEWER",IF(AND(E34&lt;&gt;"SETUJU_USULAN",E34&lt;&gt;"KOREKSI"),"CEK_KEPUTUSAN",IF(AND(E34="SETUJU_USULAN",F34&lt;&gt;""),"HAPUS_KOREKSI",IF(H34="","ISI_KOREKSI",IF(NOT(OR(H34="FLOOD",H34="EARTHQUAKE",H34="FIRE",H34="ACCIDENT",H34="NON_EVENT")),"CEK_LABEL",IF(AND(E34="KOREKSI",TRIM(G34)=""),"ISI_CATATAN","REVIEW_TERCATAT"))))))))</x:f>
        <x:v>REVIEW_TERCATAT</x:v>
      </x:c>
      <x:c r="J34" s="4" t="str">
        <x:v>Label dataset dan prediksi baseline sama; makna MVP belum direview. Kesepakatan keduanya belum membuktikan label final.</x:v>
      </x:c>
      <x:c r="K34" s="4" t="str">
        <x:v>NON_EVENT</x:v>
      </x:c>
      <x:c r="L34" s="14" t="n">
        <x:v>0.8180267810821533</x:v>
      </x:c>
    </x:row>
    <x:row r="35" ht="64" customHeight="1">
      <x:c r="A35" s="4" t="str">
        <x:v>KEC-01414</x:v>
      </x:c>
      <x:c r="B35" s="4" t="str">
        <x:v>innalillahiwainnalillahi rhojiun kecelakaan speedboad kembali terjadi di kaltara semoga para korban meninggal dunia mendapat terbaik disisi-nya tapi bagaimana bisa sih speedboat ini</x:v>
      </x:c>
      <x:c r="C35" s="4" t="str">
        <x:v>NON_EVENT</x:v>
      </x:c>
      <x:c r="D35" s="4" t="str">
        <x:v>NON_EVENT</x:v>
      </x:c>
      <x:c r="E35" s="12" t="str">
        <x:v>KOREKSI</x:v>
      </x:c>
      <x:c r="F35" s="12" t="str">
        <x:v>ACCIDENT</x:v>
      </x:c>
      <x:c r="G35" s="12" t="str">
        <x:v>Kecelakaan speedboat di Kaltara dinyatakan terjadi dan menimbulkan korban meninggal. ACCIDENT tidak terbatas pada jalan raya. R1,R4,R5.</x:v>
      </x:c>
      <x:c r="H35" s="4" t="str">
        <x:f>IF(E35="SETUJU_USULAN",D35,IF(E35="KOREKSI",F35,""))</x:f>
        <x:v>ACCIDENT</x:v>
      </x:c>
      <x:c r="I35" s="4" t="str">
        <x:f>IF(E35="","BELUM_DIREVIEW",IF(E35="TUNDA","DITUNDA",IF(TRIM(Panduan!$B$5)="","ISI_REVIEWER",IF(AND(E35&lt;&gt;"SETUJU_USULAN",E35&lt;&gt;"KOREKSI"),"CEK_KEPUTUSAN",IF(AND(E35="SETUJU_USULAN",F35&lt;&gt;""),"HAPUS_KOREKSI",IF(H35="","ISI_KOREKSI",IF(NOT(OR(H35="FLOOD",H35="EARTHQUAKE",H35="FIRE",H35="ACCIDENT",H35="NON_EVENT")),"CEK_LABEL",IF(AND(E35="KOREKSI",TRIM(G35)=""),"ISI_CATATAN","REVIEW_TERCATAT"))))))))</x:f>
        <x:v>REVIEW_TERCATAT</x:v>
      </x:c>
      <x:c r="J35" s="4" t="str">
        <x:v>Label dataset dan prediksi baseline sama; makna MVP belum direview. Kesepakatan keduanya belum membuktikan label final.</x:v>
      </x:c>
      <x:c r="K35" s="4" t="str">
        <x:v>NON_EVENT</x:v>
      </x:c>
      <x:c r="L35" s="14" t="n">
        <x:v>0.8203564882278442</x:v>
      </x:c>
    </x:row>
    <x:row r="36" ht="64" customHeight="1">
      <x:c r="A36" s="4" t="str">
        <x:v>KEB-00264</x:v>
      </x:c>
      <x:c r="B36" s="4" t="str">
        <x:v>1 . kebakaran hutan dan lahan ( ) saat ini sudah mulai dilakukan penanggulangan dan pencegahan nya oleh tim manggala agni klhk , tni dan polri di daerah riau . via</x:v>
      </x:c>
      <x:c r="C36" s="4" t="str">
        <x:v>NON_EVENT</x:v>
      </x:c>
      <x:c r="D36" s="4" t="str">
        <x:v>NON_EVENT</x:v>
      </x:c>
      <x:c r="E36" s="12" t="str">
        <x:v>KOREKSI</x:v>
      </x:c>
      <x:c r="F36" s="12" t="str">
        <x:v>FIRE</x:v>
      </x:c>
      <x:c r="G36" s="12" t="str">
        <x:v>Penanggulangan karhutla di Riau dinyatakan sudah dimulai saat ini. Penyebutan pencegahan bersama penanggulangan tidak menghapus rujukan kejadian. R1,R5.</x:v>
      </x:c>
      <x:c r="H36" s="4" t="str">
        <x:f>IF(E36="SETUJU_USULAN",D36,IF(E36="KOREKSI",F36,""))</x:f>
        <x:v>FIRE</x:v>
      </x:c>
      <x:c r="I36" s="4" t="str">
        <x:f>IF(E36="","BELUM_DIREVIEW",IF(E36="TUNDA","DITUNDA",IF(TRIM(Panduan!$B$5)="","ISI_REVIEWER",IF(AND(E36&lt;&gt;"SETUJU_USULAN",E36&lt;&gt;"KOREKSI"),"CEK_KEPUTUSAN",IF(AND(E36="SETUJU_USULAN",F36&lt;&gt;""),"HAPUS_KOREKSI",IF(H36="","ISI_KOREKSI",IF(NOT(OR(H36="FLOOD",H36="EARTHQUAKE",H36="FIRE",H36="ACCIDENT",H36="NON_EVENT")),"CEK_LABEL",IF(AND(E36="KOREKSI",TRIM(G36)=""),"ISI_CATATAN","REVIEW_TERCATAT"))))))))</x:f>
        <x:v>REVIEW_TERCATAT</x:v>
      </x:c>
      <x:c r="J36" s="4" t="str">
        <x:v>Label dataset dan prediksi baseline sama; makna MVP belum direview. Kesepakatan keduanya belum membuktikan label final.</x:v>
      </x:c>
      <x:c r="K36" s="4" t="str">
        <x:v>NON_EVENT</x:v>
      </x:c>
      <x:c r="L36" s="14" t="n">
        <x:v>0.8222018480300903</x:v>
      </x:c>
    </x:row>
    <x:row r="37" ht="66" customHeight="1">
      <x:c r="A37" s="4" t="str">
        <x:v>BAN-01541</x:v>
      </x:c>
      <x:c r="B37" s="4" t="str">
        <x:v>curah hujan pada akhir pekan lalu membuat dua wilayah indonesia yakni sentani papua dan yogyakarta jateng dilanda banjir dan juga longsor di kawasan sentani sendiri tercatat sudah ada 72 orang meninggal akibat bencana ini tonton selengkapnya di video ini</x:v>
      </x:c>
      <x:c r="C37" s="4" t="str">
        <x:v>FLOOD</x:v>
      </x:c>
      <x:c r="D37" s="4" t="str">
        <x:v>FLOOD</x:v>
      </x:c>
      <x:c r="E37" s="12" t="str">
        <x:v>SETUJU_USULAN</x:v>
      </x:c>
      <x:c r="F37" s="12" t="str"/>
      <x:c r="G37" s="12" t="str">
        <x:v>Narasi menyatakan kejadian banjir yang terjadi atau telah terjadi. Label mengikuti isi kejadian, termasuk penanganan dan dampak yang disebut. R1,R4.</x:v>
      </x:c>
      <x:c r="H37" s="4" t="str">
        <x:f>IF(E37="SETUJU_USULAN",D37,IF(E37="KOREKSI",F37,""))</x:f>
        <x:v>FLOOD</x:v>
      </x:c>
      <x:c r="I37" s="4" t="str">
        <x:f>IF(E37="","BELUM_DIREVIEW",IF(E37="TUNDA","DITUNDA",IF(TRIM(Panduan!$B$5)="","ISI_REVIEWER",IF(AND(E37&lt;&gt;"SETUJU_USULAN",E37&lt;&gt;"KOREKSI"),"CEK_KEPUTUSAN",IF(AND(E37="SETUJU_USULAN",F37&lt;&gt;""),"HAPUS_KOREKSI",IF(H37="","ISI_KOREKSI",IF(NOT(OR(H37="FLOOD",H37="EARTHQUAKE",H37="FIRE",H37="ACCIDENT",H37="NON_EVENT")),"CEK_LABEL",IF(AND(E37="KOREKSI",TRIM(G37)=""),"ISI_CATATAN","REVIEW_TERCATAT"))))))))</x:f>
        <x:v>REVIEW_TERCATAT</x:v>
      </x:c>
      <x:c r="J37" s="4" t="str">
        <x:v>Label dataset dan prediksi baseline sama; makna MVP belum direview. Kesepakatan keduanya belum membuktikan label final.</x:v>
      </x:c>
      <x:c r="K37" s="4" t="str">
        <x:v>FLOOD</x:v>
      </x:c>
      <x:c r="L37" s="14" t="n">
        <x:v>0.8257308006286621</x:v>
      </x:c>
    </x:row>
    <x:row r="38" ht="64" customHeight="1">
      <x:c r="A38" s="4" t="str">
        <x:v>BAN-01849</x:v>
      </x:c>
      <x:c r="B38" s="4" t="str">
        <x:v>terpantau banjir di kawasan puskib gunung kawi dan karang jati sekitar jam 150 wita hati-hati buat yang melintas untuk sementara daerah gunung kawi beberapa kendaraan putar balik</x:v>
      </x:c>
      <x:c r="C38" s="4" t="str">
        <x:v>FLOOD</x:v>
      </x:c>
      <x:c r="D38" s="4" t="str">
        <x:v>FLOOD</x:v>
      </x:c>
      <x:c r="E38" s="12" t="str">
        <x:v>SETUJU_USULAN</x:v>
      </x:c>
      <x:c r="F38" s="12" t="str"/>
      <x:c r="G38" s="12" t="str">
        <x:v>Narasi menyatakan kejadian banjir yang terjadi atau telah terjadi. Label mengikuti isi kejadian, termasuk penanganan dan dampak yang disebut. R1,R4.</x:v>
      </x:c>
      <x:c r="H38" s="4" t="str">
        <x:f>IF(E38="SETUJU_USULAN",D38,IF(E38="KOREKSI",F38,""))</x:f>
        <x:v>FLOOD</x:v>
      </x:c>
      <x:c r="I38" s="4" t="str">
        <x:f>IF(E38="","BELUM_DIREVIEW",IF(E38="TUNDA","DITUNDA",IF(TRIM(Panduan!$B$5)="","ISI_REVIEWER",IF(AND(E38&lt;&gt;"SETUJU_USULAN",E38&lt;&gt;"KOREKSI"),"CEK_KEPUTUSAN",IF(AND(E38="SETUJU_USULAN",F38&lt;&gt;""),"HAPUS_KOREKSI",IF(H38="","ISI_KOREKSI",IF(NOT(OR(H38="FLOOD",H38="EARTHQUAKE",H38="FIRE",H38="ACCIDENT",H38="NON_EVENT")),"CEK_LABEL",IF(AND(E38="KOREKSI",TRIM(G38)=""),"ISI_CATATAN","REVIEW_TERCATAT"))))))))</x:f>
        <x:v>REVIEW_TERCATAT</x:v>
      </x:c>
      <x:c r="J38" s="4" t="str">
        <x:v>Label dataset dan prediksi baseline sama; makna MVP belum direview. Kesepakatan keduanya belum membuktikan label final.</x:v>
      </x:c>
      <x:c r="K38" s="4" t="str">
        <x:v>FLOOD</x:v>
      </x:c>
      <x:c r="L38" s="14" t="n">
        <x:v>0.8337336182594299</x:v>
      </x:c>
    </x:row>
    <x:row r="39" ht="64" customHeight="1">
      <x:c r="A39" s="4" t="str">
        <x:v>BAN-01791</x:v>
      </x:c>
      <x:c r="B39" s="4" t="str">
        <x:v>tim sterilisasi sumber air siang tadi membersihkan sumur warga terdampak banjir di desa genting kecamatan bang haji bengkulu tengah</x:v>
      </x:c>
      <x:c r="C39" s="4" t="str">
        <x:v>NON_EVENT</x:v>
      </x:c>
      <x:c r="D39" s="4" t="str">
        <x:v>NON_EVENT</x:v>
      </x:c>
      <x:c r="E39" s="12" t="str">
        <x:v>KOREKSI</x:v>
      </x:c>
      <x:c r="F39" s="12" t="str">
        <x:v>FLOOD</x:v>
      </x:c>
      <x:c r="G39" s="12" t="str">
        <x:v>Pembersihan sumur warga terdampak banjir di Desa Genting merujuk dampak banjir tertentu. Aktivitas lanjutan tetap termasuk. R1,R5.</x:v>
      </x:c>
      <x:c r="H39" s="4" t="str">
        <x:f>IF(E39="SETUJU_USULAN",D39,IF(E39="KOREKSI",F39,""))</x:f>
        <x:v>FLOOD</x:v>
      </x:c>
      <x:c r="I39" s="4" t="str">
        <x:f>IF(E39="","BELUM_DIREVIEW",IF(E39="TUNDA","DITUNDA",IF(TRIM(Panduan!$B$5)="","ISI_REVIEWER",IF(AND(E39&lt;&gt;"SETUJU_USULAN",E39&lt;&gt;"KOREKSI"),"CEK_KEPUTUSAN",IF(AND(E39="SETUJU_USULAN",F39&lt;&gt;""),"HAPUS_KOREKSI",IF(H39="","ISI_KOREKSI",IF(NOT(OR(H39="FLOOD",H39="EARTHQUAKE",H39="FIRE",H39="ACCIDENT",H39="NON_EVENT")),"CEK_LABEL",IF(AND(E39="KOREKSI",TRIM(G39)=""),"ISI_CATATAN","REVIEW_TERCATAT"))))))))</x:f>
        <x:v>REVIEW_TERCATAT</x:v>
      </x:c>
      <x:c r="J39" s="4" t="str">
        <x:v>Label dataset dan prediksi baseline sama; makna MVP belum direview. Kesepakatan keduanya belum membuktikan label final.</x:v>
      </x:c>
      <x:c r="K39" s="4" t="str">
        <x:v>NON_EVENT</x:v>
      </x:c>
      <x:c r="L39" s="14" t="n">
        <x:v>0.8376830816268921</x:v>
      </x:c>
    </x:row>
    <x:row r="40" ht="64" customHeight="1">
      <x:c r="A40" s="4" t="str">
        <x:v>BAN-01669</x:v>
      </x:c>
      <x:c r="B40" s="4" t="str">
        <x:v>kondisi warga korban banjir di pagirikan malam ini yang harus tidur ditenda | info dari tim syuja</x:v>
      </x:c>
      <x:c r="C40" s="4" t="str">
        <x:v>NON_EVENT</x:v>
      </x:c>
      <x:c r="D40" s="4" t="str">
        <x:v>NON_EVENT</x:v>
      </x:c>
      <x:c r="E40" s="12" t="str">
        <x:v>KOREKSI</x:v>
      </x:c>
      <x:c r="F40" s="12" t="str">
        <x:v>FLOOD</x:v>
      </x:c>
      <x:c r="G40" s="12" t="str">
        <x:v>Warga disebut sebagai korban banjir Pagirikan yang tidur di tenda malam ini. Kondisi pengungsian merujuk kejadian konkret. R1,R5.</x:v>
      </x:c>
      <x:c r="H40" s="4" t="str">
        <x:f>IF(E40="SETUJU_USULAN",D40,IF(E40="KOREKSI",F40,""))</x:f>
        <x:v>FLOOD</x:v>
      </x:c>
      <x:c r="I40" s="4" t="str">
        <x:f>IF(E40="","BELUM_DIREVIEW",IF(E40="TUNDA","DITUNDA",IF(TRIM(Panduan!$B$5)="","ISI_REVIEWER",IF(AND(E40&lt;&gt;"SETUJU_USULAN",E40&lt;&gt;"KOREKSI"),"CEK_KEPUTUSAN",IF(AND(E40="SETUJU_USULAN",F40&lt;&gt;""),"HAPUS_KOREKSI",IF(H40="","ISI_KOREKSI",IF(NOT(OR(H40="FLOOD",H40="EARTHQUAKE",H40="FIRE",H40="ACCIDENT",H40="NON_EVENT")),"CEK_LABEL",IF(AND(E40="KOREKSI",TRIM(G40)=""),"ISI_CATATAN","REVIEW_TERCATAT"))))))))</x:f>
        <x:v>REVIEW_TERCATAT</x:v>
      </x:c>
      <x:c r="J40" s="4" t="str">
        <x:v>Label dataset dan prediksi baseline sama; makna MVP belum direview. Kesepakatan keduanya belum membuktikan label final.</x:v>
      </x:c>
      <x:c r="K40" s="4" t="str">
        <x:v>NON_EVENT</x:v>
      </x:c>
      <x:c r="L40" s="14" t="n">
        <x:v>0.8486965894699097</x:v>
      </x:c>
    </x:row>
    <x:row r="41" ht="66" customHeight="1">
      <x:c r="A41" s="4" t="str">
        <x:v>BAN-01363</x:v>
      </x:c>
      <x:c r="B41" s="4" t="str">
        <x:v>dia juga cerita di daerah asalnya batang kemarin dilanda banjir besar merata hampir seluruh wilayah saat hujan lebat bahkan beberapa titik sampai sedada orang dewasa banjir ini terjadi di pekalongan dan batang daerah yang sebelumnya tidak pernah ada sebelum tol jadi</x:v>
      </x:c>
      <x:c r="C41" s="4" t="str">
        <x:v>NON_EVENT</x:v>
      </x:c>
      <x:c r="D41" s="4" t="str">
        <x:v>NON_EVENT</x:v>
      </x:c>
      <x:c r="E41" s="12" t="str">
        <x:v>KOREKSI</x:v>
      </x:c>
      <x:c r="F41" s="12" t="str">
        <x:v>FLOOD</x:v>
      </x:c>
      <x:c r="G41" s="12" t="str">
        <x:v>Teks menyatakan Batang dan Pekalongan dilanda banjir, dengan ketinggian sampai dada di beberapa titik. R1,R4.</x:v>
      </x:c>
      <x:c r="H41" s="4" t="str">
        <x:f>IF(E41="SETUJU_USULAN",D41,IF(E41="KOREKSI",F41,""))</x:f>
        <x:v>FLOOD</x:v>
      </x:c>
      <x:c r="I41" s="4" t="str">
        <x:f>IF(E41="","BELUM_DIREVIEW",IF(E41="TUNDA","DITUNDA",IF(TRIM(Panduan!$B$5)="","ISI_REVIEWER",IF(AND(E41&lt;&gt;"SETUJU_USULAN",E41&lt;&gt;"KOREKSI"),"CEK_KEPUTUSAN",IF(AND(E41="SETUJU_USULAN",F41&lt;&gt;""),"HAPUS_KOREKSI",IF(H41="","ISI_KOREKSI",IF(NOT(OR(H41="FLOOD",H41="EARTHQUAKE",H41="FIRE",H41="ACCIDENT",H41="NON_EVENT")),"CEK_LABEL",IF(AND(E41="KOREKSI",TRIM(G41)=""),"ISI_CATATAN","REVIEW_TERCATAT"))))))))</x:f>
        <x:v>REVIEW_TERCATAT</x:v>
      </x:c>
      <x:c r="J41" s="4" t="str">
        <x:v>Label dataset dan prediksi baseline sama; makna MVP belum direview. Kesepakatan keduanya belum membuktikan label final.</x:v>
      </x:c>
      <x:c r="K41" s="4" t="str">
        <x:v>NON_EVENT</x:v>
      </x:c>
      <x:c r="L41" s="14" t="n">
        <x:v>0.8493918776512146</x:v>
      </x:c>
    </x:row>
    <x:row r="42" ht="64" customHeight="1">
      <x:c r="A42" s="4" t="str">
        <x:v>BAN-01596</x:v>
      </x:c>
      <x:c r="B42" s="4" t="str">
        <x:v>overflow jadi penyebab banjir bandang di sentani</x:v>
      </x:c>
      <x:c r="C42" s="4" t="str">
        <x:v>NON_EVENT</x:v>
      </x:c>
      <x:c r="D42" s="4" t="str">
        <x:v>NON_EVENT</x:v>
      </x:c>
      <x:c r="E42" s="12" t="str">
        <x:v>KOREKSI</x:v>
      </x:c>
      <x:c r="F42" s="12" t="str">
        <x:v>FLOOD</x:v>
      </x:c>
      <x:c r="G42" s="12" t="str">
        <x:v>Pembahasan overflow merujuk penyebab banjir bandang tertentu di Sentani. Fokus penyebab tidak meniadakan kejadian. R1,R5.</x:v>
      </x:c>
      <x:c r="H42" s="4" t="str">
        <x:f>IF(E42="SETUJU_USULAN",D42,IF(E42="KOREKSI",F42,""))</x:f>
        <x:v>FLOOD</x:v>
      </x:c>
      <x:c r="I42" s="4" t="str">
        <x:f>IF(E42="","BELUM_DIREVIEW",IF(E42="TUNDA","DITUNDA",IF(TRIM(Panduan!$B$5)="","ISI_REVIEWER",IF(AND(E42&lt;&gt;"SETUJU_USULAN",E42&lt;&gt;"KOREKSI"),"CEK_KEPUTUSAN",IF(AND(E42="SETUJU_USULAN",F42&lt;&gt;""),"HAPUS_KOREKSI",IF(H42="","ISI_KOREKSI",IF(NOT(OR(H42="FLOOD",H42="EARTHQUAKE",H42="FIRE",H42="ACCIDENT",H42="NON_EVENT")),"CEK_LABEL",IF(AND(E42="KOREKSI",TRIM(G42)=""),"ISI_CATATAN","REVIEW_TERCATAT"))))))))</x:f>
        <x:v>REVIEW_TERCATAT</x:v>
      </x:c>
      <x:c r="J42" s="4" t="str">
        <x:v>Label dataset dan prediksi baseline sama; makna MVP belum direview. Kesepakatan keduanya belum membuktikan label final.</x:v>
      </x:c>
      <x:c r="K42" s="4" t="str">
        <x:v>NON_EVENT</x:v>
      </x:c>
      <x:c r="L42" s="14" t="n">
        <x:v>0.8505226373672485</x:v>
      </x:c>
    </x:row>
    <x:row r="43" ht="64" customHeight="1">
      <x:c r="A43" s="4" t="str">
        <x:v>BAN-01387</x:v>
      </x:c>
      <x:c r="B43" s="4" t="str">
        <x:v>1900hrs : banjir di susur ke bdr puteri puchong lorong kiri ke bdr puteri terhalang sila gunakan persiaran wawasan sebagai jalan alternatif</x:v>
      </x:c>
      <x:c r="C43" s="4" t="str">
        <x:v>NON_EVENT</x:v>
      </x:c>
      <x:c r="D43" s="4" t="str">
        <x:v>NON_EVENT</x:v>
      </x:c>
      <x:c r="E43" s="12" t="str">
        <x:v>KOREKSI</x:v>
      </x:c>
      <x:c r="F43" s="12" t="str">
        <x:v>FLOOD</x:v>
      </x:c>
      <x:c r="G43" s="12" t="str">
        <x:v>Banjir di susur Bandar Puteri Puchong dinyatakan menghalangi lajur dan memerlukan jalan alternatif. R1.</x:v>
      </x:c>
      <x:c r="H43" s="4" t="str">
        <x:f>IF(E43="SETUJU_USULAN",D43,IF(E43="KOREKSI",F43,""))</x:f>
        <x:v>FLOOD</x:v>
      </x:c>
      <x:c r="I43" s="4" t="str">
        <x:f>IF(E43="","BELUM_DIREVIEW",IF(E43="TUNDA","DITUNDA",IF(TRIM(Panduan!$B$5)="","ISI_REVIEWER",IF(AND(E43&lt;&gt;"SETUJU_USULAN",E43&lt;&gt;"KOREKSI"),"CEK_KEPUTUSAN",IF(AND(E43="SETUJU_USULAN",F43&lt;&gt;""),"HAPUS_KOREKSI",IF(H43="","ISI_KOREKSI",IF(NOT(OR(H43="FLOOD",H43="EARTHQUAKE",H43="FIRE",H43="ACCIDENT",H43="NON_EVENT")),"CEK_LABEL",IF(AND(E43="KOREKSI",TRIM(G43)=""),"ISI_CATATAN","REVIEW_TERCATAT"))))))))</x:f>
        <x:v>REVIEW_TERCATAT</x:v>
      </x:c>
      <x:c r="J43" s="4" t="str">
        <x:v>Label dataset dan prediksi baseline sama; makna MVP belum direview. Kesepakatan keduanya belum membuktikan label final.</x:v>
      </x:c>
      <x:c r="K43" s="4" t="str">
        <x:v>NON_EVENT</x:v>
      </x:c>
      <x:c r="L43" s="14" t="n">
        <x:v>0.8526884913444519</x:v>
      </x:c>
    </x:row>
    <x:row r="44" ht="64" customHeight="1">
      <x:c r="A44" s="4" t="str">
        <x:v>KEB-00941</x:v>
      </x:c>
      <x:c r="B44" s="4" t="str">
        <x:v>pangdam : korban kebakaran asrama mattoanging makassar ditempatkan di rusunawa</x:v>
      </x:c>
      <x:c r="C44" s="4" t="str">
        <x:v>NON_EVENT</x:v>
      </x:c>
      <x:c r="D44" s="4" t="str">
        <x:v>NON_EVENT</x:v>
      </x:c>
      <x:c r="E44" s="12" t="str">
        <x:v>KOREKSI</x:v>
      </x:c>
      <x:c r="F44" s="12" t="str">
        <x:v>FIRE</x:v>
      </x:c>
      <x:c r="G44" s="12" t="str">
        <x:v>Penempatan korban di rusunawa merujuk kebakaran Asrama Mattoanging Makassar. Informasi pascakejadian tetap termasuk. R1,R5.</x:v>
      </x:c>
      <x:c r="H44" s="4" t="str">
        <x:f>IF(E44="SETUJU_USULAN",D44,IF(E44="KOREKSI",F44,""))</x:f>
        <x:v>FIRE</x:v>
      </x:c>
      <x:c r="I44" s="4" t="str">
        <x:f>IF(E44="","BELUM_DIREVIEW",IF(E44="TUNDA","DITUNDA",IF(TRIM(Panduan!$B$5)="","ISI_REVIEWER",IF(AND(E44&lt;&gt;"SETUJU_USULAN",E44&lt;&gt;"KOREKSI"),"CEK_KEPUTUSAN",IF(AND(E44="SETUJU_USULAN",F44&lt;&gt;""),"HAPUS_KOREKSI",IF(H44="","ISI_KOREKSI",IF(NOT(OR(H44="FLOOD",H44="EARTHQUAKE",H44="FIRE",H44="ACCIDENT",H44="NON_EVENT")),"CEK_LABEL",IF(AND(E44="KOREKSI",TRIM(G44)=""),"ISI_CATATAN","REVIEW_TERCATAT"))))))))</x:f>
        <x:v>REVIEW_TERCATAT</x:v>
      </x:c>
      <x:c r="J44" s="4" t="str">
        <x:v>Label dataset dan prediksi baseline sama; makna MVP belum direview. Kesepakatan keduanya belum membuktikan label final.</x:v>
      </x:c>
      <x:c r="K44" s="4" t="str">
        <x:v>NON_EVENT</x:v>
      </x:c>
      <x:c r="L44" s="14" t="n">
        <x:v>0.8577741384506226</x:v>
      </x:c>
    </x:row>
    <x:row r="45" ht="64" customHeight="1">
      <x:c r="A45" s="4" t="str">
        <x:v>BAN-01152</x:v>
      </x:c>
      <x:c r="B45" s="4" t="str">
        <x:v>relawan rumah zakat bantu korban banjir di semarang</x:v>
      </x:c>
      <x:c r="C45" s="4" t="str">
        <x:v>NON_EVENT</x:v>
      </x:c>
      <x:c r="D45" s="4" t="str">
        <x:v>NON_EVENT</x:v>
      </x:c>
      <x:c r="E45" s="12" t="str">
        <x:v>KOREKSI</x:v>
      </x:c>
      <x:c r="F45" s="12" t="str">
        <x:v>FLOOD</x:v>
      </x:c>
      <x:c r="G45" s="12" t="str">
        <x:v>Bantuan relawan diberikan kepada korban banjir di Semarang. Tujuan bantuan tidak meniadakan kejadian yang dirujuk. R1,R5.</x:v>
      </x:c>
      <x:c r="H45" s="4" t="str">
        <x:f>IF(E45="SETUJU_USULAN",D45,IF(E45="KOREKSI",F45,""))</x:f>
        <x:v>FLOOD</x:v>
      </x:c>
      <x:c r="I45" s="4" t="str">
        <x:f>IF(E45="","BELUM_DIREVIEW",IF(E45="TUNDA","DITUNDA",IF(TRIM(Panduan!$B$5)="","ISI_REVIEWER",IF(AND(E45&lt;&gt;"SETUJU_USULAN",E45&lt;&gt;"KOREKSI"),"CEK_KEPUTUSAN",IF(AND(E45="SETUJU_USULAN",F45&lt;&gt;""),"HAPUS_KOREKSI",IF(H45="","ISI_KOREKSI",IF(NOT(OR(H45="FLOOD",H45="EARTHQUAKE",H45="FIRE",H45="ACCIDENT",H45="NON_EVENT")),"CEK_LABEL",IF(AND(E45="KOREKSI",TRIM(G45)=""),"ISI_CATATAN","REVIEW_TERCATAT"))))))))</x:f>
        <x:v>REVIEW_TERCATAT</x:v>
      </x:c>
      <x:c r="J45" s="4" t="str">
        <x:v>Label dataset dan prediksi baseline sama; makna MVP belum direview. Kesepakatan keduanya belum membuktikan label final.</x:v>
      </x:c>
      <x:c r="K45" s="4" t="str">
        <x:v>NON_EVENT</x:v>
      </x:c>
      <x:c r="L45" s="14" t="n">
        <x:v>0.8636369705200195</x:v>
      </x:c>
    </x:row>
    <x:row r="46" ht="64" customHeight="1">
      <x:c r="A46" s="4" t="str">
        <x:v>BAN-01257</x:v>
      </x:c>
      <x:c r="B46" s="4" t="str">
        <x:v>pasca tsunami dan banjir di banten thank you</x:v>
      </x:c>
      <x:c r="C46" s="4" t="str">
        <x:v>NON_EVENT</x:v>
      </x:c>
      <x:c r="D46" s="4" t="str">
        <x:v>NON_EVENT</x:v>
      </x:c>
      <x:c r="E46" s="12" t="str">
        <x:v>KOREKSI</x:v>
      </x:c>
      <x:c r="F46" s="12" t="str">
        <x:v>FLOOD</x:v>
      </x:c>
      <x:c r="G46" s="12" t="str">
        <x:v>Frasa pasca tsunami dan banjir di Banten merujuk banjir yang telah terjadi. Narasi singkat dan pascakejadian tetap diterima. R1,R4,R5.</x:v>
      </x:c>
      <x:c r="H46" s="4" t="str">
        <x:f>IF(E46="SETUJU_USULAN",D46,IF(E46="KOREKSI",F46,""))</x:f>
        <x:v>FLOOD</x:v>
      </x:c>
      <x:c r="I46" s="4" t="str">
        <x:f>IF(E46="","BELUM_DIREVIEW",IF(E46="TUNDA","DITUNDA",IF(TRIM(Panduan!$B$5)="","ISI_REVIEWER",IF(AND(E46&lt;&gt;"SETUJU_USULAN",E46&lt;&gt;"KOREKSI"),"CEK_KEPUTUSAN",IF(AND(E46="SETUJU_USULAN",F46&lt;&gt;""),"HAPUS_KOREKSI",IF(H46="","ISI_KOREKSI",IF(NOT(OR(H46="FLOOD",H46="EARTHQUAKE",H46="FIRE",H46="ACCIDENT",H46="NON_EVENT")),"CEK_LABEL",IF(AND(E46="KOREKSI",TRIM(G46)=""),"ISI_CATATAN","REVIEW_TERCATAT"))))))))</x:f>
        <x:v>REVIEW_TERCATAT</x:v>
      </x:c>
      <x:c r="J46" s="4" t="str">
        <x:v>Label dataset dan prediksi baseline sama; makna MVP belum direview. Kesepakatan keduanya belum membuktikan label final.</x:v>
      </x:c>
      <x:c r="K46" s="4" t="str">
        <x:v>NON_EVENT</x:v>
      </x:c>
      <x:c r="L46" s="14" t="n">
        <x:v>0.8704802989959717</x:v>
      </x:c>
    </x:row>
    <x:row r="47" ht="64" customHeight="1">
      <x:c r="A47" s="4" t="str">
        <x:v>BAN-01517</x:v>
      </x:c>
      <x:c r="B47" s="4" t="str">
        <x:v>keadaan kolam takungan banjir di taman eng ann di klang yang tercemar akibat pembuangan sisa kimia oleh pihak tidak bertanggungjawab</x:v>
      </x:c>
      <x:c r="C47" s="4" t="str">
        <x:v>NON_EVENT</x:v>
      </x:c>
      <x:c r="D47" s="4" t="str">
        <x:v>NON_EVENT</x:v>
      </x:c>
      <x:c r="E47" s="12" t="str">
        <x:v>SETUJU_USULAN</x:v>
      </x:c>
      <x:c r="F47" s="12" t="str"/>
      <x:c r="G47" s="12" t="str">
        <x:v>Banjir merupakan bagian nama atau fungsi kolam takungan. Kejadian yang disebut ialah pencemaran kimia, bukan salah satu empat kategori MVP. R3.</x:v>
      </x:c>
      <x:c r="H47" s="4" t="str">
        <x:f>IF(E47="SETUJU_USULAN",D47,IF(E47="KOREKSI",F47,""))</x:f>
        <x:v>NON_EVENT</x:v>
      </x:c>
      <x:c r="I47" s="4" t="str">
        <x:f>IF(E47="","BELUM_DIREVIEW",IF(E47="TUNDA","DITUNDA",IF(TRIM(Panduan!$B$5)="","ISI_REVIEWER",IF(AND(E47&lt;&gt;"SETUJU_USULAN",E47&lt;&gt;"KOREKSI"),"CEK_KEPUTUSAN",IF(AND(E47="SETUJU_USULAN",F47&lt;&gt;""),"HAPUS_KOREKSI",IF(H47="","ISI_KOREKSI",IF(NOT(OR(H47="FLOOD",H47="EARTHQUAKE",H47="FIRE",H47="ACCIDENT",H47="NON_EVENT")),"CEK_LABEL",IF(AND(E47="KOREKSI",TRIM(G47)=""),"ISI_CATATAN","REVIEW_TERCATAT"))))))))</x:f>
        <x:v>REVIEW_TERCATAT</x:v>
      </x:c>
      <x:c r="J47" s="4" t="str">
        <x:v>Label dataset dan prediksi baseline sama; makna MVP belum direview. Kesepakatan keduanya belum membuktikan label final.</x:v>
      </x:c>
      <x:c r="K47" s="4" t="str">
        <x:v>NON_EVENT</x:v>
      </x:c>
      <x:c r="L47" s="14" t="n">
        <x:v>0.8727346658706665</x:v>
      </x:c>
    </x:row>
    <x:row r="48" ht="64" customHeight="1">
      <x:c r="A48" s="4" t="str">
        <x:v>BAN-01005</x:v>
      </x:c>
      <x:c r="B48" s="4" t="str">
        <x:v>rp15 6 miliar untuk 3 jembatan rusak akibat banjir di desa talang dan jarum kecamatan bayat serta desa ngandong kecamatan gantiwarno</x:v>
      </x:c>
      <x:c r="C48" s="4" t="str">
        <x:v>FLOOD</x:v>
      </x:c>
      <x:c r="D48" s="4" t="str">
        <x:v>FLOOD</x:v>
      </x:c>
      <x:c r="E48" s="12" t="str">
        <x:v>SETUJU_USULAN</x:v>
      </x:c>
      <x:c r="F48" s="12" t="str"/>
      <x:c r="G48" s="12" t="str">
        <x:v>Narasi menyatakan kejadian banjir yang terjadi atau telah terjadi. Label mengikuti isi kejadian, termasuk penanganan dan dampak yang disebut. R1,R4.</x:v>
      </x:c>
      <x:c r="H48" s="4" t="str">
        <x:f>IF(E48="SETUJU_USULAN",D48,IF(E48="KOREKSI",F48,""))</x:f>
        <x:v>FLOOD</x:v>
      </x:c>
      <x:c r="I48" s="4" t="str">
        <x:f>IF(E48="","BELUM_DIREVIEW",IF(E48="TUNDA","DITUNDA",IF(TRIM(Panduan!$B$5)="","ISI_REVIEWER",IF(AND(E48&lt;&gt;"SETUJU_USULAN",E48&lt;&gt;"KOREKSI"),"CEK_KEPUTUSAN",IF(AND(E48="SETUJU_USULAN",F48&lt;&gt;""),"HAPUS_KOREKSI",IF(H48="","ISI_KOREKSI",IF(NOT(OR(H48="FLOOD",H48="EARTHQUAKE",H48="FIRE",H48="ACCIDENT",H48="NON_EVENT")),"CEK_LABEL",IF(AND(E48="KOREKSI",TRIM(G48)=""),"ISI_CATATAN","REVIEW_TERCATAT"))))))))</x:f>
        <x:v>REVIEW_TERCATAT</x:v>
      </x:c>
      <x:c r="J48" s="4" t="str">
        <x:v>Label dataset dan prediksi baseline sama; makna MVP belum direview. Kesepakatan keduanya belum membuktikan label final.</x:v>
      </x:c>
      <x:c r="K48" s="4" t="str">
        <x:v>FLOOD</x:v>
      </x:c>
      <x:c r="L48" s="14" t="n">
        <x:v>0.8739299774169922</x:v>
      </x:c>
    </x:row>
    <x:row r="49" ht="64" customHeight="1">
      <x:c r="A49" s="4" t="str">
        <x:v>BAN-01652</x:v>
      </x:c>
      <x:c r="B49" s="4" t="str">
        <x:v>banjir di pancoran anies meminta adhie karya bertanggung jawab</x:v>
      </x:c>
      <x:c r="C49" s="4" t="str">
        <x:v>NON_EVENT</x:v>
      </x:c>
      <x:c r="D49" s="4" t="str">
        <x:v>NON_EVENT</x:v>
      </x:c>
      <x:c r="E49" s="12" t="str">
        <x:v>KOREKSI</x:v>
      </x:c>
      <x:c r="F49" s="12" t="str">
        <x:v>FLOOD</x:v>
      </x:c>
      <x:c r="G49" s="12" t="str">
        <x:v>Permintaan pertanggungjawaban secara eksplisit merujuk banjir di Pancoran. Fokus respons pejabat tidak menghapus kejadian. R1,R5.</x:v>
      </x:c>
      <x:c r="H49" s="4" t="str">
        <x:f>IF(E49="SETUJU_USULAN",D49,IF(E49="KOREKSI",F49,""))</x:f>
        <x:v>FLOOD</x:v>
      </x:c>
      <x:c r="I49" s="4" t="str">
        <x:f>IF(E49="","BELUM_DIREVIEW",IF(E49="TUNDA","DITUNDA",IF(TRIM(Panduan!$B$5)="","ISI_REVIEWER",IF(AND(E49&lt;&gt;"SETUJU_USULAN",E49&lt;&gt;"KOREKSI"),"CEK_KEPUTUSAN",IF(AND(E49="SETUJU_USULAN",F49&lt;&gt;""),"HAPUS_KOREKSI",IF(H49="","ISI_KOREKSI",IF(NOT(OR(H49="FLOOD",H49="EARTHQUAKE",H49="FIRE",H49="ACCIDENT",H49="NON_EVENT")),"CEK_LABEL",IF(AND(E49="KOREKSI",TRIM(G49)=""),"ISI_CATATAN","REVIEW_TERCATAT"))))))))</x:f>
        <x:v>REVIEW_TERCATAT</x:v>
      </x:c>
      <x:c r="J49" s="4" t="str">
        <x:v>Label dataset dan prediksi baseline sama; makna MVP belum direview. Kesepakatan keduanya belum membuktikan label final.</x:v>
      </x:c>
      <x:c r="K49" s="4" t="str">
        <x:v>NON_EVENT</x:v>
      </x:c>
      <x:c r="L49" s="14" t="n">
        <x:v>0.8759328126907349</x:v>
      </x:c>
    </x:row>
    <x:row r="50" ht="64" customHeight="1">
      <x:c r="A50" s="4" t="str">
        <x:v>BAN-01061</x:v>
      </x:c>
      <x:c r="B50" s="4" t="str">
        <x:v>jalan ciledug raya macet total cendrung tak bergerak mulai dari taman puring akibat banjir di jalan swadharma depan pool taksi ratax</x:v>
      </x:c>
      <x:c r="C50" s="4" t="str">
        <x:v>FLOOD</x:v>
      </x:c>
      <x:c r="D50" s="4" t="str">
        <x:v>FLOOD</x:v>
      </x:c>
      <x:c r="E50" s="12" t="str">
        <x:v>SETUJU_USULAN</x:v>
      </x:c>
      <x:c r="F50" s="12" t="str"/>
      <x:c r="G50" s="12" t="str">
        <x:v>Narasi menyatakan kejadian banjir yang terjadi atau telah terjadi. Label mengikuti isi kejadian, termasuk penanganan dan dampak yang disebut. R1,R4.</x:v>
      </x:c>
      <x:c r="H50" s="4" t="str">
        <x:f>IF(E50="SETUJU_USULAN",D50,IF(E50="KOREKSI",F50,""))</x:f>
        <x:v>FLOOD</x:v>
      </x:c>
      <x:c r="I50" s="4" t="str">
        <x:f>IF(E50="","BELUM_DIREVIEW",IF(E50="TUNDA","DITUNDA",IF(TRIM(Panduan!$B$5)="","ISI_REVIEWER",IF(AND(E50&lt;&gt;"SETUJU_USULAN",E50&lt;&gt;"KOREKSI"),"CEK_KEPUTUSAN",IF(AND(E50="SETUJU_USULAN",F50&lt;&gt;""),"HAPUS_KOREKSI",IF(H50="","ISI_KOREKSI",IF(NOT(OR(H50="FLOOD",H50="EARTHQUAKE",H50="FIRE",H50="ACCIDENT",H50="NON_EVENT")),"CEK_LABEL",IF(AND(E50="KOREKSI",TRIM(G50)=""),"ISI_CATATAN","REVIEW_TERCATAT"))))))))</x:f>
        <x:v>REVIEW_TERCATAT</x:v>
      </x:c>
      <x:c r="J50" s="4" t="str">
        <x:v>Label dataset dan prediksi baseline sama; makna MVP belum direview. Kesepakatan keduanya belum membuktikan label final.</x:v>
      </x:c>
      <x:c r="K50" s="4" t="str">
        <x:v>FLOOD</x:v>
      </x:c>
      <x:c r="L50" s="14" t="n">
        <x:v>0.8771997690200806</x:v>
      </x:c>
    </x:row>
    <x:row r="51" ht="66" customHeight="1">
      <x:c r="A51" s="4" t="str">
        <x:v>GEM-01461</x:v>
      </x:c>
      <x:c r="B51" s="4" t="str">
        <x:v>live now ! ! kepala sub bidang mitigasi gempa bumi wilayah barat akhmad solikhin : kepala seksi observasi bmkg kelas 1 bandung ruhimat menyebutkan gempa dengan magnetudo 50 di pangandaran dipicu dari patahan samudra hindia dari sesar garsela</x:v>
      </x:c>
      <x:c r="C51" s="4" t="str">
        <x:v>NON_EVENT</x:v>
      </x:c>
      <x:c r="D51" s="4" t="str">
        <x:v>NON_EVENT</x:v>
      </x:c>
      <x:c r="E51" s="12" t="str">
        <x:v>KOREKSI</x:v>
      </x:c>
      <x:c r="F51" s="12" t="str">
        <x:v>EARTHQUAKE</x:v>
      </x:c>
      <x:c r="G51" s="12" t="str">
        <x:v>Keterangan BMKG merujuk gempa magnitudo 5,0 di Pangandaran dan penyebabnya. Pembahasan mitigasi tidak menghapus klaim gempa spesifik. R1,R5.</x:v>
      </x:c>
      <x:c r="H51" s="4" t="str">
        <x:f>IF(E51="SETUJU_USULAN",D51,IF(E51="KOREKSI",F51,""))</x:f>
        <x:v>EARTHQUAKE</x:v>
      </x:c>
      <x:c r="I51" s="4" t="str">
        <x:f>IF(E51="","BELUM_DIREVIEW",IF(E51="TUNDA","DITUNDA",IF(TRIM(Panduan!$B$5)="","ISI_REVIEWER",IF(AND(E51&lt;&gt;"SETUJU_USULAN",E51&lt;&gt;"KOREKSI"),"CEK_KEPUTUSAN",IF(AND(E51="SETUJU_USULAN",F51&lt;&gt;""),"HAPUS_KOREKSI",IF(H51="","ISI_KOREKSI",IF(NOT(OR(H51="FLOOD",H51="EARTHQUAKE",H51="FIRE",H51="ACCIDENT",H51="NON_EVENT")),"CEK_LABEL",IF(AND(E51="KOREKSI",TRIM(G51)=""),"ISI_CATATAN","REVIEW_TERCATAT"))))))))</x:f>
        <x:v>REVIEW_TERCATAT</x:v>
      </x:c>
      <x:c r="J51" s="4" t="str">
        <x:v>Label dataset dan prediksi baseline sama; makna MVP belum direview. Kesepakatan keduanya belum membuktikan label final.</x:v>
      </x:c>
      <x:c r="K51" s="4" t="str">
        <x:v>NON_EVENT</x:v>
      </x:c>
      <x:c r="L51" s="14" t="n">
        <x:v>0.8776986002922058</x:v>
      </x:c>
    </x:row>
    <x:row r="52" ht="64" customHeight="1">
      <x:c r="A52" s="4" t="str">
        <x:v>KEB-00260</x:v>
      </x:c>
      <x:c r="B52" s="4" t="str">
        <x:v>prajurit tni maksimalkan pemadaman kebakaran gambut di aceh jaya</x:v>
      </x:c>
      <x:c r="C52" s="4" t="str">
        <x:v>FIRE</x:v>
      </x:c>
      <x:c r="D52" s="4" t="str">
        <x:v>FIRE</x:v>
      </x:c>
      <x:c r="E52" s="12" t="str">
        <x:v>SETUJU_USULAN</x:v>
      </x:c>
      <x:c r="F52" s="12" t="str"/>
      <x:c r="G52" s="12" t="str">
        <x:v>Narasi menyatakan kejadian kebakaran yang terjadi atau telah terjadi. Label mengikuti isi kejadian, termasuk penanganan dan dampak yang disebut. R1,R4.</x:v>
      </x:c>
      <x:c r="H52" s="4" t="str">
        <x:f>IF(E52="SETUJU_USULAN",D52,IF(E52="KOREKSI",F52,""))</x:f>
        <x:v>FIRE</x:v>
      </x:c>
      <x:c r="I52" s="4" t="str">
        <x:f>IF(E52="","BELUM_DIREVIEW",IF(E52="TUNDA","DITUNDA",IF(TRIM(Panduan!$B$5)="","ISI_REVIEWER",IF(AND(E52&lt;&gt;"SETUJU_USULAN",E52&lt;&gt;"KOREKSI"),"CEK_KEPUTUSAN",IF(AND(E52="SETUJU_USULAN",F52&lt;&gt;""),"HAPUS_KOREKSI",IF(H52="","ISI_KOREKSI",IF(NOT(OR(H52="FLOOD",H52="EARTHQUAKE",H52="FIRE",H52="ACCIDENT",H52="NON_EVENT")),"CEK_LABEL",IF(AND(E52="KOREKSI",TRIM(G52)=""),"ISI_CATATAN","REVIEW_TERCATAT"))))))))</x:f>
        <x:v>REVIEW_TERCATAT</x:v>
      </x:c>
      <x:c r="J52" s="4" t="str">
        <x:v>Label dataset dan prediksi baseline sama; makna MVP belum direview. Kesepakatan keduanya belum membuktikan label final.</x:v>
      </x:c>
      <x:c r="K52" s="4" t="str">
        <x:v>FIRE</x:v>
      </x:c>
      <x:c r="L52" s="14" t="n">
        <x:v>0.8808687329292297</x:v>
      </x:c>
    </x:row>
    <x:row r="53" ht="66" customHeight="1">
      <x:c r="A53" s="4" t="str">
        <x:v>KEB-00698</x:v>
      </x:c>
      <x:c r="B53" s="4" t="str">
        <x:v>halo kak hendra . maaf atas kendala nya , saat ini sedang terjadi pemeliharaan jaringan akibat kebakaran yg terjadi di sto telkom pekanbaru . namun kondisi dilapangan , api telah berhasil dipadamkan dan masih dalam proses pemulihan layanan . terima kasih - isal</x:v>
      </x:c>
      <x:c r="C53" s="4" t="str">
        <x:v>NON_EVENT</x:v>
      </x:c>
      <x:c r="D53" s="4" t="str">
        <x:v>NON_EVENT</x:v>
      </x:c>
      <x:c r="E53" s="12" t="str">
        <x:v>KOREKSI</x:v>
      </x:c>
      <x:c r="F53" s="12" t="str">
        <x:v>FIRE</x:v>
      </x:c>
      <x:c r="G53" s="12" t="str">
        <x:v>Pemeliharaan jaringan dikaitkan dengan kebakaran STO Telkom Pekanbaru yang apinya telah dipadamkan. R1,R2,R5.</x:v>
      </x:c>
      <x:c r="H53" s="4" t="str">
        <x:f>IF(E53="SETUJU_USULAN",D53,IF(E53="KOREKSI",F53,""))</x:f>
        <x:v>FIRE</x:v>
      </x:c>
      <x:c r="I53" s="4" t="str">
        <x:f>IF(E53="","BELUM_DIREVIEW",IF(E53="TUNDA","DITUNDA",IF(TRIM(Panduan!$B$5)="","ISI_REVIEWER",IF(AND(E53&lt;&gt;"SETUJU_USULAN",E53&lt;&gt;"KOREKSI"),"CEK_KEPUTUSAN",IF(AND(E53="SETUJU_USULAN",F53&lt;&gt;""),"HAPUS_KOREKSI",IF(H53="","ISI_KOREKSI",IF(NOT(OR(H53="FLOOD",H53="EARTHQUAKE",H53="FIRE",H53="ACCIDENT",H53="NON_EVENT")),"CEK_LABEL",IF(AND(E53="KOREKSI",TRIM(G53)=""),"ISI_CATATAN","REVIEW_TERCATAT"))))))))</x:f>
        <x:v>REVIEW_TERCATAT</x:v>
      </x:c>
      <x:c r="J53" s="4" t="str">
        <x:v>Label dataset dan prediksi baseline sama; makna MVP belum direview. Kesepakatan keduanya belum membuktikan label final.</x:v>
      </x:c>
      <x:c r="K53" s="4" t="str">
        <x:v>NON_EVENT</x:v>
      </x:c>
      <x:c r="L53" s="14" t="n">
        <x:v>0.8859252333641052</x:v>
      </x:c>
    </x:row>
    <x:row r="54" ht="64" customHeight="1">
      <x:c r="A54" s="4" t="str">
        <x:v>KEB-00814</x:v>
      </x:c>
      <x:c r="B54" s="4" t="str">
        <x:v>kebakaran di gambir deket gang pejambon</x:v>
      </x:c>
      <x:c r="C54" s="4" t="str">
        <x:v>FIRE</x:v>
      </x:c>
      <x:c r="D54" s="4" t="str">
        <x:v>FIRE</x:v>
      </x:c>
      <x:c r="E54" s="12" t="str">
        <x:v>SETUJU_USULAN</x:v>
      </x:c>
      <x:c r="F54" s="12" t="str"/>
      <x:c r="G54" s="12" t="str">
        <x:v>Narasi menyatakan kejadian kebakaran yang terjadi atau telah terjadi. Label mengikuti isi kejadian, termasuk penanganan dan dampak yang disebut. R1,R4.</x:v>
      </x:c>
      <x:c r="H54" s="4" t="str">
        <x:f>IF(E54="SETUJU_USULAN",D54,IF(E54="KOREKSI",F54,""))</x:f>
        <x:v>FIRE</x:v>
      </x:c>
      <x:c r="I54" s="4" t="str">
        <x:f>IF(E54="","BELUM_DIREVIEW",IF(E54="TUNDA","DITUNDA",IF(TRIM(Panduan!$B$5)="","ISI_REVIEWER",IF(AND(E54&lt;&gt;"SETUJU_USULAN",E54&lt;&gt;"KOREKSI"),"CEK_KEPUTUSAN",IF(AND(E54="SETUJU_USULAN",F54&lt;&gt;""),"HAPUS_KOREKSI",IF(H54="","ISI_KOREKSI",IF(NOT(OR(H54="FLOOD",H54="EARTHQUAKE",H54="FIRE",H54="ACCIDENT",H54="NON_EVENT")),"CEK_LABEL",IF(AND(E54="KOREKSI",TRIM(G54)=""),"ISI_CATATAN","REVIEW_TERCATAT"))))))))</x:f>
        <x:v>REVIEW_TERCATAT</x:v>
      </x:c>
      <x:c r="J54" s="4" t="str">
        <x:v>Label dataset dan prediksi baseline sama; makna MVP belum direview. Kesepakatan keduanya belum membuktikan label final.</x:v>
      </x:c>
      <x:c r="K54" s="4" t="str">
        <x:v>FIRE</x:v>
      </x:c>
      <x:c r="L54" s="14" t="n">
        <x:v>0.8903949856758118</x:v>
      </x:c>
    </x:row>
    <x:row r="55" ht="66" customHeight="1">
      <x:c r="A55" s="4" t="str">
        <x:v>KEC-00318</x:v>
      </x:c>
      <x:c r="B55" s="4" t="str">
        <x:v>akun fanbase cska indonesia turut berduka atas kecelakaan pesawat an-148 milik saratov airlines yang jatuh di daerah moskwa semalam dan menewaskan seluruh penumpang dan kru semoga 71 korban mendapat tempat terbaik di sisi tuhan</x:v>
      </x:c>
      <x:c r="C55" s="4" t="str">
        <x:v>NON_EVENT</x:v>
      </x:c>
      <x:c r="D55" s="4" t="str">
        <x:v>NON_EVENT</x:v>
      </x:c>
      <x:c r="E55" s="12" t="str">
        <x:v>KOREKSI</x:v>
      </x:c>
      <x:c r="F55" s="12" t="str">
        <x:v>ACCIDENT</x:v>
      </x:c>
      <x:c r="G55" s="12" t="str">
        <x:v>Ucapan dukacita menyatakan pesawat AN-148 jatuh di Moskwa dengan korban penumpang dan kru. Kategori tidak dibatasi negara atau moda jalan raya. R1,R4,R5.</x:v>
      </x:c>
      <x:c r="H55" s="4" t="str">
        <x:f>IF(E55="SETUJU_USULAN",D55,IF(E55="KOREKSI",F55,""))</x:f>
        <x:v>ACCIDENT</x:v>
      </x:c>
      <x:c r="I55" s="4" t="str">
        <x:f>IF(E55="","BELUM_DIREVIEW",IF(E55="TUNDA","DITUNDA",IF(TRIM(Panduan!$B$5)="","ISI_REVIEWER",IF(AND(E55&lt;&gt;"SETUJU_USULAN",E55&lt;&gt;"KOREKSI"),"CEK_KEPUTUSAN",IF(AND(E55="SETUJU_USULAN",F55&lt;&gt;""),"HAPUS_KOREKSI",IF(H55="","ISI_KOREKSI",IF(NOT(OR(H55="FLOOD",H55="EARTHQUAKE",H55="FIRE",H55="ACCIDENT",H55="NON_EVENT")),"CEK_LABEL",IF(AND(E55="KOREKSI",TRIM(G55)=""),"ISI_CATATAN","REVIEW_TERCATAT"))))))))</x:f>
        <x:v>REVIEW_TERCATAT</x:v>
      </x:c>
      <x:c r="J55" s="4" t="str">
        <x:v>Label dataset dan prediksi baseline sama; makna MVP belum direview. Kesepakatan keduanya belum membuktikan label final.</x:v>
      </x:c>
      <x:c r="K55" s="4" t="str">
        <x:v>NON_EVENT</x:v>
      </x:c>
      <x:c r="L55" s="14" t="n">
        <x:v>0.8987991809844971</x:v>
      </x:c>
    </x:row>
    <x:row r="56" ht="64" customHeight="1">
      <x:c r="A56" s="4" t="str">
        <x:v>BAN-01351</x:v>
      </x:c>
      <x:c r="B56" s="4" t="str">
        <x:v>penyebab banjir di citraland hari ini mohon maaf hanya sekedar lewat</x:v>
      </x:c>
      <x:c r="C56" s="4" t="str">
        <x:v>NON_EVENT</x:v>
      </x:c>
      <x:c r="D56" s="4" t="str">
        <x:v>NON_EVENT</x:v>
      </x:c>
      <x:c r="E56" s="12" t="str">
        <x:v>KOREKSI</x:v>
      </x:c>
      <x:c r="F56" s="12" t="str">
        <x:v>FLOOD</x:v>
      </x:c>
      <x:c r="G56" s="12" t="str">
        <x:v>Pembahasan penyebab menyebut banjir di Citraland hari ini. Ketiadaan uraian penyebab tidak menghapus klaim kejadian. R1,R4.</x:v>
      </x:c>
      <x:c r="H56" s="4" t="str">
        <x:f>IF(E56="SETUJU_USULAN",D56,IF(E56="KOREKSI",F56,""))</x:f>
        <x:v>FLOOD</x:v>
      </x:c>
      <x:c r="I56" s="4" t="str">
        <x:f>IF(E56="","BELUM_DIREVIEW",IF(E56="TUNDA","DITUNDA",IF(TRIM(Panduan!$B$5)="","ISI_REVIEWER",IF(AND(E56&lt;&gt;"SETUJU_USULAN",E56&lt;&gt;"KOREKSI"),"CEK_KEPUTUSAN",IF(AND(E56="SETUJU_USULAN",F56&lt;&gt;""),"HAPUS_KOREKSI",IF(H56="","ISI_KOREKSI",IF(NOT(OR(H56="FLOOD",H56="EARTHQUAKE",H56="FIRE",H56="ACCIDENT",H56="NON_EVENT")),"CEK_LABEL",IF(AND(E56="KOREKSI",TRIM(G56)=""),"ISI_CATATAN","REVIEW_TERCATAT"))))))))</x:f>
        <x:v>REVIEW_TERCATAT</x:v>
      </x:c>
      <x:c r="J56" s="4" t="str">
        <x:v>Label dataset dan prediksi baseline sama; makna MVP belum direview. Kesepakatan keduanya belum membuktikan label final.</x:v>
      </x:c>
      <x:c r="K56" s="4" t="str">
        <x:v>NON_EVENT</x:v>
      </x:c>
      <x:c r="L56" s="14" t="n">
        <x:v>0.9018574357032776</x:v>
      </x:c>
    </x:row>
    <x:row r="57" ht="64" customHeight="1">
      <x:c r="A57" s="4" t="str">
        <x:v>KEB-00756</x:v>
      </x:c>
      <x:c r="B57" s="4" t="str">
        <x:v>sejak diluncurkan , cctv asap digital telah berhasil memantau dua kebakaran yang berhasil dipadamkan dalam waktu yang cepat , yakni di sungai aur dan di suak kandis , kabupaten muarojambi .</x:v>
      </x:c>
      <x:c r="C57" s="4" t="str">
        <x:v>NON_EVENT</x:v>
      </x:c>
      <x:c r="D57" s="4" t="str">
        <x:v>NON_EVENT</x:v>
      </x:c>
      <x:c r="E57" s="12" t="str">
        <x:v>KOREKSI</x:v>
      </x:c>
      <x:c r="F57" s="12" t="str">
        <x:v>FIRE</x:v>
      </x:c>
      <x:c r="G57" s="12" t="str">
        <x:v>Dua kebakaran disebut secara spesifik di Sungai Aur dan Suak Kandis dan telah dipadamkan. Ini kejadian teridentifikasi, bukan statistik umum. R1,R5.</x:v>
      </x:c>
      <x:c r="H57" s="4" t="str">
        <x:f>IF(E57="SETUJU_USULAN",D57,IF(E57="KOREKSI",F57,""))</x:f>
        <x:v>FIRE</x:v>
      </x:c>
      <x:c r="I57" s="4" t="str">
        <x:f>IF(E57="","BELUM_DIREVIEW",IF(E57="TUNDA","DITUNDA",IF(TRIM(Panduan!$B$5)="","ISI_REVIEWER",IF(AND(E57&lt;&gt;"SETUJU_USULAN",E57&lt;&gt;"KOREKSI"),"CEK_KEPUTUSAN",IF(AND(E57="SETUJU_USULAN",F57&lt;&gt;""),"HAPUS_KOREKSI",IF(H57="","ISI_KOREKSI",IF(NOT(OR(H57="FLOOD",H57="EARTHQUAKE",H57="FIRE",H57="ACCIDENT",H57="NON_EVENT")),"CEK_LABEL",IF(AND(E57="KOREKSI",TRIM(G57)=""),"ISI_CATATAN","REVIEW_TERCATAT"))))))))</x:f>
        <x:v>REVIEW_TERCATAT</x:v>
      </x:c>
      <x:c r="J57" s="4" t="str">
        <x:v>Label dataset dan prediksi baseline sama; makna MVP belum direview. Kesepakatan keduanya belum membuktikan label final.</x:v>
      </x:c>
      <x:c r="K57" s="4" t="str">
        <x:v>NON_EVENT</x:v>
      </x:c>
      <x:c r="L57" s="14" t="n">
        <x:v>0.9022197127342224</x:v>
      </x:c>
    </x:row>
    <x:row r="58" ht="66" customHeight="1">
      <x:c r="A58" s="4" t="str">
        <x:v>KEB-00829</x:v>
      </x:c>
      <x:c r="B58" s="4" t="str">
        <x:v>wali kota , kapolres dan dandim tinjau rumah korban kebakaran di subulussalam : wali kota subulussalam , h affan alfian bintang , se bersama kapolres akbp qori wicaksono dan dandim 118 subulussalam turun ke lokasi kebakaran . . .</x:v>
      </x:c>
      <x:c r="C58" s="4" t="str">
        <x:v>NON_EVENT</x:v>
      </x:c>
      <x:c r="D58" s="4" t="str">
        <x:v>NON_EVENT</x:v>
      </x:c>
      <x:c r="E58" s="12" t="str">
        <x:v>KOREKSI</x:v>
      </x:c>
      <x:c r="F58" s="12" t="str">
        <x:v>FIRE</x:v>
      </x:c>
      <x:c r="G58" s="12" t="str">
        <x:v>Kunjungan pejabat dan rumah korban merujuk lokasi kebakaran tertentu di Subulussalam. R1,R5.</x:v>
      </x:c>
      <x:c r="H58" s="4" t="str">
        <x:f>IF(E58="SETUJU_USULAN",D58,IF(E58="KOREKSI",F58,""))</x:f>
        <x:v>FIRE</x:v>
      </x:c>
      <x:c r="I58" s="4" t="str">
        <x:f>IF(E58="","BELUM_DIREVIEW",IF(E58="TUNDA","DITUNDA",IF(TRIM(Panduan!$B$5)="","ISI_REVIEWER",IF(AND(E58&lt;&gt;"SETUJU_USULAN",E58&lt;&gt;"KOREKSI"),"CEK_KEPUTUSAN",IF(AND(E58="SETUJU_USULAN",F58&lt;&gt;""),"HAPUS_KOREKSI",IF(H58="","ISI_KOREKSI",IF(NOT(OR(H58="FLOOD",H58="EARTHQUAKE",H58="FIRE",H58="ACCIDENT",H58="NON_EVENT")),"CEK_LABEL",IF(AND(E58="KOREKSI",TRIM(G58)=""),"ISI_CATATAN","REVIEW_TERCATAT"))))))))</x:f>
        <x:v>REVIEW_TERCATAT</x:v>
      </x:c>
      <x:c r="J58" s="4" t="str">
        <x:v>Label dataset dan prediksi baseline sama; makna MVP belum direview. Kesepakatan keduanya belum membuktikan label final.</x:v>
      </x:c>
      <x:c r="K58" s="4" t="str">
        <x:v>NON_EVENT</x:v>
      </x:c>
      <x:c r="L58" s="14" t="n">
        <x:v>0.9031004309654236</x:v>
      </x:c>
    </x:row>
    <x:row r="59" ht="64" customHeight="1">
      <x:c r="A59" s="4" t="str">
        <x:v>BAN-01186</x:v>
      </x:c>
      <x:c r="B59" s="4" t="str">
        <x:v>banjir di aceh peneliti zaiyana putri : sekolah &amp; ; outdoor &amp; ; juga menarik</x:v>
      </x:c>
      <x:c r="C59" s="4" t="str">
        <x:v>NON_EVENT</x:v>
      </x:c>
      <x:c r="D59" s="4" t="str">
        <x:v>NON_EVENT</x:v>
      </x:c>
      <x:c r="E59" s="12" t="str">
        <x:v>KOREKSI</x:v>
      </x:c>
      <x:c r="F59" s="12" t="str">
        <x:v>FLOOD</x:v>
      </x:c>
      <x:c r="G59" s="12" t="str">
        <x:v>Judul menyebut banjir di Aceh sebelum membahas sekolah. Rujukan literal kejadian tetap dinilai meskipun rincian terbatas. R1,R4,R5.</x:v>
      </x:c>
      <x:c r="H59" s="4" t="str">
        <x:f>IF(E59="SETUJU_USULAN",D59,IF(E59="KOREKSI",F59,""))</x:f>
        <x:v>FLOOD</x:v>
      </x:c>
      <x:c r="I59" s="4" t="str">
        <x:f>IF(E59="","BELUM_DIREVIEW",IF(E59="TUNDA","DITUNDA",IF(TRIM(Panduan!$B$5)="","ISI_REVIEWER",IF(AND(E59&lt;&gt;"SETUJU_USULAN",E59&lt;&gt;"KOREKSI"),"CEK_KEPUTUSAN",IF(AND(E59="SETUJU_USULAN",F59&lt;&gt;""),"HAPUS_KOREKSI",IF(H59="","ISI_KOREKSI",IF(NOT(OR(H59="FLOOD",H59="EARTHQUAKE",H59="FIRE",H59="ACCIDENT",H59="NON_EVENT")),"CEK_LABEL",IF(AND(E59="KOREKSI",TRIM(G59)=""),"ISI_CATATAN","REVIEW_TERCATAT"))))))))</x:f>
        <x:v>REVIEW_TERCATAT</x:v>
      </x:c>
      <x:c r="J59" s="4" t="str">
        <x:v>Label dataset dan prediksi baseline sama; makna MVP belum direview. Kesepakatan keduanya belum membuktikan label final.</x:v>
      </x:c>
      <x:c r="K59" s="4" t="str">
        <x:v>NON_EVENT</x:v>
      </x:c>
      <x:c r="L59" s="14" t="n">
        <x:v>0.9055383801460266</x:v>
      </x:c>
    </x:row>
    <x:row r="60" ht="64" customHeight="1">
      <x:c r="A60" s="4" t="str">
        <x:v>BAN-01782</x:v>
      </x:c>
      <x:c r="B60" s="4" t="str">
        <x:v>selamat siang tim emergency response groups ( erg ) pt timah tbk tanggal 9 mei 2019 kemarin hingga saat ini masih berada di tengah-tengah korban bencana banjir dan tanah longsor di bengkulu</x:v>
      </x:c>
      <x:c r="C60" s="4" t="str">
        <x:v>NON_EVENT</x:v>
      </x:c>
      <x:c r="D60" s="4" t="str">
        <x:v>NON_EVENT</x:v>
      </x:c>
      <x:c r="E60" s="12" t="str">
        <x:v>KOREKSI</x:v>
      </x:c>
      <x:c r="F60" s="12" t="str">
        <x:v>FLOOD</x:v>
      </x:c>
      <x:c r="G60" s="12" t="str">
        <x:v>Tim tanggap darurat dinyatakan masih bersama korban banjir dan longsor di Bengkulu. R1,R5,R6.</x:v>
      </x:c>
      <x:c r="H60" s="4" t="str">
        <x:f>IF(E60="SETUJU_USULAN",D60,IF(E60="KOREKSI",F60,""))</x:f>
        <x:v>FLOOD</x:v>
      </x:c>
      <x:c r="I60" s="4" t="str">
        <x:f>IF(E60="","BELUM_DIREVIEW",IF(E60="TUNDA","DITUNDA",IF(TRIM(Panduan!$B$5)="","ISI_REVIEWER",IF(AND(E60&lt;&gt;"SETUJU_USULAN",E60&lt;&gt;"KOREKSI"),"CEK_KEPUTUSAN",IF(AND(E60="SETUJU_USULAN",F60&lt;&gt;""),"HAPUS_KOREKSI",IF(H60="","ISI_KOREKSI",IF(NOT(OR(H60="FLOOD",H60="EARTHQUAKE",H60="FIRE",H60="ACCIDENT",H60="NON_EVENT")),"CEK_LABEL",IF(AND(E60="KOREKSI",TRIM(G60)=""),"ISI_CATATAN","REVIEW_TERCATAT"))))))))</x:f>
        <x:v>REVIEW_TERCATAT</x:v>
      </x:c>
      <x:c r="J60" s="4" t="str">
        <x:v>Label dataset dan prediksi baseline sama; makna MVP belum direview. Kesepakatan keduanya belum membuktikan label final.</x:v>
      </x:c>
      <x:c r="K60" s="4" t="str">
        <x:v>NON_EVENT</x:v>
      </x:c>
      <x:c r="L60" s="14" t="n">
        <x:v>0.9062978625297546</x:v>
      </x:c>
    </x:row>
    <x:row r="61" ht="64" customHeight="1">
      <x:c r="A61" s="4" t="str">
        <x:v>BAN-01497</x:v>
      </x:c>
      <x:c r="B61" s="4" t="str">
        <x:v>dprd jabar dorong penambahan kolam retensi : banjir di kabupaten bandung</x:v>
      </x:c>
      <x:c r="C61" s="4" t="str">
        <x:v>NON_EVENT</x:v>
      </x:c>
      <x:c r="D61" s="4" t="str">
        <x:v>NON_EVENT</x:v>
      </x:c>
      <x:c r="E61" s="12" t="str">
        <x:v>SETUJU_USULAN</x:v>
      </x:c>
      <x:c r="F61" s="12" t="str"/>
      <x:c r="G61" s="12" t="str">
        <x:v>Judul membahas usulan kolam retensi sebagai kebijakan, tanpa menyatakan episode banjir tertentu. R3.</x:v>
      </x:c>
      <x:c r="H61" s="4" t="str">
        <x:f>IF(E61="SETUJU_USULAN",D61,IF(E61="KOREKSI",F61,""))</x:f>
        <x:v>NON_EVENT</x:v>
      </x:c>
      <x:c r="I61" s="4" t="str">
        <x:f>IF(E61="","BELUM_DIREVIEW",IF(E61="TUNDA","DITUNDA",IF(TRIM(Panduan!$B$5)="","ISI_REVIEWER",IF(AND(E61&lt;&gt;"SETUJU_USULAN",E61&lt;&gt;"KOREKSI"),"CEK_KEPUTUSAN",IF(AND(E61="SETUJU_USULAN",F61&lt;&gt;""),"HAPUS_KOREKSI",IF(H61="","ISI_KOREKSI",IF(NOT(OR(H61="FLOOD",H61="EARTHQUAKE",H61="FIRE",H61="ACCIDENT",H61="NON_EVENT")),"CEK_LABEL",IF(AND(E61="KOREKSI",TRIM(G61)=""),"ISI_CATATAN","REVIEW_TERCATAT"))))))))</x:f>
        <x:v>REVIEW_TERCATAT</x:v>
      </x:c>
      <x:c r="J61" s="4" t="str">
        <x:v>Label dataset dan prediksi baseline sama; makna MVP belum direview. Kesepakatan keduanya belum membuktikan label final.</x:v>
      </x:c>
      <x:c r="K61" s="4" t="str">
        <x:v>NON_EVENT</x:v>
      </x:c>
      <x:c r="L61" s="14" t="n">
        <x:v>0.9073599576950073</x:v>
      </x:c>
    </x:row>
    <x:row r="62" ht="64" customHeight="1">
      <x:c r="A62" s="4" t="str">
        <x:v>KEC-01223</x:v>
      </x:c>
      <x:c r="B62" s="4" t="str">
        <x:v>3 jalur rawan kecelakaan di sumenep yang harus diwaspadai saat mudik</x:v>
      </x:c>
      <x:c r="C62" s="4" t="str">
        <x:v>NON_EVENT</x:v>
      </x:c>
      <x:c r="D62" s="4" t="str">
        <x:v>NON_EVENT</x:v>
      </x:c>
      <x:c r="E62" s="12" t="str">
        <x:v>SETUJU_USULAN</x:v>
      </x:c>
      <x:c r="F62" s="12" t="str"/>
      <x:c r="G62" s="12" t="str">
        <x:v>Daftar jalur rawan kecelakaan merupakan informasi risiko saat mudik. Tidak melaporkan kecelakaan yang terjadi. R3.</x:v>
      </x:c>
      <x:c r="H62" s="4" t="str">
        <x:f>IF(E62="SETUJU_USULAN",D62,IF(E62="KOREKSI",F62,""))</x:f>
        <x:v>NON_EVENT</x:v>
      </x:c>
      <x:c r="I62" s="4" t="str">
        <x:f>IF(E62="","BELUM_DIREVIEW",IF(E62="TUNDA","DITUNDA",IF(TRIM(Panduan!$B$5)="","ISI_REVIEWER",IF(AND(E62&lt;&gt;"SETUJU_USULAN",E62&lt;&gt;"KOREKSI"),"CEK_KEPUTUSAN",IF(AND(E62="SETUJU_USULAN",F62&lt;&gt;""),"HAPUS_KOREKSI",IF(H62="","ISI_KOREKSI",IF(NOT(OR(H62="FLOOD",H62="EARTHQUAKE",H62="FIRE",H62="ACCIDENT",H62="NON_EVENT")),"CEK_LABEL",IF(AND(E62="KOREKSI",TRIM(G62)=""),"ISI_CATATAN","REVIEW_TERCATAT"))))))))</x:f>
        <x:v>REVIEW_TERCATAT</x:v>
      </x:c>
      <x:c r="J62" s="4" t="str">
        <x:v>Label dataset dan prediksi baseline sama; makna MVP belum direview. Kesepakatan keduanya belum membuktikan label final.</x:v>
      </x:c>
      <x:c r="K62" s="4" t="str">
        <x:v>NON_EVENT</x:v>
      </x:c>
      <x:c r="L62" s="14" t="n">
        <x:v>0.9089636206626892</x:v>
      </x:c>
    </x:row>
    <x:row r="63" ht="64" customHeight="1">
      <x:c r="A63" s="4" t="str">
        <x:v>KEB-00898</x:v>
      </x:c>
      <x:c r="B63" s="4" t="str">
        <x:v>kebakaran hebat di kompleks pergudangan margomulyo surabaya , begini rincian bangunan nya via</x:v>
      </x:c>
      <x:c r="C63" s="4" t="str">
        <x:v>FIRE</x:v>
      </x:c>
      <x:c r="D63" s="4" t="str">
        <x:v>FIRE</x:v>
      </x:c>
      <x:c r="E63" s="12" t="str">
        <x:v>SETUJU_USULAN</x:v>
      </x:c>
      <x:c r="F63" s="12" t="str"/>
      <x:c r="G63" s="12" t="str">
        <x:v>Narasi menyatakan kejadian kebakaran yang terjadi atau telah terjadi. Label mengikuti isi kejadian, termasuk penanganan dan dampak yang disebut. R1,R4.</x:v>
      </x:c>
      <x:c r="H63" s="4" t="str">
        <x:f>IF(E63="SETUJU_USULAN",D63,IF(E63="KOREKSI",F63,""))</x:f>
        <x:v>FIRE</x:v>
      </x:c>
      <x:c r="I63" s="4" t="str">
        <x:f>IF(E63="","BELUM_DIREVIEW",IF(E63="TUNDA","DITUNDA",IF(TRIM(Panduan!$B$5)="","ISI_REVIEWER",IF(AND(E63&lt;&gt;"SETUJU_USULAN",E63&lt;&gt;"KOREKSI"),"CEK_KEPUTUSAN",IF(AND(E63="SETUJU_USULAN",F63&lt;&gt;""),"HAPUS_KOREKSI",IF(H63="","ISI_KOREKSI",IF(NOT(OR(H63="FLOOD",H63="EARTHQUAKE",H63="FIRE",H63="ACCIDENT",H63="NON_EVENT")),"CEK_LABEL",IF(AND(E63="KOREKSI",TRIM(G63)=""),"ISI_CATATAN","REVIEW_TERCATAT"))))))))</x:f>
        <x:v>REVIEW_TERCATAT</x:v>
      </x:c>
      <x:c r="J63" s="4" t="str">
        <x:v>Label dataset dan prediksi baseline sama; makna MVP belum direview. Kesepakatan keduanya belum membuktikan label final.</x:v>
      </x:c>
      <x:c r="K63" s="4" t="str">
        <x:v>FIRE</x:v>
      </x:c>
      <x:c r="L63" s="14" t="n">
        <x:v>0.9099234342575073</x:v>
      </x:c>
    </x:row>
    <x:row r="64" ht="64" customHeight="1">
      <x:c r="A64" s="4" t="str">
        <x:v>BAN-01232</x:v>
      </x:c>
      <x:c r="B64" s="4" t="str">
        <x:v>bencana banjir di desa idaman kecamatan patia ketinggian air 100-150 cuma</x:v>
      </x:c>
      <x:c r="C64" s="4" t="str">
        <x:v>FLOOD</x:v>
      </x:c>
      <x:c r="D64" s="4" t="str">
        <x:v>FLOOD</x:v>
      </x:c>
      <x:c r="E64" s="12" t="str">
        <x:v>SETUJU_USULAN</x:v>
      </x:c>
      <x:c r="F64" s="12" t="str"/>
      <x:c r="G64" s="12" t="str">
        <x:v>Narasi menyatakan kejadian banjir yang terjadi atau telah terjadi. Label mengikuti isi kejadian, termasuk penanganan dan dampak yang disebut. R1,R4.</x:v>
      </x:c>
      <x:c r="H64" s="4" t="str">
        <x:f>IF(E64="SETUJU_USULAN",D64,IF(E64="KOREKSI",F64,""))</x:f>
        <x:v>FLOOD</x:v>
      </x:c>
      <x:c r="I64" s="4" t="str">
        <x:f>IF(E64="","BELUM_DIREVIEW",IF(E64="TUNDA","DITUNDA",IF(TRIM(Panduan!$B$5)="","ISI_REVIEWER",IF(AND(E64&lt;&gt;"SETUJU_USULAN",E64&lt;&gt;"KOREKSI"),"CEK_KEPUTUSAN",IF(AND(E64="SETUJU_USULAN",F64&lt;&gt;""),"HAPUS_KOREKSI",IF(H64="","ISI_KOREKSI",IF(NOT(OR(H64="FLOOD",H64="EARTHQUAKE",H64="FIRE",H64="ACCIDENT",H64="NON_EVENT")),"CEK_LABEL",IF(AND(E64="KOREKSI",TRIM(G64)=""),"ISI_CATATAN","REVIEW_TERCATAT"))))))))</x:f>
        <x:v>REVIEW_TERCATAT</x:v>
      </x:c>
      <x:c r="J64" s="4" t="str">
        <x:v>Label dataset dan prediksi baseline sama; makna MVP belum direview. Kesepakatan keduanya belum membuktikan label final.</x:v>
      </x:c>
      <x:c r="K64" s="4" t="str">
        <x:v>FLOOD</x:v>
      </x:c>
      <x:c r="L64" s="14" t="n">
        <x:v>0.9152519106864929</x:v>
      </x:c>
    </x:row>
    <x:row r="65" ht="64" customHeight="1">
      <x:c r="A65" s="4" t="str">
        <x:v>BAN-01796</x:v>
      </x:c>
      <x:c r="B65" s="4" t="str">
        <x:v>paska banjir bengkulu ini yang dilakukan relawan dari dalam membersihkan rumah dan membersihkan lebih dari 215 sumur warga di desa genting kecamatan bang haji bengkulu tengah</x:v>
      </x:c>
      <x:c r="C65" s="4" t="str">
        <x:v>NON_EVENT</x:v>
      </x:c>
      <x:c r="D65" s="4" t="str">
        <x:v>NON_EVENT</x:v>
      </x:c>
      <x:c r="E65" s="12" t="str">
        <x:v>KOREKSI</x:v>
      </x:c>
      <x:c r="F65" s="12" t="str">
        <x:v>FLOOD</x:v>
      </x:c>
      <x:c r="G65" s="12" t="str">
        <x:v>Pembersihan rumah dan sumur disebut dilakukan pascabanjir Bengkulu. Aktivitas pascakejadian merujuk banjir tertentu. R1,R5.</x:v>
      </x:c>
      <x:c r="H65" s="4" t="str">
        <x:f>IF(E65="SETUJU_USULAN",D65,IF(E65="KOREKSI",F65,""))</x:f>
        <x:v>FLOOD</x:v>
      </x:c>
      <x:c r="I65" s="4" t="str">
        <x:f>IF(E65="","BELUM_DIREVIEW",IF(E65="TUNDA","DITUNDA",IF(TRIM(Panduan!$B$5)="","ISI_REVIEWER",IF(AND(E65&lt;&gt;"SETUJU_USULAN",E65&lt;&gt;"KOREKSI"),"CEK_KEPUTUSAN",IF(AND(E65="SETUJU_USULAN",F65&lt;&gt;""),"HAPUS_KOREKSI",IF(H65="","ISI_KOREKSI",IF(NOT(OR(H65="FLOOD",H65="EARTHQUAKE",H65="FIRE",H65="ACCIDENT",H65="NON_EVENT")),"CEK_LABEL",IF(AND(E65="KOREKSI",TRIM(G65)=""),"ISI_CATATAN","REVIEW_TERCATAT"))))))))</x:f>
        <x:v>REVIEW_TERCATAT</x:v>
      </x:c>
      <x:c r="J65" s="4" t="str">
        <x:v>Label dataset dan prediksi baseline sama; makna MVP belum direview. Kesepakatan keduanya belum membuktikan label final.</x:v>
      </x:c>
      <x:c r="K65" s="4" t="str">
        <x:v>NON_EVENT</x:v>
      </x:c>
      <x:c r="L65" s="14" t="n">
        <x:v>0.9153757095336914</x:v>
      </x:c>
    </x:row>
    <x:row r="66" ht="66" customHeight="1">
      <x:c r="A66" s="4" t="str">
        <x:v>GEM-01533</x:v>
      </x:c>
      <x:c r="B66" s="4" t="str">
        <x:v>namun munculnya musibah gempa bumi di lombok disusul gempa 7 sr pada 5 agustus 2018 terjadi cancelation lebih dari 70 % angka proyeksi perolehan devisa sebesar us $ 17 6m pada tahun ini akan menempatkan sektor pariwisata berada di posisi teratas</x:v>
      </x:c>
      <x:c r="C66" s="4" t="str">
        <x:v>NON_EVENT</x:v>
      </x:c>
      <x:c r="D66" s="4" t="str">
        <x:v>NON_EVENT</x:v>
      </x:c>
      <x:c r="E66" s="12" t="str">
        <x:v>KOREKSI</x:v>
      </x:c>
      <x:c r="F66" s="12" t="str">
        <x:v>EARTHQUAKE</x:v>
      </x:c>
      <x:c r="G66" s="12" t="str">
        <x:v>Teks menyebut gempa Lombok pada 5 Agustus 2018 yang diikuti pembatalan kunjungan. Kejadian lama tetap termasuk. R1,R5,R6.</x:v>
      </x:c>
      <x:c r="H66" s="4" t="str">
        <x:f>IF(E66="SETUJU_USULAN",D66,IF(E66="KOREKSI",F66,""))</x:f>
        <x:v>EARTHQUAKE</x:v>
      </x:c>
      <x:c r="I66" s="4" t="str">
        <x:f>IF(E66="","BELUM_DIREVIEW",IF(E66="TUNDA","DITUNDA",IF(TRIM(Panduan!$B$5)="","ISI_REVIEWER",IF(AND(E66&lt;&gt;"SETUJU_USULAN",E66&lt;&gt;"KOREKSI"),"CEK_KEPUTUSAN",IF(AND(E66="SETUJU_USULAN",F66&lt;&gt;""),"HAPUS_KOREKSI",IF(H66="","ISI_KOREKSI",IF(NOT(OR(H66="FLOOD",H66="EARTHQUAKE",H66="FIRE",H66="ACCIDENT",H66="NON_EVENT")),"CEK_LABEL",IF(AND(E66="KOREKSI",TRIM(G66)=""),"ISI_CATATAN","REVIEW_TERCATAT"))))))))</x:f>
        <x:v>REVIEW_TERCATAT</x:v>
      </x:c>
      <x:c r="J66" s="4" t="str">
        <x:v>Label dataset dan prediksi baseline sama; makna MVP belum direview. Kesepakatan keduanya belum membuktikan label final.</x:v>
      </x:c>
      <x:c r="K66" s="4" t="str">
        <x:v>NON_EVENT</x:v>
      </x:c>
      <x:c r="L66" s="14" t="n">
        <x:v>0.9184196591377258</x:v>
      </x:c>
    </x:row>
    <x:row r="67" ht="64" customHeight="1">
      <x:c r="A67" s="4" t="str">
        <x:v>BAN-01368</x:v>
      </x:c>
      <x:c r="B67" s="4" t="str">
        <x:v>menerjang banjir pangkep pada kesempatan berkeliling di pangkep akhir januari lalu bertepatan dengan pristiwa banjir besar di bumi sulawesi selatan tak terkecuali pangkep bertemu masyarakat berbagi</x:v>
      </x:c>
      <x:c r="C67" s="4" t="str">
        <x:v>NON_EVENT</x:v>
      </x:c>
      <x:c r="D67" s="4" t="str">
        <x:v>NON_EVENT</x:v>
      </x:c>
      <x:c r="E67" s="12" t="str">
        <x:v>KOREKSI</x:v>
      </x:c>
      <x:c r="F67" s="12" t="str">
        <x:v>FLOOD</x:v>
      </x:c>
      <x:c r="G67" s="12" t="str">
        <x:v>Perjalanan di Pangkep dinyatakan bertepatan dengan peristiwa banjir besar akhir Januari. Klaim kejadian konkret tetap ada. R1,R5,R6.</x:v>
      </x:c>
      <x:c r="H67" s="4" t="str">
        <x:f>IF(E67="SETUJU_USULAN",D67,IF(E67="KOREKSI",F67,""))</x:f>
        <x:v>FLOOD</x:v>
      </x:c>
      <x:c r="I67" s="4" t="str">
        <x:f>IF(E67="","BELUM_DIREVIEW",IF(E67="TUNDA","DITUNDA",IF(TRIM(Panduan!$B$5)="","ISI_REVIEWER",IF(AND(E67&lt;&gt;"SETUJU_USULAN",E67&lt;&gt;"KOREKSI"),"CEK_KEPUTUSAN",IF(AND(E67="SETUJU_USULAN",F67&lt;&gt;""),"HAPUS_KOREKSI",IF(H67="","ISI_KOREKSI",IF(NOT(OR(H67="FLOOD",H67="EARTHQUAKE",H67="FIRE",H67="ACCIDENT",H67="NON_EVENT")),"CEK_LABEL",IF(AND(E67="KOREKSI",TRIM(G67)=""),"ISI_CATATAN","REVIEW_TERCATAT"))))))))</x:f>
        <x:v>REVIEW_TERCATAT</x:v>
      </x:c>
      <x:c r="J67" s="4" t="str">
        <x:v>Label dataset dan prediksi baseline sama; makna MVP belum direview. Kesepakatan keduanya belum membuktikan label final.</x:v>
      </x:c>
      <x:c r="K67" s="4" t="str">
        <x:v>NON_EVENT</x:v>
      </x:c>
      <x:c r="L67" s="14" t="n">
        <x:v>0.9235324859619141</x:v>
      </x:c>
    </x:row>
    <x:row r="68" ht="64" customHeight="1">
      <x:c r="A68" s="4" t="str">
        <x:v>KEB-00565</x:v>
      </x:c>
      <x:c r="B68" s="4" t="str">
        <x:v>awas , 7 hutan di solo raya diminta tingkatkan kewaspadaan kebakaran . kph surakarta sebut di antaranya lereng lawu , tangen sragen hinggawonogiri !</x:v>
      </x:c>
      <x:c r="C68" s="4" t="str">
        <x:v>NON_EVENT</x:v>
      </x:c>
      <x:c r="D68" s="4" t="str">
        <x:v>NON_EVENT</x:v>
      </x:c>
      <x:c r="E68" s="12" t="str">
        <x:v>SETUJU_USULAN</x:v>
      </x:c>
      <x:c r="F68" s="12" t="str"/>
      <x:c r="G68" s="12" t="str">
        <x:v>Imbauan meningkatkan kewaspadaan hutan terhadap potensi kebakaran, tanpa kebakaran tertentu. R3.</x:v>
      </x:c>
      <x:c r="H68" s="4" t="str">
        <x:f>IF(E68="SETUJU_USULAN",D68,IF(E68="KOREKSI",F68,""))</x:f>
        <x:v>NON_EVENT</x:v>
      </x:c>
      <x:c r="I68" s="4" t="str">
        <x:f>IF(E68="","BELUM_DIREVIEW",IF(E68="TUNDA","DITUNDA",IF(TRIM(Panduan!$B$5)="","ISI_REVIEWER",IF(AND(E68&lt;&gt;"SETUJU_USULAN",E68&lt;&gt;"KOREKSI"),"CEK_KEPUTUSAN",IF(AND(E68="SETUJU_USULAN",F68&lt;&gt;""),"HAPUS_KOREKSI",IF(H68="","ISI_KOREKSI",IF(NOT(OR(H68="FLOOD",H68="EARTHQUAKE",H68="FIRE",H68="ACCIDENT",H68="NON_EVENT")),"CEK_LABEL",IF(AND(E68="KOREKSI",TRIM(G68)=""),"ISI_CATATAN","REVIEW_TERCATAT"))))))))</x:f>
        <x:v>REVIEW_TERCATAT</x:v>
      </x:c>
      <x:c r="J68" s="4" t="str">
        <x:v>Label dataset dan prediksi baseline sama; makna MVP belum direview. Kesepakatan keduanya belum membuktikan label final.</x:v>
      </x:c>
      <x:c r="K68" s="4" t="str">
        <x:v>NON_EVENT</x:v>
      </x:c>
      <x:c r="L68" s="14" t="n">
        <x:v>0.9262205362319946</x:v>
      </x:c>
    </x:row>
    <x:row r="69" ht="64" customHeight="1">
      <x:c r="A69" s="4" t="str">
        <x:v>KEB-00530</x:v>
      </x:c>
      <x:c r="B69" s="4" t="str">
        <x:v>semoga tapi emang ada kebakaran kok di bukittinggi patang sore .</x:v>
      </x:c>
      <x:c r="C69" s="4" t="str">
        <x:v>NON_EVENT</x:v>
      </x:c>
      <x:c r="D69" s="4" t="str">
        <x:v>NON_EVENT</x:v>
      </x:c>
      <x:c r="E69" s="12" t="str">
        <x:v>KOREKSI</x:v>
      </x:c>
      <x:c r="F69" s="12" t="str">
        <x:v>FIRE</x:v>
      </x:c>
      <x:c r="G69" s="12" t="str">
        <x:v>Pernyataan emang ada kebakaran di Bukittinggi patang sore secara eksplisit menegaskan kebakaran. R1.</x:v>
      </x:c>
      <x:c r="H69" s="4" t="str">
        <x:f>IF(E69="SETUJU_USULAN",D69,IF(E69="KOREKSI",F69,""))</x:f>
        <x:v>FIRE</x:v>
      </x:c>
      <x:c r="I69" s="4" t="str">
        <x:f>IF(E69="","BELUM_DIREVIEW",IF(E69="TUNDA","DITUNDA",IF(TRIM(Panduan!$B$5)="","ISI_REVIEWER",IF(AND(E69&lt;&gt;"SETUJU_USULAN",E69&lt;&gt;"KOREKSI"),"CEK_KEPUTUSAN",IF(AND(E69="SETUJU_USULAN",F69&lt;&gt;""),"HAPUS_KOREKSI",IF(H69="","ISI_KOREKSI",IF(NOT(OR(H69="FLOOD",H69="EARTHQUAKE",H69="FIRE",H69="ACCIDENT",H69="NON_EVENT")),"CEK_LABEL",IF(AND(E69="KOREKSI",TRIM(G69)=""),"ISI_CATATAN","REVIEW_TERCATAT"))))))))</x:f>
        <x:v>REVIEW_TERCATAT</x:v>
      </x:c>
      <x:c r="J69" s="4" t="str">
        <x:v>Label dataset dan prediksi baseline sama; makna MVP belum direview. Kesepakatan keduanya belum membuktikan label final.</x:v>
      </x:c>
      <x:c r="K69" s="4" t="str">
        <x:v>NON_EVENT</x:v>
      </x:c>
      <x:c r="L69" s="14" t="n">
        <x:v>0.9269080758094788</x:v>
      </x:c>
    </x:row>
    <x:row r="70" ht="64" customHeight="1">
      <x:c r="A70" s="4" t="str">
        <x:v>BAN-01142</x:v>
      </x:c>
      <x:c r="B70" s="4" t="str">
        <x:v>banjir di jalan kopo sayati</x:v>
      </x:c>
      <x:c r="C70" s="4" t="str">
        <x:v>FLOOD</x:v>
      </x:c>
      <x:c r="D70" s="4" t="str">
        <x:v>FLOOD</x:v>
      </x:c>
      <x:c r="E70" s="12" t="str">
        <x:v>SETUJU_USULAN</x:v>
      </x:c>
      <x:c r="F70" s="12" t="str"/>
      <x:c r="G70" s="12" t="str">
        <x:v>Narasi menyatakan kejadian banjir yang terjadi atau telah terjadi. Label mengikuti isi kejadian, termasuk penanganan dan dampak yang disebut. R1,R4.</x:v>
      </x:c>
      <x:c r="H70" s="4" t="str">
        <x:f>IF(E70="SETUJU_USULAN",D70,IF(E70="KOREKSI",F70,""))</x:f>
        <x:v>FLOOD</x:v>
      </x:c>
      <x:c r="I70" s="4" t="str">
        <x:f>IF(E70="","BELUM_DIREVIEW",IF(E70="TUNDA","DITUNDA",IF(TRIM(Panduan!$B$5)="","ISI_REVIEWER",IF(AND(E70&lt;&gt;"SETUJU_USULAN",E70&lt;&gt;"KOREKSI"),"CEK_KEPUTUSAN",IF(AND(E70="SETUJU_USULAN",F70&lt;&gt;""),"HAPUS_KOREKSI",IF(H70="","ISI_KOREKSI",IF(NOT(OR(H70="FLOOD",H70="EARTHQUAKE",H70="FIRE",H70="ACCIDENT",H70="NON_EVENT")),"CEK_LABEL",IF(AND(E70="KOREKSI",TRIM(G70)=""),"ISI_CATATAN","REVIEW_TERCATAT"))))))))</x:f>
        <x:v>REVIEW_TERCATAT</x:v>
      </x:c>
      <x:c r="J70" s="4" t="str">
        <x:v>Label dataset dan prediksi baseline sama; makna MVP belum direview. Kesepakatan keduanya belum membuktikan label final.</x:v>
      </x:c>
      <x:c r="K70" s="4" t="str">
        <x:v>FLOOD</x:v>
      </x:c>
      <x:c r="L70" s="14" t="n">
        <x:v>0.9288811683654785</x:v>
      </x:c>
    </x:row>
    <x:row r="71" ht="64" customHeight="1">
      <x:c r="A71" s="4" t="str">
        <x:v>BAN-01931</x:v>
      </x:c>
      <x:c r="B71" s="4" t="str">
        <x:v>proyek penanganan banjir di samarinda mulai keruk karang mumus hingga perbaikan drainase - tribun kaltim</x:v>
      </x:c>
      <x:c r="C71" s="4" t="str">
        <x:v>NON_EVENT</x:v>
      </x:c>
      <x:c r="D71" s="4" t="str">
        <x:v>NON_EVENT</x:v>
      </x:c>
      <x:c r="E71" s="12" t="str">
        <x:v>SETUJU_USULAN</x:v>
      </x:c>
      <x:c r="F71" s="12" t="str"/>
      <x:c r="G71" s="12" t="str">
        <x:v>Proyek pengerukan dan perbaikan drainase membahas penanganan umum, tanpa episode banjir tertentu. R3.</x:v>
      </x:c>
      <x:c r="H71" s="4" t="str">
        <x:f>IF(E71="SETUJU_USULAN",D71,IF(E71="KOREKSI",F71,""))</x:f>
        <x:v>NON_EVENT</x:v>
      </x:c>
      <x:c r="I71" s="4" t="str">
        <x:f>IF(E71="","BELUM_DIREVIEW",IF(E71="TUNDA","DITUNDA",IF(TRIM(Panduan!$B$5)="","ISI_REVIEWER",IF(AND(E71&lt;&gt;"SETUJU_USULAN",E71&lt;&gt;"KOREKSI"),"CEK_KEPUTUSAN",IF(AND(E71="SETUJU_USULAN",F71&lt;&gt;""),"HAPUS_KOREKSI",IF(H71="","ISI_KOREKSI",IF(NOT(OR(H71="FLOOD",H71="EARTHQUAKE",H71="FIRE",H71="ACCIDENT",H71="NON_EVENT")),"CEK_LABEL",IF(AND(E71="KOREKSI",TRIM(G71)=""),"ISI_CATATAN","REVIEW_TERCATAT"))))))))</x:f>
        <x:v>REVIEW_TERCATAT</x:v>
      </x:c>
      <x:c r="J71" s="4" t="str">
        <x:v>Label dataset dan prediksi baseline sama; makna MVP belum direview. Kesepakatan keduanya belum membuktikan label final.</x:v>
      </x:c>
      <x:c r="K71" s="4" t="str">
        <x:v>NON_EVENT</x:v>
      </x:c>
      <x:c r="L71" s="14" t="n">
        <x:v>0.9292446970939636</x:v>
      </x:c>
    </x:row>
    <x:row r="72" ht="64" customHeight="1">
      <x:c r="A72" s="4" t="str">
        <x:v>BAN-01978</x:v>
      </x:c>
      <x:c r="B72" s="4" t="str">
        <x:v>bupati sagrim tinjau lokasi banjir di kambuskato</x:v>
      </x:c>
      <x:c r="C72" s="4" t="str">
        <x:v>NON_EVENT</x:v>
      </x:c>
      <x:c r="D72" s="4" t="str">
        <x:v>NON_EVENT</x:v>
      </x:c>
      <x:c r="E72" s="12" t="str">
        <x:v>KOREKSI</x:v>
      </x:c>
      <x:c r="F72" s="12" t="str">
        <x:v>FLOOD</x:v>
      </x:c>
      <x:c r="G72" s="12" t="str">
        <x:v>Peninjauan bupati merujuk lokasi banjir tertentu di Kambuskato. Bentuk kunjungan tidak meniadakan kejadian. R1,R5.</x:v>
      </x:c>
      <x:c r="H72" s="4" t="str">
        <x:f>IF(E72="SETUJU_USULAN",D72,IF(E72="KOREKSI",F72,""))</x:f>
        <x:v>FLOOD</x:v>
      </x:c>
      <x:c r="I72" s="4" t="str">
        <x:f>IF(E72="","BELUM_DIREVIEW",IF(E72="TUNDA","DITUNDA",IF(TRIM(Panduan!$B$5)="","ISI_REVIEWER",IF(AND(E72&lt;&gt;"SETUJU_USULAN",E72&lt;&gt;"KOREKSI"),"CEK_KEPUTUSAN",IF(AND(E72="SETUJU_USULAN",F72&lt;&gt;""),"HAPUS_KOREKSI",IF(H72="","ISI_KOREKSI",IF(NOT(OR(H72="FLOOD",H72="EARTHQUAKE",H72="FIRE",H72="ACCIDENT",H72="NON_EVENT")),"CEK_LABEL",IF(AND(E72="KOREKSI",TRIM(G72)=""),"ISI_CATATAN","REVIEW_TERCATAT"))))))))</x:f>
        <x:v>REVIEW_TERCATAT</x:v>
      </x:c>
      <x:c r="J72" s="4" t="str">
        <x:v>Label dataset dan prediksi baseline sama; makna MVP belum direview. Kesepakatan keduanya belum membuktikan label final.</x:v>
      </x:c>
      <x:c r="K72" s="4" t="str">
        <x:v>NON_EVENT</x:v>
      </x:c>
      <x:c r="L72" s="14" t="n">
        <x:v>0.9316231608390808</x:v>
      </x:c>
    </x:row>
    <x:row r="73" ht="64" customHeight="1">
      <x:c r="A73" s="4" t="str">
        <x:v>KEB-00940</x:v>
      </x:c>
      <x:c r="B73" s="4" t="str">
        <x:v>. . . . kavling dpr di sidoarjo udah kebakaran semalem . baru tau di story ig . bener-bener bakalan banyak api mulai hari ini .</x:v>
      </x:c>
      <x:c r="C73" s="4" t="str">
        <x:v>NON_EVENT</x:v>
      </x:c>
      <x:c r="D73" s="4" t="str">
        <x:v>NON_EVENT</x:v>
      </x:c>
      <x:c r="E73" s="12" t="str">
        <x:v>KOREKSI</x:v>
      </x:c>
      <x:c r="F73" s="12" t="str">
        <x:v>FIRE</x:v>
      </x:c>
      <x:c r="G73" s="12" t="str">
        <x:v>Kavling DPR di Sidoarjo disebut sudah kebakaran semalam. Komentar lanjutan tidak menghapus klaim kebakaran tersebut. R1,R5.</x:v>
      </x:c>
      <x:c r="H73" s="4" t="str">
        <x:f>IF(E73="SETUJU_USULAN",D73,IF(E73="KOREKSI",F73,""))</x:f>
        <x:v>FIRE</x:v>
      </x:c>
      <x:c r="I73" s="4" t="str">
        <x:f>IF(E73="","BELUM_DIREVIEW",IF(E73="TUNDA","DITUNDA",IF(TRIM(Panduan!$B$5)="","ISI_REVIEWER",IF(AND(E73&lt;&gt;"SETUJU_USULAN",E73&lt;&gt;"KOREKSI"),"CEK_KEPUTUSAN",IF(AND(E73="SETUJU_USULAN",F73&lt;&gt;""),"HAPUS_KOREKSI",IF(H73="","ISI_KOREKSI",IF(NOT(OR(H73="FLOOD",H73="EARTHQUAKE",H73="FIRE",H73="ACCIDENT",H73="NON_EVENT")),"CEK_LABEL",IF(AND(E73="KOREKSI",TRIM(G73)=""),"ISI_CATATAN","REVIEW_TERCATAT"))))))))</x:f>
        <x:v>REVIEW_TERCATAT</x:v>
      </x:c>
      <x:c r="J73" s="4" t="str">
        <x:v>Label dataset dan prediksi baseline sama; makna MVP belum direview. Kesepakatan keduanya belum membuktikan label final.</x:v>
      </x:c>
      <x:c r="K73" s="4" t="str">
        <x:v>NON_EVENT</x:v>
      </x:c>
      <x:c r="L73" s="14" t="n">
        <x:v>0.9356184601783752</x:v>
      </x:c>
    </x:row>
    <x:row r="74" ht="64" customHeight="1">
      <x:c r="A74" s="4" t="str">
        <x:v>KEC-00323</x:v>
      </x:c>
      <x:c r="B74" s="4" t="str">
        <x:v>tangis keluarga pecah saat jenazah korban kecelakaan tanjakan emen tiba di rsud tangsel</x:v>
      </x:c>
      <x:c r="C74" s="4" t="str">
        <x:v>NON_EVENT</x:v>
      </x:c>
      <x:c r="D74" s="4" t="str">
        <x:v>NON_EVENT</x:v>
      </x:c>
      <x:c r="E74" s="12" t="str">
        <x:v>KOREKSI</x:v>
      </x:c>
      <x:c r="F74" s="12" t="str">
        <x:v>ACCIDENT</x:v>
      </x:c>
      <x:c r="G74" s="12" t="str">
        <x:v>Kedatangan jenazah merujuk korban kecelakaan Tanjakan Emen. Konteks pascakejadian tetap termasuk. R1,R5.</x:v>
      </x:c>
      <x:c r="H74" s="4" t="str">
        <x:f>IF(E74="SETUJU_USULAN",D74,IF(E74="KOREKSI",F74,""))</x:f>
        <x:v>ACCIDENT</x:v>
      </x:c>
      <x:c r="I74" s="4" t="str">
        <x:f>IF(E74="","BELUM_DIREVIEW",IF(E74="TUNDA","DITUNDA",IF(TRIM(Panduan!$B$5)="","ISI_REVIEWER",IF(AND(E74&lt;&gt;"SETUJU_USULAN",E74&lt;&gt;"KOREKSI"),"CEK_KEPUTUSAN",IF(AND(E74="SETUJU_USULAN",F74&lt;&gt;""),"HAPUS_KOREKSI",IF(H74="","ISI_KOREKSI",IF(NOT(OR(H74="FLOOD",H74="EARTHQUAKE",H74="FIRE",H74="ACCIDENT",H74="NON_EVENT")),"CEK_LABEL",IF(AND(E74="KOREKSI",TRIM(G74)=""),"ISI_CATATAN","REVIEW_TERCATAT"))))))))</x:f>
        <x:v>REVIEW_TERCATAT</x:v>
      </x:c>
      <x:c r="J74" s="4" t="str">
        <x:v>Label dataset dan prediksi baseline sama; makna MVP belum direview. Kesepakatan keduanya belum membuktikan label final.</x:v>
      </x:c>
      <x:c r="K74" s="4" t="str">
        <x:v>NON_EVENT</x:v>
      </x:c>
      <x:c r="L74" s="14" t="n">
        <x:v>0.9374898076057434</x:v>
      </x:c>
    </x:row>
    <x:row r="75" ht="64" customHeight="1">
      <x:c r="A75" s="4" t="str">
        <x:v>BAN-01110</x:v>
      </x:c>
      <x:c r="B75" s="4" t="str">
        <x:v>banjir di kecamatan sekar anggota polsek sekar bersama petugas gotong royong bantu warga</x:v>
      </x:c>
      <x:c r="C75" s="4" t="str">
        <x:v>FLOOD</x:v>
      </x:c>
      <x:c r="D75" s="4" t="str">
        <x:v>FLOOD</x:v>
      </x:c>
      <x:c r="E75" s="12" t="str">
        <x:v>SETUJU_USULAN</x:v>
      </x:c>
      <x:c r="F75" s="12" t="str"/>
      <x:c r="G75" s="12" t="str">
        <x:v>Narasi menyatakan kejadian banjir yang terjadi atau telah terjadi. Label mengikuti isi kejadian, termasuk penanganan dan dampak yang disebut. R1,R4.</x:v>
      </x:c>
      <x:c r="H75" s="4" t="str">
        <x:f>IF(E75="SETUJU_USULAN",D75,IF(E75="KOREKSI",F75,""))</x:f>
        <x:v>FLOOD</x:v>
      </x:c>
      <x:c r="I75" s="4" t="str">
        <x:f>IF(E75="","BELUM_DIREVIEW",IF(E75="TUNDA","DITUNDA",IF(TRIM(Panduan!$B$5)="","ISI_REVIEWER",IF(AND(E75&lt;&gt;"SETUJU_USULAN",E75&lt;&gt;"KOREKSI"),"CEK_KEPUTUSAN",IF(AND(E75="SETUJU_USULAN",F75&lt;&gt;""),"HAPUS_KOREKSI",IF(H75="","ISI_KOREKSI",IF(NOT(OR(H75="FLOOD",H75="EARTHQUAKE",H75="FIRE",H75="ACCIDENT",H75="NON_EVENT")),"CEK_LABEL",IF(AND(E75="KOREKSI",TRIM(G75)=""),"ISI_CATATAN","REVIEW_TERCATAT"))))))))</x:f>
        <x:v>REVIEW_TERCATAT</x:v>
      </x:c>
      <x:c r="J75" s="4" t="str">
        <x:v>Label dataset dan prediksi baseline sama; makna MVP belum direview. Kesepakatan keduanya belum membuktikan label final.</x:v>
      </x:c>
      <x:c r="K75" s="4" t="str">
        <x:v>FLOOD</x:v>
      </x:c>
      <x:c r="L75" s="14" t="n">
        <x:v>0.9378203749656677</x:v>
      </x:c>
    </x:row>
    <x:row r="76" ht="64" customHeight="1">
      <x:c r="A76" s="4" t="str">
        <x:v>GEM-01005</x:v>
      </x:c>
      <x:c r="B76" s="4" t="str">
        <x:v>tiga maut gempa bumi landa bali dan pulau jawa berita penuh di</x:v>
      </x:c>
      <x:c r="C76" s="4" t="str">
        <x:v>EARTHQUAKE</x:v>
      </x:c>
      <x:c r="D76" s="4" t="str">
        <x:v>EARTHQUAKE</x:v>
      </x:c>
      <x:c r="E76" s="12" t="str">
        <x:v>SETUJU_USULAN</x:v>
      </x:c>
      <x:c r="F76" s="12" t="str"/>
      <x:c r="G76" s="12" t="str">
        <x:v>Narasi menyatakan kejadian gempa bumi yang terjadi atau telah terjadi. Label mengikuti isi kejadian, termasuk penanganan dan dampak yang disebut. R1,R4.</x:v>
      </x:c>
      <x:c r="H76" s="4" t="str">
        <x:f>IF(E76="SETUJU_USULAN",D76,IF(E76="KOREKSI",F76,""))</x:f>
        <x:v>EARTHQUAKE</x:v>
      </x:c>
      <x:c r="I76" s="4" t="str">
        <x:f>IF(E76="","BELUM_DIREVIEW",IF(E76="TUNDA","DITUNDA",IF(TRIM(Panduan!$B$5)="","ISI_REVIEWER",IF(AND(E76&lt;&gt;"SETUJU_USULAN",E76&lt;&gt;"KOREKSI"),"CEK_KEPUTUSAN",IF(AND(E76="SETUJU_USULAN",F76&lt;&gt;""),"HAPUS_KOREKSI",IF(H76="","ISI_KOREKSI",IF(NOT(OR(H76="FLOOD",H76="EARTHQUAKE",H76="FIRE",H76="ACCIDENT",H76="NON_EVENT")),"CEK_LABEL",IF(AND(E76="KOREKSI",TRIM(G76)=""),"ISI_CATATAN","REVIEW_TERCATAT"))))))))</x:f>
        <x:v>REVIEW_TERCATAT</x:v>
      </x:c>
      <x:c r="J76" s="4" t="str">
        <x:v>Label dataset dan prediksi baseline sama; makna MVP belum direview. Kesepakatan keduanya belum membuktikan label final.</x:v>
      </x:c>
      <x:c r="K76" s="4" t="str">
        <x:v>EARTHQUAKE</x:v>
      </x:c>
      <x:c r="L76" s="14" t="n">
        <x:v>0.9385702013969421</x:v>
      </x:c>
    </x:row>
    <x:row r="77" ht="64" customHeight="1">
      <x:c r="A77" s="4" t="str">
        <x:v>BAN-01577</x:v>
      </x:c>
      <x:c r="B77" s="4" t="str">
        <x:v>aksi solidaritas kota sorong papua barat untuk korban banjir di jayapura papua</x:v>
      </x:c>
      <x:c r="C77" s="4" t="str">
        <x:v>NON_EVENT</x:v>
      </x:c>
      <x:c r="D77" s="4" t="str">
        <x:v>NON_EVENT</x:v>
      </x:c>
      <x:c r="E77" s="12" t="str">
        <x:v>KOREKSI</x:v>
      </x:c>
      <x:c r="F77" s="12" t="str">
        <x:v>FLOOD</x:v>
      </x:c>
      <x:c r="G77" s="12" t="str">
        <x:v>Aksi solidaritas ditujukan kepada korban banjir tertentu di Jayapura. Tujuan dukungan tetap memuat rujukan kejadian. R1,R5.</x:v>
      </x:c>
      <x:c r="H77" s="4" t="str">
        <x:f>IF(E77="SETUJU_USULAN",D77,IF(E77="KOREKSI",F77,""))</x:f>
        <x:v>FLOOD</x:v>
      </x:c>
      <x:c r="I77" s="4" t="str">
        <x:f>IF(E77="","BELUM_DIREVIEW",IF(E77="TUNDA","DITUNDA",IF(TRIM(Panduan!$B$5)="","ISI_REVIEWER",IF(AND(E77&lt;&gt;"SETUJU_USULAN",E77&lt;&gt;"KOREKSI"),"CEK_KEPUTUSAN",IF(AND(E77="SETUJU_USULAN",F77&lt;&gt;""),"HAPUS_KOREKSI",IF(H77="","ISI_KOREKSI",IF(NOT(OR(H77="FLOOD",H77="EARTHQUAKE",H77="FIRE",H77="ACCIDENT",H77="NON_EVENT")),"CEK_LABEL",IF(AND(E77="KOREKSI",TRIM(G77)=""),"ISI_CATATAN","REVIEW_TERCATAT"))))))))</x:f>
        <x:v>REVIEW_TERCATAT</x:v>
      </x:c>
      <x:c r="J77" s="4" t="str">
        <x:v>Label dataset dan prediksi baseline sama; makna MVP belum direview. Kesepakatan keduanya belum membuktikan label final.</x:v>
      </x:c>
      <x:c r="K77" s="4" t="str">
        <x:v>NON_EVENT</x:v>
      </x:c>
      <x:c r="L77" s="14" t="n">
        <x:v>0.9393249750137329</x:v>
      </x:c>
    </x:row>
    <x:row r="78" ht="64" customHeight="1">
      <x:c r="A78" s="4" t="str">
        <x:v>BAN-01812</x:v>
      </x:c>
      <x:c r="B78" s="4" t="str">
        <x:v>kondisi terkini banjir di kawasan industri jatake kamis ( 16/5/2019 ) sore karyawan yang ingin pulang harus melawan arus banjir</x:v>
      </x:c>
      <x:c r="C78" s="4" t="str">
        <x:v>FLOOD</x:v>
      </x:c>
      <x:c r="D78" s="4" t="str">
        <x:v>FLOOD</x:v>
      </x:c>
      <x:c r="E78" s="12" t="str">
        <x:v>SETUJU_USULAN</x:v>
      </x:c>
      <x:c r="F78" s="12" t="str"/>
      <x:c r="G78" s="12" t="str">
        <x:v>Narasi menyatakan kejadian banjir yang terjadi atau telah terjadi. Label mengikuti isi kejadian, termasuk penanganan dan dampak yang disebut. R1,R4.</x:v>
      </x:c>
      <x:c r="H78" s="4" t="str">
        <x:f>IF(E78="SETUJU_USULAN",D78,IF(E78="KOREKSI",F78,""))</x:f>
        <x:v>FLOOD</x:v>
      </x:c>
      <x:c r="I78" s="4" t="str">
        <x:f>IF(E78="","BELUM_DIREVIEW",IF(E78="TUNDA","DITUNDA",IF(TRIM(Panduan!$B$5)="","ISI_REVIEWER",IF(AND(E78&lt;&gt;"SETUJU_USULAN",E78&lt;&gt;"KOREKSI"),"CEK_KEPUTUSAN",IF(AND(E78="SETUJU_USULAN",F78&lt;&gt;""),"HAPUS_KOREKSI",IF(H78="","ISI_KOREKSI",IF(NOT(OR(H78="FLOOD",H78="EARTHQUAKE",H78="FIRE",H78="ACCIDENT",H78="NON_EVENT")),"CEK_LABEL",IF(AND(E78="KOREKSI",TRIM(G78)=""),"ISI_CATATAN","REVIEW_TERCATAT"))))))))</x:f>
        <x:v>REVIEW_TERCATAT</x:v>
      </x:c>
      <x:c r="J78" s="4" t="str">
        <x:v>Label dataset dan prediksi baseline sama; makna MVP belum direview. Kesepakatan keduanya belum membuktikan label final.</x:v>
      </x:c>
      <x:c r="K78" s="4" t="str">
        <x:v>FLOOD</x:v>
      </x:c>
      <x:c r="L78" s="14" t="n">
        <x:v>0.9403198957443237</x:v>
      </x:c>
    </x:row>
    <x:row r="79" ht="64" customHeight="1">
      <x:c r="A79" s="4" t="str">
        <x:v>GEM-01228</x:v>
      </x:c>
      <x:c r="B79" s="4" t="str">
        <x:v>pasca gempa bumi yang terjadi di kabupaten sigi dengan kekuatan 7 4 skala ritcher beberapa waktu yang lalu membuat banyak bangunan porak poranda tidak terkecuali sd inpres jono oge</x:v>
      </x:c>
      <x:c r="C79" s="4" t="str">
        <x:v>EARTHQUAKE</x:v>
      </x:c>
      <x:c r="D79" s="4" t="str">
        <x:v>EARTHQUAKE</x:v>
      </x:c>
      <x:c r="E79" s="12" t="str">
        <x:v>SETUJU_USULAN</x:v>
      </x:c>
      <x:c r="F79" s="12" t="str"/>
      <x:c r="G79" s="12" t="str">
        <x:v>Narasi menyatakan kejadian gempa bumi yang terjadi atau telah terjadi. Label mengikuti isi kejadian, termasuk penanganan dan dampak yang disebut. R1,R4.</x:v>
      </x:c>
      <x:c r="H79" s="4" t="str">
        <x:f>IF(E79="SETUJU_USULAN",D79,IF(E79="KOREKSI",F79,""))</x:f>
        <x:v>EARTHQUAKE</x:v>
      </x:c>
      <x:c r="I79" s="4" t="str">
        <x:f>IF(E79="","BELUM_DIREVIEW",IF(E79="TUNDA","DITUNDA",IF(TRIM(Panduan!$B$5)="","ISI_REVIEWER",IF(AND(E79&lt;&gt;"SETUJU_USULAN",E79&lt;&gt;"KOREKSI"),"CEK_KEPUTUSAN",IF(AND(E79="SETUJU_USULAN",F79&lt;&gt;""),"HAPUS_KOREKSI",IF(H79="","ISI_KOREKSI",IF(NOT(OR(H79="FLOOD",H79="EARTHQUAKE",H79="FIRE",H79="ACCIDENT",H79="NON_EVENT")),"CEK_LABEL",IF(AND(E79="KOREKSI",TRIM(G79)=""),"ISI_CATATAN","REVIEW_TERCATAT"))))))))</x:f>
        <x:v>REVIEW_TERCATAT</x:v>
      </x:c>
      <x:c r="J79" s="4" t="str">
        <x:v>Label dataset dan prediksi baseline sama; makna MVP belum direview. Kesepakatan keduanya belum membuktikan label final.</x:v>
      </x:c>
      <x:c r="K79" s="4" t="str">
        <x:v>EARTHQUAKE</x:v>
      </x:c>
      <x:c r="L79" s="14" t="n">
        <x:v>0.9409556984901428</x:v>
      </x:c>
    </x:row>
    <x:row r="80" ht="64" customHeight="1">
      <x:c r="A80" s="4" t="str">
        <x:v>KEB-00864</x:v>
      </x:c>
      <x:c r="B80" s="4" t="str">
        <x:v>ketua dpc partai demokrat batu bara bantu korban kebakaran di kuala indah : ketua dpc partai</x:v>
      </x:c>
      <x:c r="C80" s="4" t="str">
        <x:v>NON_EVENT</x:v>
      </x:c>
      <x:c r="D80" s="4" t="str">
        <x:v>NON_EVENT</x:v>
      </x:c>
      <x:c r="E80" s="12" t="str">
        <x:v>KOREKSI</x:v>
      </x:c>
      <x:c r="F80" s="12" t="str">
        <x:v>FIRE</x:v>
      </x:c>
      <x:c r="G80" s="12" t="str">
        <x:v>Bantuan kepada korban merujuk kebakaran di Kuala Indah. Kalimat terpotong tetap memuat rujukan kejadian. R1,R4,R5.</x:v>
      </x:c>
      <x:c r="H80" s="4" t="str">
        <x:f>IF(E80="SETUJU_USULAN",D80,IF(E80="KOREKSI",F80,""))</x:f>
        <x:v>FIRE</x:v>
      </x:c>
      <x:c r="I80" s="4" t="str">
        <x:f>IF(E80="","BELUM_DIREVIEW",IF(E80="TUNDA","DITUNDA",IF(TRIM(Panduan!$B$5)="","ISI_REVIEWER",IF(AND(E80&lt;&gt;"SETUJU_USULAN",E80&lt;&gt;"KOREKSI"),"CEK_KEPUTUSAN",IF(AND(E80="SETUJU_USULAN",F80&lt;&gt;""),"HAPUS_KOREKSI",IF(H80="","ISI_KOREKSI",IF(NOT(OR(H80="FLOOD",H80="EARTHQUAKE",H80="FIRE",H80="ACCIDENT",H80="NON_EVENT")),"CEK_LABEL",IF(AND(E80="KOREKSI",TRIM(G80)=""),"ISI_CATATAN","REVIEW_TERCATAT"))))))))</x:f>
        <x:v>REVIEW_TERCATAT</x:v>
      </x:c>
      <x:c r="J80" s="4" t="str">
        <x:v>Label dataset dan prediksi baseline sama; makna MVP belum direview. Kesepakatan keduanya belum membuktikan label final.</x:v>
      </x:c>
      <x:c r="K80" s="4" t="str">
        <x:v>NON_EVENT</x:v>
      </x:c>
      <x:c r="L80" s="14" t="n">
        <x:v>0.9434497356414795</x:v>
      </x:c>
    </x:row>
    <x:row r="81" ht="66" customHeight="1">
      <x:c r="A81" s="4" t="str">
        <x:v>KEB-00273</x:v>
      </x:c>
      <x:c r="B81" s="4" t="str">
        <x:v>babinsa kel . sangiasseri koramil 1424-05 / sinjai selatan serda umar samallo dampingi anggota baznas dalam penyaluran bantuan kepada korban musibah kebakaran di lingkungan babara kelurahan sangeserri kec . sinjai selatan kab . sinjai ( jumat , 13/3/2020 )</x:v>
      </x:c>
      <x:c r="C81" s="4" t="str">
        <x:v>NON_EVENT</x:v>
      </x:c>
      <x:c r="D81" s="4" t="str">
        <x:v>NON_EVENT</x:v>
      </x:c>
      <x:c r="E81" s="12" t="str">
        <x:v>KOREKSI</x:v>
      </x:c>
      <x:c r="F81" s="12" t="str">
        <x:v>FIRE</x:v>
      </x:c>
      <x:c r="G81" s="12" t="str">
        <x:v>Bantuan Baznas merujuk korban kebakaran di lingkungan Babara, Sinjai Selatan. R1,R5,R6.</x:v>
      </x:c>
      <x:c r="H81" s="4" t="str">
        <x:f>IF(E81="SETUJU_USULAN",D81,IF(E81="KOREKSI",F81,""))</x:f>
        <x:v>FIRE</x:v>
      </x:c>
      <x:c r="I81" s="4" t="str">
        <x:f>IF(E81="","BELUM_DIREVIEW",IF(E81="TUNDA","DITUNDA",IF(TRIM(Panduan!$B$5)="","ISI_REVIEWER",IF(AND(E81&lt;&gt;"SETUJU_USULAN",E81&lt;&gt;"KOREKSI"),"CEK_KEPUTUSAN",IF(AND(E81="SETUJU_USULAN",F81&lt;&gt;""),"HAPUS_KOREKSI",IF(H81="","ISI_KOREKSI",IF(NOT(OR(H81="FLOOD",H81="EARTHQUAKE",H81="FIRE",H81="ACCIDENT",H81="NON_EVENT")),"CEK_LABEL",IF(AND(E81="KOREKSI",TRIM(G81)=""),"ISI_CATATAN","REVIEW_TERCATAT"))))))))</x:f>
        <x:v>REVIEW_TERCATAT</x:v>
      </x:c>
      <x:c r="J81" s="4" t="str">
        <x:v>Label dataset dan prediksi baseline sama; makna MVP belum direview. Kesepakatan keduanya belum membuktikan label final.</x:v>
      </x:c>
      <x:c r="K81" s="4" t="str">
        <x:v>NON_EVENT</x:v>
      </x:c>
      <x:c r="L81" s="14" t="n">
        <x:v>0.9435389041900635</x:v>
      </x:c>
    </x:row>
    <x:row r="82" ht="64" customHeight="1">
      <x:c r="A82" s="4" t="str">
        <x:v>KEC-00308</x:v>
      </x:c>
      <x:c r="B82" s="4" t="str">
        <x:v>`` 5 news on the week '' 1 kecelakaan lalu lintas di tanjakan emen sabtu ( 10/2/2018 )</x:v>
      </x:c>
      <x:c r="C82" s="4" t="str">
        <x:v>ACCIDENT</x:v>
      </x:c>
      <x:c r="D82" s="4" t="str">
        <x:v>ACCIDENT</x:v>
      </x:c>
      <x:c r="E82" s="12" t="str">
        <x:v>SETUJU_USULAN</x:v>
      </x:c>
      <x:c r="F82" s="12" t="str"/>
      <x:c r="G82" s="12" t="str">
        <x:v>Narasi menyatakan kejadian kecelakaan yang terjadi atau telah terjadi. Label mengikuti isi kejadian, termasuk penanganan dan dampak yang disebut. R1,R4.</x:v>
      </x:c>
      <x:c r="H82" s="4" t="str">
        <x:f>IF(E82="SETUJU_USULAN",D82,IF(E82="KOREKSI",F82,""))</x:f>
        <x:v>ACCIDENT</x:v>
      </x:c>
      <x:c r="I82" s="4" t="str">
        <x:f>IF(E82="","BELUM_DIREVIEW",IF(E82="TUNDA","DITUNDA",IF(TRIM(Panduan!$B$5)="","ISI_REVIEWER",IF(AND(E82&lt;&gt;"SETUJU_USULAN",E82&lt;&gt;"KOREKSI"),"CEK_KEPUTUSAN",IF(AND(E82="SETUJU_USULAN",F82&lt;&gt;""),"HAPUS_KOREKSI",IF(H82="","ISI_KOREKSI",IF(NOT(OR(H82="FLOOD",H82="EARTHQUAKE",H82="FIRE",H82="ACCIDENT",H82="NON_EVENT")),"CEK_LABEL",IF(AND(E82="KOREKSI",TRIM(G82)=""),"ISI_CATATAN","REVIEW_TERCATAT"))))))))</x:f>
        <x:v>REVIEW_TERCATAT</x:v>
      </x:c>
      <x:c r="J82" s="4" t="str">
        <x:v>Label dataset dan prediksi baseline sama; makna MVP belum direview. Kesepakatan keduanya belum membuktikan label final.</x:v>
      </x:c>
      <x:c r="K82" s="4" t="str">
        <x:v>ACCIDENT</x:v>
      </x:c>
      <x:c r="L82" s="14" t="n">
        <x:v>0.9438092708587646</x:v>
      </x:c>
    </x:row>
    <x:row r="83" ht="66" customHeight="1">
      <x:c r="A83" s="4" t="str">
        <x:v>KEB-00755</x:v>
      </x:c>
      <x:c r="B83" s="4" t="str">
        <x:v>pagi ! : pandemi covid-19 belum reda , sementara itu gempa , banjir , kebakaran dll terjadi pula diberbagai wilayah di indonesia . penderitaan masyarakat bertambah , maka hanya tuhan yang mahakuasa dan sifat sabar saja yang pasti menolong nya !</x:v>
      </x:c>
      <x:c r="C83" s="4" t="str">
        <x:v>NON_EVENT</x:v>
      </x:c>
      <x:c r="D83" s="4" t="str">
        <x:v>NON_EVENT</x:v>
      </x:c>
      <x:c r="E83" s="12" t="str">
        <x:v>SETUJU_USULAN</x:v>
      </x:c>
      <x:c r="F83" s="12" t="str"/>
      <x:c r="G83" s="12" t="str">
        <x:v>Rangkuman berbagai bencana di banyak wilayah tidak mengidentifikasi satu kejadian tertentu. R3.</x:v>
      </x:c>
      <x:c r="H83" s="4" t="str">
        <x:f>IF(E83="SETUJU_USULAN",D83,IF(E83="KOREKSI",F83,""))</x:f>
        <x:v>NON_EVENT</x:v>
      </x:c>
      <x:c r="I83" s="4" t="str">
        <x:f>IF(E83="","BELUM_DIREVIEW",IF(E83="TUNDA","DITUNDA",IF(TRIM(Panduan!$B$5)="","ISI_REVIEWER",IF(AND(E83&lt;&gt;"SETUJU_USULAN",E83&lt;&gt;"KOREKSI"),"CEK_KEPUTUSAN",IF(AND(E83="SETUJU_USULAN",F83&lt;&gt;""),"HAPUS_KOREKSI",IF(H83="","ISI_KOREKSI",IF(NOT(OR(H83="FLOOD",H83="EARTHQUAKE",H83="FIRE",H83="ACCIDENT",H83="NON_EVENT")),"CEK_LABEL",IF(AND(E83="KOREKSI",TRIM(G83)=""),"ISI_CATATAN","REVIEW_TERCATAT"))))))))</x:f>
        <x:v>REVIEW_TERCATAT</x:v>
      </x:c>
      <x:c r="J83" s="4" t="str">
        <x:v>Label dataset dan prediksi baseline sama; makna MVP belum direview. Kesepakatan keduanya belum membuktikan label final.</x:v>
      </x:c>
      <x:c r="K83" s="4" t="str">
        <x:v>NON_EVENT</x:v>
      </x:c>
      <x:c r="L83" s="14" t="n">
        <x:v>0.9458484649658203</x:v>
      </x:c>
    </x:row>
    <x:row r="84" ht="64" customHeight="1">
      <x:c r="A84" s="4" t="str">
        <x:v>BAN-01440</x:v>
      </x:c>
      <x:c r="B84" s="4" t="str">
        <x:v>pelajar hanyut terseret banjir di dayeuh kolot bandung</x:v>
      </x:c>
      <x:c r="C84" s="4" t="str">
        <x:v>FLOOD</x:v>
      </x:c>
      <x:c r="D84" s="4" t="str">
        <x:v>FLOOD</x:v>
      </x:c>
      <x:c r="E84" s="12" t="str">
        <x:v>SETUJU_USULAN</x:v>
      </x:c>
      <x:c r="F84" s="12" t="str"/>
      <x:c r="G84" s="12" t="str">
        <x:v>Narasi menyatakan kejadian banjir yang terjadi atau telah terjadi. Label mengikuti isi kejadian, termasuk penanganan dan dampak yang disebut. R1,R4.</x:v>
      </x:c>
      <x:c r="H84" s="4" t="str">
        <x:f>IF(E84="SETUJU_USULAN",D84,IF(E84="KOREKSI",F84,""))</x:f>
        <x:v>FLOOD</x:v>
      </x:c>
      <x:c r="I84" s="4" t="str">
        <x:f>IF(E84="","BELUM_DIREVIEW",IF(E84="TUNDA","DITUNDA",IF(TRIM(Panduan!$B$5)="","ISI_REVIEWER",IF(AND(E84&lt;&gt;"SETUJU_USULAN",E84&lt;&gt;"KOREKSI"),"CEK_KEPUTUSAN",IF(AND(E84="SETUJU_USULAN",F84&lt;&gt;""),"HAPUS_KOREKSI",IF(H84="","ISI_KOREKSI",IF(NOT(OR(H84="FLOOD",H84="EARTHQUAKE",H84="FIRE",H84="ACCIDENT",H84="NON_EVENT")),"CEK_LABEL",IF(AND(E84="KOREKSI",TRIM(G84)=""),"ISI_CATATAN","REVIEW_TERCATAT"))))))))</x:f>
        <x:v>REVIEW_TERCATAT</x:v>
      </x:c>
      <x:c r="J84" s="4" t="str">
        <x:v>Label dataset dan prediksi baseline sama; makna MVP belum direview. Kesepakatan keduanya belum membuktikan label final.</x:v>
      </x:c>
      <x:c r="K84" s="4" t="str">
        <x:v>FLOOD</x:v>
      </x:c>
      <x:c r="L84" s="14" t="n">
        <x:v>0.9459605813026428</x:v>
      </x:c>
    </x:row>
    <x:row r="85" ht="64" customHeight="1">
      <x:c r="A85" s="4" t="str">
        <x:v>BAN-01670</x:v>
      </x:c>
      <x:c r="B85" s="4" t="str">
        <x:v>hujan deras banjir di jalanan yang kami lintasi ditambah gemerlap lampu bercampur kabut membuat kami harus berjalan melambat agar selamat sementara temanku terlelap subhanallah apa maksudnya wllh ` lm</x:v>
      </x:c>
      <x:c r="C85" s="4" t="str">
        <x:v>NON_EVENT</x:v>
      </x:c>
      <x:c r="D85" s="4" t="str">
        <x:v>NON_EVENT</x:v>
      </x:c>
      <x:c r="E85" s="12" t="str">
        <x:v>KOREKSI</x:v>
      </x:c>
      <x:c r="F85" s="12" t="str">
        <x:v>FLOOD</x:v>
      </x:c>
      <x:c r="G85" s="12" t="str">
        <x:v>Pelapor menyatakan jalan yang dilintasi banjir sehingga perjalanan melambat. Ungkapan reflektif tidak menghapus kondisi fisik yang disebut. R1,R4.</x:v>
      </x:c>
      <x:c r="H85" s="4" t="str">
        <x:f>IF(E85="SETUJU_USULAN",D85,IF(E85="KOREKSI",F85,""))</x:f>
        <x:v>FLOOD</x:v>
      </x:c>
      <x:c r="I85" s="4" t="str">
        <x:f>IF(E85="","BELUM_DIREVIEW",IF(E85="TUNDA","DITUNDA",IF(TRIM(Panduan!$B$5)="","ISI_REVIEWER",IF(AND(E85&lt;&gt;"SETUJU_USULAN",E85&lt;&gt;"KOREKSI"),"CEK_KEPUTUSAN",IF(AND(E85="SETUJU_USULAN",F85&lt;&gt;""),"HAPUS_KOREKSI",IF(H85="","ISI_KOREKSI",IF(NOT(OR(H85="FLOOD",H85="EARTHQUAKE",H85="FIRE",H85="ACCIDENT",H85="NON_EVENT")),"CEK_LABEL",IF(AND(E85="KOREKSI",TRIM(G85)=""),"ISI_CATATAN","REVIEW_TERCATAT"))))))))</x:f>
        <x:v>REVIEW_TERCATAT</x:v>
      </x:c>
      <x:c r="J85" s="4" t="str">
        <x:v>Label dataset dan prediksi baseline sama; makna MVP belum direview. Kesepakatan keduanya belum membuktikan label final.</x:v>
      </x:c>
      <x:c r="K85" s="4" t="str">
        <x:v>NON_EVENT</x:v>
      </x:c>
      <x:c r="L85" s="14" t="n">
        <x:v>0.9462392926216125</x:v>
      </x:c>
    </x:row>
    <x:row r="86" ht="64" customHeight="1">
      <x:c r="A86" s="4" t="str">
        <x:v>KEB-00461</x:v>
      </x:c>
      <x:c r="B86" s="4" t="str">
        <x:v>video kebakaran di desa jaro rt 5 kec . jaro kab . tabalong video lengkap nya di youtobe . . link :</x:v>
      </x:c>
      <x:c r="C86" s="4" t="str">
        <x:v>FIRE</x:v>
      </x:c>
      <x:c r="D86" s="4" t="str">
        <x:v>FIRE</x:v>
      </x:c>
      <x:c r="E86" s="12" t="str">
        <x:v>SETUJU_USULAN</x:v>
      </x:c>
      <x:c r="F86" s="12" t="str"/>
      <x:c r="G86" s="12" t="str">
        <x:v>Narasi menyatakan kejadian kebakaran yang terjadi atau telah terjadi. Label mengikuti isi kejadian, termasuk penanganan dan dampak yang disebut. R1,R4.</x:v>
      </x:c>
      <x:c r="H86" s="4" t="str">
        <x:f>IF(E86="SETUJU_USULAN",D86,IF(E86="KOREKSI",F86,""))</x:f>
        <x:v>FIRE</x:v>
      </x:c>
      <x:c r="I86" s="4" t="str">
        <x:f>IF(E86="","BELUM_DIREVIEW",IF(E86="TUNDA","DITUNDA",IF(TRIM(Panduan!$B$5)="","ISI_REVIEWER",IF(AND(E86&lt;&gt;"SETUJU_USULAN",E86&lt;&gt;"KOREKSI"),"CEK_KEPUTUSAN",IF(AND(E86="SETUJU_USULAN",F86&lt;&gt;""),"HAPUS_KOREKSI",IF(H86="","ISI_KOREKSI",IF(NOT(OR(H86="FLOOD",H86="EARTHQUAKE",H86="FIRE",H86="ACCIDENT",H86="NON_EVENT")),"CEK_LABEL",IF(AND(E86="KOREKSI",TRIM(G86)=""),"ISI_CATATAN","REVIEW_TERCATAT"))))))))</x:f>
        <x:v>REVIEW_TERCATAT</x:v>
      </x:c>
      <x:c r="J86" s="4" t="str">
        <x:v>Label dataset dan prediksi baseline sama; makna MVP belum direview. Kesepakatan keduanya belum membuktikan label final.</x:v>
      </x:c>
      <x:c r="K86" s="4" t="str">
        <x:v>FIRE</x:v>
      </x:c>
      <x:c r="L86" s="14" t="n">
        <x:v>0.9480398297309875</x:v>
      </x:c>
    </x:row>
    <x:row r="87" ht="64" customHeight="1">
      <x:c r="A87" s="4" t="str">
        <x:v>GEM-01631</x:v>
      </x:c>
      <x:c r="B87" s="4" t="str">
        <x:v>saja share : gempa bumi di lombok pengaruhi capaian pembangunan</x:v>
      </x:c>
      <x:c r="C87" s="4" t="str">
        <x:v>NON_EVENT</x:v>
      </x:c>
      <x:c r="D87" s="4" t="str">
        <x:v>NON_EVENT</x:v>
      </x:c>
      <x:c r="E87" s="12" t="str">
        <x:v>KOREKSI</x:v>
      </x:c>
      <x:c r="F87" s="12" t="str">
        <x:v>EARTHQUAKE</x:v>
      </x:c>
      <x:c r="G87" s="12" t="str">
        <x:v>Pengaruh pada pembangunan dikaitkan dengan gempa bumi di Lombok. Fokus dampak pembangunan tetap merujuk kejadian. R1,R5.</x:v>
      </x:c>
      <x:c r="H87" s="4" t="str">
        <x:f>IF(E87="SETUJU_USULAN",D87,IF(E87="KOREKSI",F87,""))</x:f>
        <x:v>EARTHQUAKE</x:v>
      </x:c>
      <x:c r="I87" s="4" t="str">
        <x:f>IF(E87="","BELUM_DIREVIEW",IF(E87="TUNDA","DITUNDA",IF(TRIM(Panduan!$B$5)="","ISI_REVIEWER",IF(AND(E87&lt;&gt;"SETUJU_USULAN",E87&lt;&gt;"KOREKSI"),"CEK_KEPUTUSAN",IF(AND(E87="SETUJU_USULAN",F87&lt;&gt;""),"HAPUS_KOREKSI",IF(H87="","ISI_KOREKSI",IF(NOT(OR(H87="FLOOD",H87="EARTHQUAKE",H87="FIRE",H87="ACCIDENT",H87="NON_EVENT")),"CEK_LABEL",IF(AND(E87="KOREKSI",TRIM(G87)=""),"ISI_CATATAN","REVIEW_TERCATAT"))))))))</x:f>
        <x:v>REVIEW_TERCATAT</x:v>
      </x:c>
      <x:c r="J87" s="4" t="str">
        <x:v>Label dataset dan prediksi baseline sama; makna MVP belum direview. Kesepakatan keduanya belum membuktikan label final.</x:v>
      </x:c>
      <x:c r="K87" s="4" t="str">
        <x:v>NON_EVENT</x:v>
      </x:c>
      <x:c r="L87" s="14" t="n">
        <x:v>0.9482595324516296</x:v>
      </x:c>
    </x:row>
    <x:row r="88" ht="64" customHeight="1">
      <x:c r="A88" s="4" t="str">
        <x:v>KEB-00843</x:v>
      </x:c>
      <x:c r="B88" s="4" t="str">
        <x:v>kebakaran di jalan barukang 1 makassar | trending in indonesia asian networkmedia</x:v>
      </x:c>
      <x:c r="C88" s="4" t="str">
        <x:v>FIRE</x:v>
      </x:c>
      <x:c r="D88" s="4" t="str">
        <x:v>FIRE</x:v>
      </x:c>
      <x:c r="E88" s="12" t="str">
        <x:v>SETUJU_USULAN</x:v>
      </x:c>
      <x:c r="F88" s="12" t="str"/>
      <x:c r="G88" s="12" t="str">
        <x:v>Narasi menyatakan kejadian kebakaran yang terjadi atau telah terjadi. Label mengikuti isi kejadian, termasuk penanganan dan dampak yang disebut. R1,R4.</x:v>
      </x:c>
      <x:c r="H88" s="4" t="str">
        <x:f>IF(E88="SETUJU_USULAN",D88,IF(E88="KOREKSI",F88,""))</x:f>
        <x:v>FIRE</x:v>
      </x:c>
      <x:c r="I88" s="4" t="str">
        <x:f>IF(E88="","BELUM_DIREVIEW",IF(E88="TUNDA","DITUNDA",IF(TRIM(Panduan!$B$5)="","ISI_REVIEWER",IF(AND(E88&lt;&gt;"SETUJU_USULAN",E88&lt;&gt;"KOREKSI"),"CEK_KEPUTUSAN",IF(AND(E88="SETUJU_USULAN",F88&lt;&gt;""),"HAPUS_KOREKSI",IF(H88="","ISI_KOREKSI",IF(NOT(OR(H88="FLOOD",H88="EARTHQUAKE",H88="FIRE",H88="ACCIDENT",H88="NON_EVENT")),"CEK_LABEL",IF(AND(E88="KOREKSI",TRIM(G88)=""),"ISI_CATATAN","REVIEW_TERCATAT"))))))))</x:f>
        <x:v>REVIEW_TERCATAT</x:v>
      </x:c>
      <x:c r="J88" s="4" t="str">
        <x:v>Label dataset dan prediksi baseline sama; makna MVP belum direview. Kesepakatan keduanya belum membuktikan label final.</x:v>
      </x:c>
      <x:c r="K88" s="4" t="str">
        <x:v>FIRE</x:v>
      </x:c>
      <x:c r="L88" s="14" t="n">
        <x:v>0.9486886858940125</x:v>
      </x:c>
    </x:row>
    <x:row r="89" ht="66" customHeight="1">
      <x:c r="A89" s="4" t="str">
        <x:v>BAN-01763</x:v>
      </x:c>
      <x:c r="B89" s="4"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C89" s="4" t="str">
        <x:v>NON_EVENT</x:v>
      </x:c>
      <x:c r="D89" s="4" t="str">
        <x:v>NON_EVENT</x:v>
      </x:c>
      <x:c r="E89" s="12" t="str">
        <x:v>SETUJU_USULAN</x:v>
      </x:c>
      <x:c r="F89" s="12" t="str"/>
      <x:c r="G89" s="12" t="str">
        <x:v>Pemantauan debit air dilakukan untuk antisipasi di daerah rawan. Banjir belum dinyatakan terjadi. R3.</x:v>
      </x:c>
      <x:c r="H89" s="4" t="str">
        <x:f>IF(E89="SETUJU_USULAN",D89,IF(E89="KOREKSI",F89,""))</x:f>
        <x:v>NON_EVENT</x:v>
      </x:c>
      <x:c r="I89" s="4" t="str">
        <x:f>IF(E89="","BELUM_DIREVIEW",IF(E89="TUNDA","DITUNDA",IF(TRIM(Panduan!$B$5)="","ISI_REVIEWER",IF(AND(E89&lt;&gt;"SETUJU_USULAN",E89&lt;&gt;"KOREKSI"),"CEK_KEPUTUSAN",IF(AND(E89="SETUJU_USULAN",F89&lt;&gt;""),"HAPUS_KOREKSI",IF(H89="","ISI_KOREKSI",IF(NOT(OR(H89="FLOOD",H89="EARTHQUAKE",H89="FIRE",H89="ACCIDENT",H89="NON_EVENT")),"CEK_LABEL",IF(AND(E89="KOREKSI",TRIM(G89)=""),"ISI_CATATAN","REVIEW_TERCATAT"))))))))</x:f>
        <x:v>REVIEW_TERCATAT</x:v>
      </x:c>
      <x:c r="J89" s="4" t="str">
        <x:v>Label dataset dan prediksi baseline sama; makna MVP belum direview. Kesepakatan keduanya belum membuktikan label final.</x:v>
      </x:c>
      <x:c r="K89" s="4" t="str">
        <x:v>NON_EVENT</x:v>
      </x:c>
      <x:c r="L89" s="14" t="n">
        <x:v>0.9488805532455444</x:v>
      </x:c>
    </x:row>
    <x:row r="90" ht="64" customHeight="1">
      <x:c r="A90" s="4" t="str">
        <x:v>BAN-01645</x:v>
      </x:c>
      <x:c r="B90" s="4" t="str">
        <x:v>banjir kembali `` mengganas '' di dompu diperkirakan ratusan rumah warga terendam air dengan ketinggian sekitar 2 meter</x:v>
      </x:c>
      <x:c r="C90" s="4" t="str">
        <x:v>FLOOD</x:v>
      </x:c>
      <x:c r="D90" s="4" t="str">
        <x:v>FLOOD</x:v>
      </x:c>
      <x:c r="E90" s="12" t="str">
        <x:v>SETUJU_USULAN</x:v>
      </x:c>
      <x:c r="F90" s="12" t="str"/>
      <x:c r="G90" s="12" t="str">
        <x:v>Narasi menyatakan kejadian banjir yang terjadi atau telah terjadi. Label mengikuti isi kejadian, termasuk penanganan dan dampak yang disebut. R1,R4.</x:v>
      </x:c>
      <x:c r="H90" s="4" t="str">
        <x:f>IF(E90="SETUJU_USULAN",D90,IF(E90="KOREKSI",F90,""))</x:f>
        <x:v>FLOOD</x:v>
      </x:c>
      <x:c r="I90" s="4" t="str">
        <x:f>IF(E90="","BELUM_DIREVIEW",IF(E90="TUNDA","DITUNDA",IF(TRIM(Panduan!$B$5)="","ISI_REVIEWER",IF(AND(E90&lt;&gt;"SETUJU_USULAN",E90&lt;&gt;"KOREKSI"),"CEK_KEPUTUSAN",IF(AND(E90="SETUJU_USULAN",F90&lt;&gt;""),"HAPUS_KOREKSI",IF(H90="","ISI_KOREKSI",IF(NOT(OR(H90="FLOOD",H90="EARTHQUAKE",H90="FIRE",H90="ACCIDENT",H90="NON_EVENT")),"CEK_LABEL",IF(AND(E90="KOREKSI",TRIM(G90)=""),"ISI_CATATAN","REVIEW_TERCATAT"))))))))</x:f>
        <x:v>REVIEW_TERCATAT</x:v>
      </x:c>
      <x:c r="J90" s="4" t="str">
        <x:v>Label dataset dan prediksi baseline sama; makna MVP belum direview. Kesepakatan keduanya belum membuktikan label final.</x:v>
      </x:c>
      <x:c r="K90" s="4" t="str">
        <x:v>FLOOD</x:v>
      </x:c>
      <x:c r="L90" s="14" t="n">
        <x:v>0.9496315121650696</x:v>
      </x:c>
    </x:row>
    <x:row r="91" ht="66" customHeight="1">
      <x:c r="A91" s="4" t="str">
        <x:v>KEB-00431</x:v>
      </x:c>
      <x:c r="B91" s="4" t="str">
        <x:v>tim elshinta peduli menyerahkan bantuan dari pendengar radio elshinta berupa 200 paket makanan cepat saji &amp; amp 200 minuman kemasan kepada warga korban kebakaran di rt 9 rw 3 , kel . tegal parang , mampang prapatan , jakarta selatan , minggu ( 7/6 ) dini hari . ( riw )</x:v>
      </x:c>
      <x:c r="C91" s="4" t="str">
        <x:v>NON_EVENT</x:v>
      </x:c>
      <x:c r="D91" s="4" t="str">
        <x:v>NON_EVENT</x:v>
      </x:c>
      <x:c r="E91" s="12" t="str">
        <x:v>KOREKSI</x:v>
      </x:c>
      <x:c r="F91" s="12" t="str">
        <x:v>FIRE</x:v>
      </x:c>
      <x:c r="G91" s="12" t="str">
        <x:v>Penyerahan makanan dan minuman merujuk warga korban kebakaran di Tegal Parang. Informasi bantuan tetap termasuk. R1,R5.</x:v>
      </x:c>
      <x:c r="H91" s="4" t="str">
        <x:f>IF(E91="SETUJU_USULAN",D91,IF(E91="KOREKSI",F91,""))</x:f>
        <x:v>FIRE</x:v>
      </x:c>
      <x:c r="I91" s="4" t="str">
        <x:f>IF(E91="","BELUM_DIREVIEW",IF(E91="TUNDA","DITUNDA",IF(TRIM(Panduan!$B$5)="","ISI_REVIEWER",IF(AND(E91&lt;&gt;"SETUJU_USULAN",E91&lt;&gt;"KOREKSI"),"CEK_KEPUTUSAN",IF(AND(E91="SETUJU_USULAN",F91&lt;&gt;""),"HAPUS_KOREKSI",IF(H91="","ISI_KOREKSI",IF(NOT(OR(H91="FLOOD",H91="EARTHQUAKE",H91="FIRE",H91="ACCIDENT",H91="NON_EVENT")),"CEK_LABEL",IF(AND(E91="KOREKSI",TRIM(G91)=""),"ISI_CATATAN","REVIEW_TERCATAT"))))))))</x:f>
        <x:v>REVIEW_TERCATAT</x:v>
      </x:c>
      <x:c r="J91" s="4" t="str">
        <x:v>Label dataset dan prediksi baseline sama; makna MVP belum direview. Kesepakatan keduanya belum membuktikan label final.</x:v>
      </x:c>
      <x:c r="K91" s="4" t="str">
        <x:v>NON_EVENT</x:v>
      </x:c>
      <x:c r="L91" s="14" t="n">
        <x:v>0.9498988389968872</x:v>
      </x:c>
    </x:row>
    <x:row r="92" ht="64" customHeight="1">
      <x:c r="A92" s="4" t="str">
        <x:v>KEB-00861</x:v>
      </x:c>
      <x:c r="B92" s="4" t="str">
        <x:v>kebakaran terbesar di pesisir barat as tewaskan 15 orang</x:v>
      </x:c>
      <x:c r="C92" s="4" t="str">
        <x:v>FIRE</x:v>
      </x:c>
      <x:c r="D92" s="4" t="str">
        <x:v>FIRE</x:v>
      </x:c>
      <x:c r="E92" s="12" t="str">
        <x:v>SETUJU_USULAN</x:v>
      </x:c>
      <x:c r="F92" s="12" t="str"/>
      <x:c r="G92" s="12" t="str">
        <x:v>Narasi menyatakan kejadian kebakaran yang terjadi atau telah terjadi. Label mengikuti isi kejadian, termasuk penanganan dan dampak yang disebut. R1,R4.</x:v>
      </x:c>
      <x:c r="H92" s="4" t="str">
        <x:f>IF(E92="SETUJU_USULAN",D92,IF(E92="KOREKSI",F92,""))</x:f>
        <x:v>FIRE</x:v>
      </x:c>
      <x:c r="I92" s="4" t="str">
        <x:f>IF(E92="","BELUM_DIREVIEW",IF(E92="TUNDA","DITUNDA",IF(TRIM(Panduan!$B$5)="","ISI_REVIEWER",IF(AND(E92&lt;&gt;"SETUJU_USULAN",E92&lt;&gt;"KOREKSI"),"CEK_KEPUTUSAN",IF(AND(E92="SETUJU_USULAN",F92&lt;&gt;""),"HAPUS_KOREKSI",IF(H92="","ISI_KOREKSI",IF(NOT(OR(H92="FLOOD",H92="EARTHQUAKE",H92="FIRE",H92="ACCIDENT",H92="NON_EVENT")),"CEK_LABEL",IF(AND(E92="KOREKSI",TRIM(G92)=""),"ISI_CATATAN","REVIEW_TERCATAT"))))))))</x:f>
        <x:v>REVIEW_TERCATAT</x:v>
      </x:c>
      <x:c r="J92" s="4" t="str">
        <x:v>Label dataset dan prediksi baseline sama; makna MVP belum direview. Kesepakatan keduanya belum membuktikan label final.</x:v>
      </x:c>
      <x:c r="K92" s="4" t="str">
        <x:v>FIRE</x:v>
      </x:c>
      <x:c r="L92" s="14" t="n">
        <x:v>0.9505460858345032</x:v>
      </x:c>
    </x:row>
    <x:row r="93" ht="66" customHeight="1">
      <x:c r="A93" s="4" t="str">
        <x:v>KEB-00871</x:v>
      </x:c>
      <x:c r="B93" s="4" t="str">
        <x:v>rabu , 16 september 2020 pukul 4.5 wib unit garuda 112 yang terdiri dari petugas bpbd , relawan frpb , petugas damkar pol pp kab . kudus dibantu damkar djarum , damkar pura dan warga sekitar melakukan pemadaman kebakaran rumah di desa jati kulon rt05 rw01 kec . jati .</x:v>
      </x:c>
      <x:c r="C93" s="4" t="str">
        <x:v>FIRE</x:v>
      </x:c>
      <x:c r="D93" s="4" t="str">
        <x:v>FIRE</x:v>
      </x:c>
      <x:c r="E93" s="12" t="str">
        <x:v>SETUJU_USULAN</x:v>
      </x:c>
      <x:c r="F93" s="12" t="str"/>
      <x:c r="G93" s="12" t="str">
        <x:v>Narasi menyatakan kejadian kebakaran yang terjadi atau telah terjadi. Label mengikuti isi kejadian, termasuk penanganan dan dampak yang disebut. R1,R4.</x:v>
      </x:c>
      <x:c r="H93" s="4" t="str">
        <x:f>IF(E93="SETUJU_USULAN",D93,IF(E93="KOREKSI",F93,""))</x:f>
        <x:v>FIRE</x:v>
      </x:c>
      <x:c r="I93" s="4" t="str">
        <x:f>IF(E93="","BELUM_DIREVIEW",IF(E93="TUNDA","DITUNDA",IF(TRIM(Panduan!$B$5)="","ISI_REVIEWER",IF(AND(E93&lt;&gt;"SETUJU_USULAN",E93&lt;&gt;"KOREKSI"),"CEK_KEPUTUSAN",IF(AND(E93="SETUJU_USULAN",F93&lt;&gt;""),"HAPUS_KOREKSI",IF(H93="","ISI_KOREKSI",IF(NOT(OR(H93="FLOOD",H93="EARTHQUAKE",H93="FIRE",H93="ACCIDENT",H93="NON_EVENT")),"CEK_LABEL",IF(AND(E93="KOREKSI",TRIM(G93)=""),"ISI_CATATAN","REVIEW_TERCATAT"))))))))</x:f>
        <x:v>REVIEW_TERCATAT</x:v>
      </x:c>
      <x:c r="J93" s="4" t="str">
        <x:v>Label dataset dan prediksi baseline sama; makna MVP belum direview. Kesepakatan keduanya belum membuktikan label final.</x:v>
      </x:c>
      <x:c r="K93" s="4" t="str">
        <x:v>FIRE</x:v>
      </x:c>
      <x:c r="L93" s="14" t="n">
        <x:v>0.9505584239959717</x:v>
      </x:c>
    </x:row>
    <x:row r="94" ht="64" customHeight="1">
      <x:c r="A94" s="4" t="str">
        <x:v>BAN-01003</x:v>
      </x:c>
      <x:c r="B94" s="4" t="str">
        <x:v>musim hujan telah tiba waspada ancaman banjir di sekitar kamu ya gaesss video :</x:v>
      </x:c>
      <x:c r="C94" s="4" t="str">
        <x:v>NON_EVENT</x:v>
      </x:c>
      <x:c r="D94" s="4" t="str">
        <x:v>NON_EVENT</x:v>
      </x:c>
      <x:c r="E94" s="12" t="str">
        <x:v>SETUJU_USULAN</x:v>
      </x:c>
      <x:c r="F94" s="12" t="str"/>
      <x:c r="G94" s="12" t="str">
        <x:v>Peringatan ancaman banjir pada musim hujan, tanpa klaim banjir sudah terjadi. R3.</x:v>
      </x:c>
      <x:c r="H94" s="4" t="str">
        <x:f>IF(E94="SETUJU_USULAN",D94,IF(E94="KOREKSI",F94,""))</x:f>
        <x:v>NON_EVENT</x:v>
      </x:c>
      <x:c r="I94" s="4" t="str">
        <x:f>IF(E94="","BELUM_DIREVIEW",IF(E94="TUNDA","DITUNDA",IF(TRIM(Panduan!$B$5)="","ISI_REVIEWER",IF(AND(E94&lt;&gt;"SETUJU_USULAN",E94&lt;&gt;"KOREKSI"),"CEK_KEPUTUSAN",IF(AND(E94="SETUJU_USULAN",F94&lt;&gt;""),"HAPUS_KOREKSI",IF(H94="","ISI_KOREKSI",IF(NOT(OR(H94="FLOOD",H94="EARTHQUAKE",H94="FIRE",H94="ACCIDENT",H94="NON_EVENT")),"CEK_LABEL",IF(AND(E94="KOREKSI",TRIM(G94)=""),"ISI_CATATAN","REVIEW_TERCATAT"))))))))</x:f>
        <x:v>REVIEW_TERCATAT</x:v>
      </x:c>
      <x:c r="J94" s="4" t="str">
        <x:v>Label dataset dan prediksi baseline sama; makna MVP belum direview. Kesepakatan keduanya belum membuktikan label final.</x:v>
      </x:c>
      <x:c r="K94" s="4" t="str">
        <x:v>NON_EVENT</x:v>
      </x:c>
      <x:c r="L94" s="14" t="n">
        <x:v>0.9509753584861755</x:v>
      </x:c>
    </x:row>
    <x:row r="95" ht="64" customHeight="1">
      <x:c r="A95" s="4" t="str">
        <x:v>BAN-01866</x:v>
      </x:c>
      <x:c r="B95" s="4" t="str">
        <x:v>innalillahi banjir di konawe utara sultra ya allah lindungilah saudara2 kami alfatihah</x:v>
      </x:c>
      <x:c r="C95" s="4" t="str">
        <x:v>NON_EVENT</x:v>
      </x:c>
      <x:c r="D95" s="4" t="str">
        <x:v>NON_EVENT</x:v>
      </x:c>
      <x:c r="E95" s="12" t="str">
        <x:v>KOREKSI</x:v>
      </x:c>
      <x:c r="F95" s="12" t="str">
        <x:v>FLOOD</x:v>
      </x:c>
      <x:c r="G95" s="12" t="str">
        <x:v>Doa menyebut banjir di Konawe Utara, Sulawesi Tenggara. Bentuk doa tidak menghapus klaim kejadian pada lokasi tersebut. R1,R5.</x:v>
      </x:c>
      <x:c r="H95" s="4" t="str">
        <x:f>IF(E95="SETUJU_USULAN",D95,IF(E95="KOREKSI",F95,""))</x:f>
        <x:v>FLOOD</x:v>
      </x:c>
      <x:c r="I95" s="4" t="str">
        <x:f>IF(E95="","BELUM_DIREVIEW",IF(E95="TUNDA","DITUNDA",IF(TRIM(Panduan!$B$5)="","ISI_REVIEWER",IF(AND(E95&lt;&gt;"SETUJU_USULAN",E95&lt;&gt;"KOREKSI"),"CEK_KEPUTUSAN",IF(AND(E95="SETUJU_USULAN",F95&lt;&gt;""),"HAPUS_KOREKSI",IF(H95="","ISI_KOREKSI",IF(NOT(OR(H95="FLOOD",H95="EARTHQUAKE",H95="FIRE",H95="ACCIDENT",H95="NON_EVENT")),"CEK_LABEL",IF(AND(E95="KOREKSI",TRIM(G95)=""),"ISI_CATATAN","REVIEW_TERCATAT"))))))))</x:f>
        <x:v>REVIEW_TERCATAT</x:v>
      </x:c>
      <x:c r="J95" s="4" t="str">
        <x:v>Label dataset dan prediksi baseline sama; makna MVP belum direview. Kesepakatan keduanya belum membuktikan label final.</x:v>
      </x:c>
      <x:c r="K95" s="4" t="str">
        <x:v>NON_EVENT</x:v>
      </x:c>
      <x:c r="L95" s="14" t="n">
        <x:v>0.9521995782852173</x:v>
      </x:c>
    </x:row>
    <x:row r="96" ht="66" customHeight="1">
      <x:c r="A96" s="4" t="str">
        <x:v>KEB-00599</x:v>
      </x:c>
      <x:c r="B96" s="4" t="str">
        <x:v>fasdes dpg bersama manggala agni daops kapuas melakukan diskusi pencegahan kebakaran hutan dan lahan di kantor desa saja binjai , kec . kapuas murung , kab . kapuas , kalimantan tengah , rabu , ( 8/7/2020 ) . , lihat selengkapnya :</x:v>
      </x:c>
      <x:c r="C96" s="4" t="str">
        <x:v>NON_EVENT</x:v>
      </x:c>
      <x:c r="D96" s="4" t="str">
        <x:v>NON_EVENT</x:v>
      </x:c>
      <x:c r="E96" s="12" t="str">
        <x:v>SETUJU_USULAN</x:v>
      </x:c>
      <x:c r="F96" s="12" t="str"/>
      <x:c r="G96" s="12" t="str">
        <x:v>Diskusi pencegahan karhutla merupakan kegiatan antisipasi, bukan laporan kebakaran. R3.</x:v>
      </x:c>
      <x:c r="H96" s="4" t="str">
        <x:f>IF(E96="SETUJU_USULAN",D96,IF(E96="KOREKSI",F96,""))</x:f>
        <x:v>NON_EVENT</x:v>
      </x:c>
      <x:c r="I96" s="4" t="str">
        <x:f>IF(E96="","BELUM_DIREVIEW",IF(E96="TUNDA","DITUNDA",IF(TRIM(Panduan!$B$5)="","ISI_REVIEWER",IF(AND(E96&lt;&gt;"SETUJU_USULAN",E96&lt;&gt;"KOREKSI"),"CEK_KEPUTUSAN",IF(AND(E96="SETUJU_USULAN",F96&lt;&gt;""),"HAPUS_KOREKSI",IF(H96="","ISI_KOREKSI",IF(NOT(OR(H96="FLOOD",H96="EARTHQUAKE",H96="FIRE",H96="ACCIDENT",H96="NON_EVENT")),"CEK_LABEL",IF(AND(E96="KOREKSI",TRIM(G96)=""),"ISI_CATATAN","REVIEW_TERCATAT"))))))))</x:f>
        <x:v>REVIEW_TERCATAT</x:v>
      </x:c>
      <x:c r="J96" s="4" t="str">
        <x:v>Label dataset dan prediksi baseline sama; makna MVP belum direview. Kesepakatan keduanya belum membuktikan label final.</x:v>
      </x:c>
      <x:c r="K96" s="4" t="str">
        <x:v>NON_EVENT</x:v>
      </x:c>
      <x:c r="L96" s="14" t="n">
        <x:v>0.9524356126785278</x:v>
      </x:c>
    </x:row>
    <x:row r="97" ht="64" customHeight="1">
      <x:c r="A97" s="4" t="str">
        <x:v>BAN-01619</x:v>
      </x:c>
      <x:c r="B97" s="4" t="str">
        <x:v>ini super kereeeeeeeeeeen banjir boneka di pertandingan piala presiden</x:v>
      </x:c>
      <x:c r="C97" s="4" t="str">
        <x:v>NON_EVENT</x:v>
      </x:c>
      <x:c r="D97" s="4" t="str">
        <x:v>NON_EVENT</x:v>
      </x:c>
      <x:c r="E97" s="12" t="str">
        <x:v>SETUJU_USULAN</x:v>
      </x:c>
      <x:c r="F97" s="12" t="str"/>
      <x:c r="G97" s="12" t="str">
        <x:v>Banjir boneka merupakan ungkapan untuk banyaknya boneka pada pertandingan, bukan banjir air. R3.</x:v>
      </x:c>
      <x:c r="H97" s="4" t="str">
        <x:f>IF(E97="SETUJU_USULAN",D97,IF(E97="KOREKSI",F97,""))</x:f>
        <x:v>NON_EVENT</x:v>
      </x:c>
      <x:c r="I97" s="4" t="str">
        <x:f>IF(E97="","BELUM_DIREVIEW",IF(E97="TUNDA","DITUNDA",IF(TRIM(Panduan!$B$5)="","ISI_REVIEWER",IF(AND(E97&lt;&gt;"SETUJU_USULAN",E97&lt;&gt;"KOREKSI"),"CEK_KEPUTUSAN",IF(AND(E97="SETUJU_USULAN",F97&lt;&gt;""),"HAPUS_KOREKSI",IF(H97="","ISI_KOREKSI",IF(NOT(OR(H97="FLOOD",H97="EARTHQUAKE",H97="FIRE",H97="ACCIDENT",H97="NON_EVENT")),"CEK_LABEL",IF(AND(E97="KOREKSI",TRIM(G97)=""),"ISI_CATATAN","REVIEW_TERCATAT"))))))))</x:f>
        <x:v>REVIEW_TERCATAT</x:v>
      </x:c>
      <x:c r="J97" s="4" t="str">
        <x:v>Label dataset dan prediksi baseline sama; makna MVP belum direview. Kesepakatan keduanya belum membuktikan label final.</x:v>
      </x:c>
      <x:c r="K97" s="4" t="str">
        <x:v>NON_EVENT</x:v>
      </x:c>
      <x:c r="L97" s="14" t="n">
        <x:v>0.952970564365387</x:v>
      </x:c>
    </x:row>
    <x:row r="98" ht="66" customHeight="1">
      <x:c r="A98" s="4" t="str">
        <x:v>KEB-01004</x:v>
      </x:c>
      <x:c r="B98" s="4" t="str">
        <x:v>netijen ini ya . . kemarin kapan di kantor gw sempat ada kebakaran . . gara kuproy di bangunan sebelah buang puntung rokok , untung hanya tempat buang sampah , siang hari dan hari kerja pula . udah keburu ketauan sebelum api nya membesar</x:v>
      </x:c>
      <x:c r="C98" s="4" t="str">
        <x:v>NON_EVENT</x:v>
      </x:c>
      <x:c r="D98" s="4" t="str">
        <x:v>NON_EVENT</x:v>
      </x:c>
      <x:c r="E98" s="12" t="str">
        <x:v>KOREKSI</x:v>
      </x:c>
      <x:c r="F98" s="12" t="str">
        <x:v>FIRE</x:v>
      </x:c>
      <x:c r="G98" s="12" t="str">
        <x:v>Pelapor menyatakan kebakaran pernah terjadi di kantornya akibat puntung rokok. Api diketahui sebelum membesar tetap merupakan kebakaran. R1,R2,R6.</x:v>
      </x:c>
      <x:c r="H98" s="4" t="str">
        <x:f>IF(E98="SETUJU_USULAN",D98,IF(E98="KOREKSI",F98,""))</x:f>
        <x:v>FIRE</x:v>
      </x:c>
      <x:c r="I98" s="4" t="str">
        <x:f>IF(E98="","BELUM_DIREVIEW",IF(E98="TUNDA","DITUNDA",IF(TRIM(Panduan!$B$5)="","ISI_REVIEWER",IF(AND(E98&lt;&gt;"SETUJU_USULAN",E98&lt;&gt;"KOREKSI"),"CEK_KEPUTUSAN",IF(AND(E98="SETUJU_USULAN",F98&lt;&gt;""),"HAPUS_KOREKSI",IF(H98="","ISI_KOREKSI",IF(NOT(OR(H98="FLOOD",H98="EARTHQUAKE",H98="FIRE",H98="ACCIDENT",H98="NON_EVENT")),"CEK_LABEL",IF(AND(E98="KOREKSI",TRIM(G98)=""),"ISI_CATATAN","REVIEW_TERCATAT"))))))))</x:f>
        <x:v>REVIEW_TERCATAT</x:v>
      </x:c>
      <x:c r="J98" s="4" t="str">
        <x:v>Label dataset dan prediksi baseline sama; makna MVP belum direview. Kesepakatan keduanya belum membuktikan label final.</x:v>
      </x:c>
      <x:c r="K98" s="4" t="str">
        <x:v>NON_EVENT</x:v>
      </x:c>
      <x:c r="L98" s="14" t="n">
        <x:v>0.9531832337379456</x:v>
      </x:c>
    </x:row>
    <x:row r="99" ht="64" customHeight="1">
      <x:c r="A99" s="4" t="str">
        <x:v>BAN-01375</x:v>
      </x:c>
      <x:c r="B99" s="4" t="str">
        <x:v>50 rakyat malaysia terlibat dengan banjir di townsville selamat - wisma putra</x:v>
      </x:c>
      <x:c r="C99" s="4" t="str">
        <x:v>NON_EVENT</x:v>
      </x:c>
      <x:c r="D99" s="4" t="str">
        <x:v>NON_EVENT</x:v>
      </x:c>
      <x:c r="E99" s="12" t="str">
        <x:v>KOREKSI</x:v>
      </x:c>
      <x:c r="F99" s="12" t="str">
        <x:v>FLOOD</x:v>
      </x:c>
      <x:c r="G99" s="12" t="str">
        <x:v>Warga Malaysia disebut terlibat banjir di Townsville dan selamat. Selamat meniadakan dampak fatal, bukan kejadian banjir. R1,R2,R4.</x:v>
      </x:c>
      <x:c r="H99" s="4" t="str">
        <x:f>IF(E99="SETUJU_USULAN",D99,IF(E99="KOREKSI",F99,""))</x:f>
        <x:v>FLOOD</x:v>
      </x:c>
      <x:c r="I99" s="4" t="str">
        <x:f>IF(E99="","BELUM_DIREVIEW",IF(E99="TUNDA","DITUNDA",IF(TRIM(Panduan!$B$5)="","ISI_REVIEWER",IF(AND(E99&lt;&gt;"SETUJU_USULAN",E99&lt;&gt;"KOREKSI"),"CEK_KEPUTUSAN",IF(AND(E99="SETUJU_USULAN",F99&lt;&gt;""),"HAPUS_KOREKSI",IF(H99="","ISI_KOREKSI",IF(NOT(OR(H99="FLOOD",H99="EARTHQUAKE",H99="FIRE",H99="ACCIDENT",H99="NON_EVENT")),"CEK_LABEL",IF(AND(E99="KOREKSI",TRIM(G99)=""),"ISI_CATATAN","REVIEW_TERCATAT"))))))))</x:f>
        <x:v>REVIEW_TERCATAT</x:v>
      </x:c>
      <x:c r="J99" s="4" t="str">
        <x:v>Label dataset dan prediksi baseline sama; makna MVP belum direview. Kesepakatan keduanya belum membuktikan label final.</x:v>
      </x:c>
      <x:c r="K99" s="4" t="str">
        <x:v>NON_EVENT</x:v>
      </x:c>
      <x:c r="L99" s="14" t="n">
        <x:v>0.9535269737243652</x:v>
      </x:c>
    </x:row>
    <x:row r="100" ht="64" customHeight="1">
      <x:c r="A100" s="4" t="str">
        <x:v>BAN-01524</x:v>
      </x:c>
      <x:c r="B100" s="4" t="str">
        <x:v>anak hanyut terbawa banjir bandang di kabupaten jayapura sentani papua</x:v>
      </x:c>
      <x:c r="C100" s="4" t="str">
        <x:v>FLOOD</x:v>
      </x:c>
      <x:c r="D100" s="4" t="str">
        <x:v>FLOOD</x:v>
      </x:c>
      <x:c r="E100" s="12" t="str">
        <x:v>SETUJU_USULAN</x:v>
      </x:c>
      <x:c r="F100" s="12" t="str"/>
      <x:c r="G100" s="12" t="str">
        <x:v>Narasi menyatakan kejadian banjir yang terjadi atau telah terjadi. Label mengikuti isi kejadian, termasuk penanganan dan dampak yang disebut. R1,R4.</x:v>
      </x:c>
      <x:c r="H100" s="4" t="str">
        <x:f>IF(E100="SETUJU_USULAN",D100,IF(E100="KOREKSI",F100,""))</x:f>
        <x:v>FLOOD</x:v>
      </x:c>
      <x:c r="I100" s="4" t="str">
        <x:f>IF(E100="","BELUM_DIREVIEW",IF(E100="TUNDA","DITUNDA",IF(TRIM(Panduan!$B$5)="","ISI_REVIEWER",IF(AND(E100&lt;&gt;"SETUJU_USULAN",E100&lt;&gt;"KOREKSI"),"CEK_KEPUTUSAN",IF(AND(E100="SETUJU_USULAN",F100&lt;&gt;""),"HAPUS_KOREKSI",IF(H100="","ISI_KOREKSI",IF(NOT(OR(H100="FLOOD",H100="EARTHQUAKE",H100="FIRE",H100="ACCIDENT",H100="NON_EVENT")),"CEK_LABEL",IF(AND(E100="KOREKSI",TRIM(G100)=""),"ISI_CATATAN","REVIEW_TERCATAT"))))))))</x:f>
        <x:v>REVIEW_TERCATAT</x:v>
      </x:c>
      <x:c r="J100" s="4" t="str">
        <x:v>Label dataset dan prediksi baseline sama; makna MVP belum direview. Kesepakatan keduanya belum membuktikan label final.</x:v>
      </x:c>
      <x:c r="K100" s="4" t="str">
        <x:v>FLOOD</x:v>
      </x:c>
      <x:c r="L100" s="14" t="n">
        <x:v>0.953732430934906</x:v>
      </x:c>
    </x:row>
    <x:row r="101" ht="66" customHeight="1">
      <x:c r="A101" s="4" t="str">
        <x:v>GEM-01562</x:v>
      </x:c>
      <x:c r="B101" s="4" t="str">
        <x:v>kaleidoskop 2018 : bencana alam di indonesia sepanjang 2018 tsunami 2 kali hingga banyak gempa bumi : kaleidoskop 2018 : bencana alam di indonesia sepanjang tahun 2018 terjadi tsunami 2 kali hingga banyak gempa bumi di berbagai wilayah cek selengkapnya</x:v>
      </x:c>
      <x:c r="C101" s="4" t="str">
        <x:v>NON_EVENT</x:v>
      </x:c>
      <x:c r="D101" s="4" t="str">
        <x:v>NON_EVENT</x:v>
      </x:c>
      <x:c r="E101" s="12" t="str">
        <x:v>SETUJU_USULAN</x:v>
      </x:c>
      <x:c r="F101" s="12" t="str"/>
      <x:c r="G101" s="12" t="str">
        <x:v>Kaleidoskop tahunan merangkum jumlah bencana secara umum tanpa menguraikan kejadian tertentu. R3.</x:v>
      </x:c>
      <x:c r="H101" s="4" t="str">
        <x:f>IF(E101="SETUJU_USULAN",D101,IF(E101="KOREKSI",F101,""))</x:f>
        <x:v>NON_EVENT</x:v>
      </x:c>
      <x:c r="I101" s="4" t="str">
        <x:f>IF(E101="","BELUM_DIREVIEW",IF(E101="TUNDA","DITUNDA",IF(TRIM(Panduan!$B$5)="","ISI_REVIEWER",IF(AND(E101&lt;&gt;"SETUJU_USULAN",E101&lt;&gt;"KOREKSI"),"CEK_KEPUTUSAN",IF(AND(E101="SETUJU_USULAN",F101&lt;&gt;""),"HAPUS_KOREKSI",IF(H101="","ISI_KOREKSI",IF(NOT(OR(H101="FLOOD",H101="EARTHQUAKE",H101="FIRE",H101="ACCIDENT",H101="NON_EVENT")),"CEK_LABEL",IF(AND(E101="KOREKSI",TRIM(G101)=""),"ISI_CATATAN","REVIEW_TERCATAT"))))))))</x:f>
        <x:v>REVIEW_TERCATAT</x:v>
      </x:c>
      <x:c r="J101" s="4" t="str">
        <x:v>Label dataset dan prediksi baseline sama; makna MVP belum direview. Kesepakatan keduanya belum membuktikan label final.</x:v>
      </x:c>
      <x:c r="K101" s="4" t="str">
        <x:v>NON_EVENT</x:v>
      </x:c>
      <x:c r="L101" s="14" t="n">
        <x:v>0.9538057446479797</x:v>
      </x:c>
    </x:row>
    <x:row r="102" ht="64" customHeight="1">
      <x:c r="A102" s="4" t="str">
        <x:v>BAN-01936</x:v>
      </x:c>
      <x:c r="B102" s="4" t="str">
        <x:v>kepala basarnas apresiasi personilnya dalam banjir di konawe utara</x:v>
      </x:c>
      <x:c r="C102" s="4" t="str">
        <x:v>NON_EVENT</x:v>
      </x:c>
      <x:c r="D102" s="4" t="str">
        <x:v>NON_EVENT</x:v>
      </x:c>
      <x:c r="E102" s="12" t="str">
        <x:v>KOREKSI</x:v>
      </x:c>
      <x:c r="F102" s="12" t="str">
        <x:v>FLOOD</x:v>
      </x:c>
      <x:c r="G102" s="12" t="str">
        <x:v>Apresiasi personel Basarnas merujuk penanganan banjir di Konawe Utara. Fokus apresiasi tetap merujuk kejadian. R1,R5.</x:v>
      </x:c>
      <x:c r="H102" s="4" t="str">
        <x:f>IF(E102="SETUJU_USULAN",D102,IF(E102="KOREKSI",F102,""))</x:f>
        <x:v>FLOOD</x:v>
      </x:c>
      <x:c r="I102" s="4" t="str">
        <x:f>IF(E102="","BELUM_DIREVIEW",IF(E102="TUNDA","DITUNDA",IF(TRIM(Panduan!$B$5)="","ISI_REVIEWER",IF(AND(E102&lt;&gt;"SETUJU_USULAN",E102&lt;&gt;"KOREKSI"),"CEK_KEPUTUSAN",IF(AND(E102="SETUJU_USULAN",F102&lt;&gt;""),"HAPUS_KOREKSI",IF(H102="","ISI_KOREKSI",IF(NOT(OR(H102="FLOOD",H102="EARTHQUAKE",H102="FIRE",H102="ACCIDENT",H102="NON_EVENT")),"CEK_LABEL",IF(AND(E102="KOREKSI",TRIM(G102)=""),"ISI_CATATAN","REVIEW_TERCATAT"))))))))</x:f>
        <x:v>REVIEW_TERCATAT</x:v>
      </x:c>
      <x:c r="J102" s="4" t="str">
        <x:v>Label dataset dan prediksi baseline sama; makna MVP belum direview. Kesepakatan keduanya belum membuktikan label final.</x:v>
      </x:c>
      <x:c r="K102" s="4" t="str">
        <x:v>NON_EVENT</x:v>
      </x:c>
      <x:c r="L102" s="14" t="n">
        <x:v>0.9545852541923523</x:v>
      </x:c>
    </x:row>
    <x:row r="103" ht="64" customHeight="1">
      <x:c r="A103" s="4" t="str">
        <x:v>KEB-00359</x:v>
      </x:c>
      <x:c r="B103" s="4" t="str">
        <x:v>semalam kebakaran di dekat es masuk gajahan . . @ solo , jawa tengah</x:v>
      </x:c>
      <x:c r="C103" s="4" t="str">
        <x:v>FIRE</x:v>
      </x:c>
      <x:c r="D103" s="4" t="str">
        <x:v>FIRE</x:v>
      </x:c>
      <x:c r="E103" s="12" t="str">
        <x:v>SETUJU_USULAN</x:v>
      </x:c>
      <x:c r="F103" s="12" t="str"/>
      <x:c r="G103" s="12" t="str">
        <x:v>Narasi menyatakan kejadian kebakaran yang terjadi atau telah terjadi. Label mengikuti isi kejadian, termasuk penanganan dan dampak yang disebut. R1,R4.</x:v>
      </x:c>
      <x:c r="H103" s="4" t="str">
        <x:f>IF(E103="SETUJU_USULAN",D103,IF(E103="KOREKSI",F103,""))</x:f>
        <x:v>FIRE</x:v>
      </x:c>
      <x:c r="I103" s="4" t="str">
        <x:f>IF(E103="","BELUM_DIREVIEW",IF(E103="TUNDA","DITUNDA",IF(TRIM(Panduan!$B$5)="","ISI_REVIEWER",IF(AND(E103&lt;&gt;"SETUJU_USULAN",E103&lt;&gt;"KOREKSI"),"CEK_KEPUTUSAN",IF(AND(E103="SETUJU_USULAN",F103&lt;&gt;""),"HAPUS_KOREKSI",IF(H103="","ISI_KOREKSI",IF(NOT(OR(H103="FLOOD",H103="EARTHQUAKE",H103="FIRE",H103="ACCIDENT",H103="NON_EVENT")),"CEK_LABEL",IF(AND(E103="KOREKSI",TRIM(G103)=""),"ISI_CATATAN","REVIEW_TERCATAT"))))))))</x:f>
        <x:v>REVIEW_TERCATAT</x:v>
      </x:c>
      <x:c r="J103" s="4" t="str">
        <x:v>Label dataset dan prediksi baseline sama; makna MVP belum direview. Kesepakatan keduanya belum membuktikan label final.</x:v>
      </x:c>
      <x:c r="K103" s="4" t="str">
        <x:v>FIRE</x:v>
      </x:c>
      <x:c r="L103" s="14" t="n">
        <x:v>0.9561656713485718</x:v>
      </x:c>
    </x:row>
    <x:row r="104" ht="64" customHeight="1">
      <x:c r="A104" s="4" t="str">
        <x:v>BAN-01512</x:v>
      </x:c>
      <x:c r="B104" s="4" t="str">
        <x:v>hari ini bu risma melakukan kunjungan ke beberapa lokasi kunjungan ini terkait cara pemkot mengatasi banjir di surabaya di titik ujung timur dan barat surabaya</x:v>
      </x:c>
      <x:c r="C104" s="4" t="str">
        <x:v>NON_EVENT</x:v>
      </x:c>
      <x:c r="D104" s="4" t="str">
        <x:v>NON_EVENT</x:v>
      </x:c>
      <x:c r="E104" s="12" t="str">
        <x:v>SETUJU_USULAN</x:v>
      </x:c>
      <x:c r="F104" s="12" t="str"/>
      <x:c r="G104" s="12" t="str">
        <x:v>Kunjungan membahas cara pemerintah mengatasi banjir secara umum. Tidak ada episode atau dampak banjir tertentu yang dinyatakan. R3.</x:v>
      </x:c>
      <x:c r="H104" s="4" t="str">
        <x:f>IF(E104="SETUJU_USULAN",D104,IF(E104="KOREKSI",F104,""))</x:f>
        <x:v>NON_EVENT</x:v>
      </x:c>
      <x:c r="I104" s="4" t="str">
        <x:f>IF(E104="","BELUM_DIREVIEW",IF(E104="TUNDA","DITUNDA",IF(TRIM(Panduan!$B$5)="","ISI_REVIEWER",IF(AND(E104&lt;&gt;"SETUJU_USULAN",E104&lt;&gt;"KOREKSI"),"CEK_KEPUTUSAN",IF(AND(E104="SETUJU_USULAN",F104&lt;&gt;""),"HAPUS_KOREKSI",IF(H104="","ISI_KOREKSI",IF(NOT(OR(H104="FLOOD",H104="EARTHQUAKE",H104="FIRE",H104="ACCIDENT",H104="NON_EVENT")),"CEK_LABEL",IF(AND(E104="KOREKSI",TRIM(G104)=""),"ISI_CATATAN","REVIEW_TERCATAT"))))))))</x:f>
        <x:v>REVIEW_TERCATAT</x:v>
      </x:c>
      <x:c r="J104" s="4" t="str">
        <x:v>Label dataset dan prediksi baseline sama; makna MVP belum direview. Kesepakatan keduanya belum membuktikan label final.</x:v>
      </x:c>
      <x:c r="K104" s="4" t="str">
        <x:v>NON_EVENT</x:v>
      </x:c>
      <x:c r="L104" s="14" t="n">
        <x:v>0.9562575817108154</x:v>
      </x:c>
    </x:row>
    <x:row r="105" ht="66" customHeight="1">
      <x:c r="A105" s="4" t="str">
        <x:v>BAN-01391</x:v>
      </x:c>
      <x:c r="B105" s="4" t="str">
        <x:v>skilas info terjadi banjir bandang di komplek jati endah regency - cijambe ujungberung bdg semalam sktar jam 10 malam korban meninggal 3 orang mohon bantuannya untuk di evakuasi dan ditindaklanjuti selalu waspada saat musim hujan</x:v>
      </x:c>
      <x:c r="C105" s="4" t="str">
        <x:v>FLOOD</x:v>
      </x:c>
      <x:c r="D105" s="4" t="str">
        <x:v>FLOOD</x:v>
      </x:c>
      <x:c r="E105" s="12" t="str">
        <x:v>SETUJU_USULAN</x:v>
      </x:c>
      <x:c r="F105" s="12" t="str"/>
      <x:c r="G105" s="12" t="str">
        <x:v>Narasi menyatakan kejadian banjir yang terjadi atau telah terjadi. Label mengikuti isi kejadian, termasuk penanganan dan dampak yang disebut. R1,R4.</x:v>
      </x:c>
      <x:c r="H105" s="4" t="str">
        <x:f>IF(E105="SETUJU_USULAN",D105,IF(E105="KOREKSI",F105,""))</x:f>
        <x:v>FLOOD</x:v>
      </x:c>
      <x:c r="I105" s="4" t="str">
        <x:f>IF(E105="","BELUM_DIREVIEW",IF(E105="TUNDA","DITUNDA",IF(TRIM(Panduan!$B$5)="","ISI_REVIEWER",IF(AND(E105&lt;&gt;"SETUJU_USULAN",E105&lt;&gt;"KOREKSI"),"CEK_KEPUTUSAN",IF(AND(E105="SETUJU_USULAN",F105&lt;&gt;""),"HAPUS_KOREKSI",IF(H105="","ISI_KOREKSI",IF(NOT(OR(H105="FLOOD",H105="EARTHQUAKE",H105="FIRE",H105="ACCIDENT",H105="NON_EVENT")),"CEK_LABEL",IF(AND(E105="KOREKSI",TRIM(G105)=""),"ISI_CATATAN","REVIEW_TERCATAT"))))))))</x:f>
        <x:v>REVIEW_TERCATAT</x:v>
      </x:c>
      <x:c r="J105" s="4" t="str">
        <x:v>Label dataset dan prediksi baseline sama; makna MVP belum direview. Kesepakatan keduanya belum membuktikan label final.</x:v>
      </x:c>
      <x:c r="K105" s="4" t="str">
        <x:v>FLOOD</x:v>
      </x:c>
      <x:c r="L105" s="14" t="n">
        <x:v>0.9568455815315247</x:v>
      </x:c>
    </x:row>
    <x:row r="106" ht="64" customHeight="1">
      <x:c r="A106" s="4" t="str">
        <x:v>BAN-01274</x:v>
      </x:c>
      <x:c r="B106" s="4" t="str">
        <x:v>genangan/ banjir di desa rangkah kecamatan buayan rabu ( 16/1 ) pagi ini sebagian masuk ke rumah penduduk foto : kasiman iman/ fb</x:v>
      </x:c>
      <x:c r="C106" s="4" t="str">
        <x:v>FLOOD</x:v>
      </x:c>
      <x:c r="D106" s="4" t="str">
        <x:v>FLOOD</x:v>
      </x:c>
      <x:c r="E106" s="12" t="str">
        <x:v>SETUJU_USULAN</x:v>
      </x:c>
      <x:c r="F106" s="12" t="str"/>
      <x:c r="G106" s="12" t="str">
        <x:v>Narasi menyatakan kejadian banjir yang terjadi atau telah terjadi. Label mengikuti isi kejadian, termasuk penanganan dan dampak yang disebut. R1,R4.</x:v>
      </x:c>
      <x:c r="H106" s="4" t="str">
        <x:f>IF(E106="SETUJU_USULAN",D106,IF(E106="KOREKSI",F106,""))</x:f>
        <x:v>FLOOD</x:v>
      </x:c>
      <x:c r="I106" s="4" t="str">
        <x:f>IF(E106="","BELUM_DIREVIEW",IF(E106="TUNDA","DITUNDA",IF(TRIM(Panduan!$B$5)="","ISI_REVIEWER",IF(AND(E106&lt;&gt;"SETUJU_USULAN",E106&lt;&gt;"KOREKSI"),"CEK_KEPUTUSAN",IF(AND(E106="SETUJU_USULAN",F106&lt;&gt;""),"HAPUS_KOREKSI",IF(H106="","ISI_KOREKSI",IF(NOT(OR(H106="FLOOD",H106="EARTHQUAKE",H106="FIRE",H106="ACCIDENT",H106="NON_EVENT")),"CEK_LABEL",IF(AND(E106="KOREKSI",TRIM(G106)=""),"ISI_CATATAN","REVIEW_TERCATAT"))))))))</x:f>
        <x:v>REVIEW_TERCATAT</x:v>
      </x:c>
      <x:c r="J106" s="4" t="str">
        <x:v>Label dataset dan prediksi baseline sama; makna MVP belum direview. Kesepakatan keduanya belum membuktikan label final.</x:v>
      </x:c>
      <x:c r="K106" s="4" t="str">
        <x:v>FLOOD</x:v>
      </x:c>
      <x:c r="L106" s="14" t="n">
        <x:v>0.9570426344871521</x:v>
      </x:c>
    </x:row>
    <x:row r="107" ht="64" customHeight="1">
      <x:c r="A107" s="4" t="str">
        <x:v>KEB-00492</x:v>
      </x:c>
      <x:c r="B107" s="4" t="str">
        <x:v>kebakaran kebakaran ! di mana ? di rumah saya , loh udah keburu angus semua karena terlalu asik teriak kebakaran . nyiramnya juga cuma pake ember . . . . emmbbbeerr . . . . .</x:v>
      </x:c>
      <x:c r="C107" s="4" t="str">
        <x:v>NON_EVENT</x:v>
      </x:c>
      <x:c r="D107" s="4" t="str">
        <x:v>NON_EVENT</x:v>
      </x:c>
      <x:c r="E107" s="12" t="str">
        <x:v>KOREKSI</x:v>
      </x:c>
      <x:c r="F107" s="12" t="str">
        <x:v>FIRE</x:v>
      </x:c>
      <x:c r="G107" s="12" t="str">
        <x:v>Dialog menyatakan rumah saya telah hangus karena kebakaran. Gaya percakapan tidak meniadakan klaim literal dan tidak ada penanda simulasi atau fiksi. R1,R4.</x:v>
      </x:c>
      <x:c r="H107" s="4" t="str">
        <x:f>IF(E107="SETUJU_USULAN",D107,IF(E107="KOREKSI",F107,""))</x:f>
        <x:v>FIRE</x:v>
      </x:c>
      <x:c r="I107" s="4" t="str">
        <x:f>IF(E107="","BELUM_DIREVIEW",IF(E107="TUNDA","DITUNDA",IF(TRIM(Panduan!$B$5)="","ISI_REVIEWER",IF(AND(E107&lt;&gt;"SETUJU_USULAN",E107&lt;&gt;"KOREKSI"),"CEK_KEPUTUSAN",IF(AND(E107="SETUJU_USULAN",F107&lt;&gt;""),"HAPUS_KOREKSI",IF(H107="","ISI_KOREKSI",IF(NOT(OR(H107="FLOOD",H107="EARTHQUAKE",H107="FIRE",H107="ACCIDENT",H107="NON_EVENT")),"CEK_LABEL",IF(AND(E107="KOREKSI",TRIM(G107)=""),"ISI_CATATAN","REVIEW_TERCATAT"))))))))</x:f>
        <x:v>REVIEW_TERCATAT</x:v>
      </x:c>
      <x:c r="J107" s="4" t="str">
        <x:v>Label dataset dan prediksi baseline sama; makna MVP belum direview. Kesepakatan keduanya belum membuktikan label final.</x:v>
      </x:c>
      <x:c r="K107" s="4" t="str">
        <x:v>NON_EVENT</x:v>
      </x:c>
      <x:c r="L107" s="14" t="n">
        <x:v>0.9570788145065308</x:v>
      </x:c>
    </x:row>
    <x:row r="108" ht="64" customHeight="1">
      <x:c r="A108" s="4" t="str">
        <x:v>BAN-01871</x:v>
      </x:c>
      <x:c r="B108" s="4" t="str">
        <x:v>banjir di kaltim samarinda bontang</x:v>
      </x:c>
      <x:c r="C108" s="4" t="str">
        <x:v>FLOOD</x:v>
      </x:c>
      <x:c r="D108" s="4" t="str">
        <x:v>FLOOD</x:v>
      </x:c>
      <x:c r="E108" s="12" t="str">
        <x:v>SETUJU_USULAN</x:v>
      </x:c>
      <x:c r="F108" s="12" t="str"/>
      <x:c r="G108" s="12" t="str">
        <x:v>Narasi menyatakan kejadian banjir yang terjadi atau telah terjadi. Label mengikuti isi kejadian, termasuk penanganan dan dampak yang disebut. R1,R4.</x:v>
      </x:c>
      <x:c r="H108" s="4" t="str">
        <x:f>IF(E108="SETUJU_USULAN",D108,IF(E108="KOREKSI",F108,""))</x:f>
        <x:v>FLOOD</x:v>
      </x:c>
      <x:c r="I108" s="4" t="str">
        <x:f>IF(E108="","BELUM_DIREVIEW",IF(E108="TUNDA","DITUNDA",IF(TRIM(Panduan!$B$5)="","ISI_REVIEWER",IF(AND(E108&lt;&gt;"SETUJU_USULAN",E108&lt;&gt;"KOREKSI"),"CEK_KEPUTUSAN",IF(AND(E108="SETUJU_USULAN",F108&lt;&gt;""),"HAPUS_KOREKSI",IF(H108="","ISI_KOREKSI",IF(NOT(OR(H108="FLOOD",H108="EARTHQUAKE",H108="FIRE",H108="ACCIDENT",H108="NON_EVENT")),"CEK_LABEL",IF(AND(E108="KOREKSI",TRIM(G108)=""),"ISI_CATATAN","REVIEW_TERCATAT"))))))))</x:f>
        <x:v>REVIEW_TERCATAT</x:v>
      </x:c>
      <x:c r="J108" s="4" t="str">
        <x:v>Label dataset dan prediksi baseline sama; makna MVP belum direview. Kesepakatan keduanya belum membuktikan label final.</x:v>
      </x:c>
      <x:c r="K108" s="4" t="str">
        <x:v>FLOOD</x:v>
      </x:c>
      <x:c r="L108" s="14" t="n">
        <x:v>0.9573466181755066</x:v>
      </x:c>
    </x:row>
    <x:row r="109" ht="64" customHeight="1">
      <x:c r="A109" s="4" t="str">
        <x:v>KEC-01441</x:v>
      </x:c>
      <x:c r="B109" s="4" t="str">
        <x:v>memang penanganan pemerintah thd kecelakaan kapal di danau toba sangat mengecewakan</x:v>
      </x:c>
      <x:c r="C109" s="4" t="str">
        <x:v>NON_EVENT</x:v>
      </x:c>
      <x:c r="D109" s="4" t="str">
        <x:v>NON_EVENT</x:v>
      </x:c>
      <x:c r="E109" s="12" t="str">
        <x:v>KOREKSI</x:v>
      </x:c>
      <x:c r="F109" s="12" t="str">
        <x:v>ACCIDENT</x:v>
      </x:c>
      <x:c r="G109" s="12" t="str">
        <x:v>Kritik penanganan pemerintah merujuk kecelakaan kapal di Danau Toba. Kategori ACCIDENT mencakup kecelakaan perairan. R1,R4,R5.</x:v>
      </x:c>
      <x:c r="H109" s="4" t="str">
        <x:f>IF(E109="SETUJU_USULAN",D109,IF(E109="KOREKSI",F109,""))</x:f>
        <x:v>ACCIDENT</x:v>
      </x:c>
      <x:c r="I109" s="4" t="str">
        <x:f>IF(E109="","BELUM_DIREVIEW",IF(E109="TUNDA","DITUNDA",IF(TRIM(Panduan!$B$5)="","ISI_REVIEWER",IF(AND(E109&lt;&gt;"SETUJU_USULAN",E109&lt;&gt;"KOREKSI"),"CEK_KEPUTUSAN",IF(AND(E109="SETUJU_USULAN",F109&lt;&gt;""),"HAPUS_KOREKSI",IF(H109="","ISI_KOREKSI",IF(NOT(OR(H109="FLOOD",H109="EARTHQUAKE",H109="FIRE",H109="ACCIDENT",H109="NON_EVENT")),"CEK_LABEL",IF(AND(E109="KOREKSI",TRIM(G109)=""),"ISI_CATATAN","REVIEW_TERCATAT"))))))))</x:f>
        <x:v>REVIEW_TERCATAT</x:v>
      </x:c>
      <x:c r="J109" s="4" t="str">
        <x:v>Label dataset dan prediksi baseline sama; makna MVP belum direview. Kesepakatan keduanya belum membuktikan label final.</x:v>
      </x:c>
      <x:c r="K109" s="4" t="str">
        <x:v>NON_EVENT</x:v>
      </x:c>
      <x:c r="L109" s="14" t="n">
        <x:v>0.9577138423919678</x:v>
      </x:c>
    </x:row>
    <x:row r="110" ht="64" customHeight="1">
      <x:c r="A110" s="4" t="str">
        <x:v>BAN-01012</x:v>
      </x:c>
      <x:c r="B110" s="4" t="str">
        <x:v>[ infografik ] persediaan banjir di seluruh negara</x:v>
      </x:c>
      <x:c r="C110" s="4" t="str">
        <x:v>NON_EVENT</x:v>
      </x:c>
      <x:c r="D110" s="4" t="str">
        <x:v>NON_EVENT</x:v>
      </x:c>
      <x:c r="E110" s="12" t="str">
        <x:v>SETUJU_USULAN</x:v>
      </x:c>
      <x:c r="F110" s="12" t="str"/>
      <x:c r="G110" s="12" t="str">
        <x:v>Persediaan menghadapi banjir merupakan informasi kesiapsiagaan, bukan klaim kejadian. R3.</x:v>
      </x:c>
      <x:c r="H110" s="4" t="str">
        <x:f>IF(E110="SETUJU_USULAN",D110,IF(E110="KOREKSI",F110,""))</x:f>
        <x:v>NON_EVENT</x:v>
      </x:c>
      <x:c r="I110" s="4" t="str">
        <x:f>IF(E110="","BELUM_DIREVIEW",IF(E110="TUNDA","DITUNDA",IF(TRIM(Panduan!$B$5)="","ISI_REVIEWER",IF(AND(E110&lt;&gt;"SETUJU_USULAN",E110&lt;&gt;"KOREKSI"),"CEK_KEPUTUSAN",IF(AND(E110="SETUJU_USULAN",F110&lt;&gt;""),"HAPUS_KOREKSI",IF(H110="","ISI_KOREKSI",IF(NOT(OR(H110="FLOOD",H110="EARTHQUAKE",H110="FIRE",H110="ACCIDENT",H110="NON_EVENT")),"CEK_LABEL",IF(AND(E110="KOREKSI",TRIM(G110)=""),"ISI_CATATAN","REVIEW_TERCATAT"))))))))</x:f>
        <x:v>REVIEW_TERCATAT</x:v>
      </x:c>
      <x:c r="J110" s="4" t="str">
        <x:v>Label dataset dan prediksi baseline sama; makna MVP belum direview. Kesepakatan keduanya belum membuktikan label final.</x:v>
      </x:c>
      <x:c r="K110" s="4" t="str">
        <x:v>NON_EVENT</x:v>
      </x:c>
      <x:c r="L110" s="14" t="n">
        <x:v>0.9580178260803223</x:v>
      </x:c>
    </x:row>
    <x:row r="111" ht="64" customHeight="1">
      <x:c r="A111" s="4" t="str">
        <x:v>BAN-01014</x:v>
      </x:c>
      <x:c r="B111" s="4" t="str">
        <x:v>banjir di jalan dagang sukajadi diakibatkan hujan deras bagi kendaraan sepeda motor hati-hati saat melintas instagram : hawaiianhaar</x:v>
      </x:c>
      <x:c r="C111" s="4" t="str">
        <x:v>FLOOD</x:v>
      </x:c>
      <x:c r="D111" s="4" t="str">
        <x:v>FLOOD</x:v>
      </x:c>
      <x:c r="E111" s="12" t="str">
        <x:v>SETUJU_USULAN</x:v>
      </x:c>
      <x:c r="F111" s="12" t="str"/>
      <x:c r="G111" s="12" t="str">
        <x:v>Narasi menyatakan kejadian banjir yang terjadi atau telah terjadi. Label mengikuti isi kejadian, termasuk penanganan dan dampak yang disebut. R1,R4.</x:v>
      </x:c>
      <x:c r="H111" s="4" t="str">
        <x:f>IF(E111="SETUJU_USULAN",D111,IF(E111="KOREKSI",F111,""))</x:f>
        <x:v>FLOOD</x:v>
      </x:c>
      <x:c r="I111" s="4" t="str">
        <x:f>IF(E111="","BELUM_DIREVIEW",IF(E111="TUNDA","DITUNDA",IF(TRIM(Panduan!$B$5)="","ISI_REVIEWER",IF(AND(E111&lt;&gt;"SETUJU_USULAN",E111&lt;&gt;"KOREKSI"),"CEK_KEPUTUSAN",IF(AND(E111="SETUJU_USULAN",F111&lt;&gt;""),"HAPUS_KOREKSI",IF(H111="","ISI_KOREKSI",IF(NOT(OR(H111="FLOOD",H111="EARTHQUAKE",H111="FIRE",H111="ACCIDENT",H111="NON_EVENT")),"CEK_LABEL",IF(AND(E111="KOREKSI",TRIM(G111)=""),"ISI_CATATAN","REVIEW_TERCATAT"))))))))</x:f>
        <x:v>REVIEW_TERCATAT</x:v>
      </x:c>
      <x:c r="J111" s="4" t="str">
        <x:v>Label dataset dan prediksi baseline sama; makna MVP belum direview. Kesepakatan keduanya belum membuktikan label final.</x:v>
      </x:c>
      <x:c r="K111" s="4" t="str">
        <x:v>FLOOD</x:v>
      </x:c>
      <x:c r="L111" s="14" t="n">
        <x:v>0.9581024050712585</x:v>
      </x:c>
    </x:row>
    <x:row r="112" ht="64" customHeight="1">
      <x:c r="A112" s="4" t="str">
        <x:v>BAN-01668</x:v>
      </x:c>
      <x:c r="B112" s="4" t="str">
        <x:v>persib bikin menangis korban banjir di bandung</x:v>
      </x:c>
      <x:c r="C112" s="4" t="str">
        <x:v>NON_EVENT</x:v>
      </x:c>
      <x:c r="D112" s="4" t="str">
        <x:v>NON_EVENT</x:v>
      </x:c>
      <x:c r="E112" s="12" t="str">
        <x:v>KOREKSI</x:v>
      </x:c>
      <x:c r="F112" s="12" t="str">
        <x:v>FLOOD</x:v>
      </x:c>
      <x:c r="G112" s="12" t="str">
        <x:v>Korban banjir di Bandung disebut eksplisit. Respons terhadap kegiatan Persib tidak meniadakan rujukan banjir tertentu. R1,R5.</x:v>
      </x:c>
      <x:c r="H112" s="4" t="str">
        <x:f>IF(E112="SETUJU_USULAN",D112,IF(E112="KOREKSI",F112,""))</x:f>
        <x:v>FLOOD</x:v>
      </x:c>
      <x:c r="I112" s="4" t="str">
        <x:f>IF(E112="","BELUM_DIREVIEW",IF(E112="TUNDA","DITUNDA",IF(TRIM(Panduan!$B$5)="","ISI_REVIEWER",IF(AND(E112&lt;&gt;"SETUJU_USULAN",E112&lt;&gt;"KOREKSI"),"CEK_KEPUTUSAN",IF(AND(E112="SETUJU_USULAN",F112&lt;&gt;""),"HAPUS_KOREKSI",IF(H112="","ISI_KOREKSI",IF(NOT(OR(H112="FLOOD",H112="EARTHQUAKE",H112="FIRE",H112="ACCIDENT",H112="NON_EVENT")),"CEK_LABEL",IF(AND(E112="KOREKSI",TRIM(G112)=""),"ISI_CATATAN","REVIEW_TERCATAT"))))))))</x:f>
        <x:v>REVIEW_TERCATAT</x:v>
      </x:c>
      <x:c r="J112" s="4" t="str">
        <x:v>Label dataset dan prediksi baseline sama; makna MVP belum direview. Kesepakatan keduanya belum membuktikan label final.</x:v>
      </x:c>
      <x:c r="K112" s="4" t="str">
        <x:v>NON_EVENT</x:v>
      </x:c>
      <x:c r="L112" s="14" t="n">
        <x:v>0.9585105180740356</x:v>
      </x:c>
    </x:row>
    <x:row r="113" ht="64" customHeight="1">
      <x:c r="A113" s="4" t="str">
        <x:v>KEB-00633</x:v>
      </x:c>
      <x:c r="B113" s="4" t="str">
        <x:v>4.08 : kebakaran rumah di jalan raya parung-ciputat ke arah parung dekat pool taksi bluebird cinangka depok . ( bpk wardi )</x:v>
      </x:c>
      <x:c r="C113" s="4" t="str">
        <x:v>FIRE</x:v>
      </x:c>
      <x:c r="D113" s="4" t="str">
        <x:v>FIRE</x:v>
      </x:c>
      <x:c r="E113" s="12" t="str">
        <x:v>SETUJU_USULAN</x:v>
      </x:c>
      <x:c r="F113" s="12" t="str"/>
      <x:c r="G113" s="12" t="str">
        <x:v>Narasi menyatakan kejadian kebakaran yang terjadi atau telah terjadi. Label mengikuti isi kejadian, termasuk penanganan dan dampak yang disebut. R1,R4.</x:v>
      </x:c>
      <x:c r="H113" s="4" t="str">
        <x:f>IF(E113="SETUJU_USULAN",D113,IF(E113="KOREKSI",F113,""))</x:f>
        <x:v>FIRE</x:v>
      </x:c>
      <x:c r="I113" s="4" t="str">
        <x:f>IF(E113="","BELUM_DIREVIEW",IF(E113="TUNDA","DITUNDA",IF(TRIM(Panduan!$B$5)="","ISI_REVIEWER",IF(AND(E113&lt;&gt;"SETUJU_USULAN",E113&lt;&gt;"KOREKSI"),"CEK_KEPUTUSAN",IF(AND(E113="SETUJU_USULAN",F113&lt;&gt;""),"HAPUS_KOREKSI",IF(H113="","ISI_KOREKSI",IF(NOT(OR(H113="FLOOD",H113="EARTHQUAKE",H113="FIRE",H113="ACCIDENT",H113="NON_EVENT")),"CEK_LABEL",IF(AND(E113="KOREKSI",TRIM(G113)=""),"ISI_CATATAN","REVIEW_TERCATAT"))))))))</x:f>
        <x:v>REVIEW_TERCATAT</x:v>
      </x:c>
      <x:c r="J113" s="4" t="str">
        <x:v>Label dataset dan prediksi baseline sama; makna MVP belum direview. Kesepakatan keduanya belum membuktikan label final.</x:v>
      </x:c>
      <x:c r="K113" s="4" t="str">
        <x:v>FIRE</x:v>
      </x:c>
      <x:c r="L113" s="14" t="n">
        <x:v>0.9591007828712463</x:v>
      </x:c>
    </x:row>
    <x:row r="114" ht="64" customHeight="1">
      <x:c r="A114" s="4" t="str">
        <x:v>KEC-01266</x:v>
      </x:c>
      <x:c r="B114" s="4" t="str">
        <x:v>dikerumuni warga dua mobil kecelakaan di meruya</x:v>
      </x:c>
      <x:c r="C114" s="4" t="str">
        <x:v>ACCIDENT</x:v>
      </x:c>
      <x:c r="D114" s="4" t="str">
        <x:v>ACCIDENT</x:v>
      </x:c>
      <x:c r="E114" s="12" t="str">
        <x:v>SETUJU_USULAN</x:v>
      </x:c>
      <x:c r="F114" s="12" t="str"/>
      <x:c r="G114" s="12" t="str">
        <x:v>Narasi menyatakan kejadian kecelakaan yang terjadi atau telah terjadi. Label mengikuti isi kejadian, termasuk penanganan dan dampak yang disebut. R1,R4.</x:v>
      </x:c>
      <x:c r="H114" s="4" t="str">
        <x:f>IF(E114="SETUJU_USULAN",D114,IF(E114="KOREKSI",F114,""))</x:f>
        <x:v>ACCIDENT</x:v>
      </x:c>
      <x:c r="I114" s="4" t="str">
        <x:f>IF(E114="","BELUM_DIREVIEW",IF(E114="TUNDA","DITUNDA",IF(TRIM(Panduan!$B$5)="","ISI_REVIEWER",IF(AND(E114&lt;&gt;"SETUJU_USULAN",E114&lt;&gt;"KOREKSI"),"CEK_KEPUTUSAN",IF(AND(E114="SETUJU_USULAN",F114&lt;&gt;""),"HAPUS_KOREKSI",IF(H114="","ISI_KOREKSI",IF(NOT(OR(H114="FLOOD",H114="EARTHQUAKE",H114="FIRE",H114="ACCIDENT",H114="NON_EVENT")),"CEK_LABEL",IF(AND(E114="KOREKSI",TRIM(G114)=""),"ISI_CATATAN","REVIEW_TERCATAT"))))))))</x:f>
        <x:v>REVIEW_TERCATAT</x:v>
      </x:c>
      <x:c r="J114" s="4" t="str">
        <x:v>Label dataset dan prediksi baseline sama; makna MVP belum direview. Kesepakatan keduanya belum membuktikan label final.</x:v>
      </x:c>
      <x:c r="K114" s="4" t="str">
        <x:v>ACCIDENT</x:v>
      </x:c>
      <x:c r="L114" s="14" t="n">
        <x:v>0.9595386981964111</x:v>
      </x:c>
    </x:row>
    <x:row r="115" ht="64" customHeight="1">
      <x:c r="A115" s="4" t="str">
        <x:v>KEB-00815</x:v>
      </x:c>
      <x:c r="B115" s="4" t="str">
        <x:v>iseng buat laporan kebakaran palsu , pria di sidoarjo terancam 10 tahun penjara</x:v>
      </x:c>
      <x:c r="C115" s="4" t="str">
        <x:v>NON_EVENT</x:v>
      </x:c>
      <x:c r="D115" s="4" t="str">
        <x:v>NON_EVENT</x:v>
      </x:c>
      <x:c r="E115" s="12" t="str">
        <x:v>SETUJU_USULAN</x:v>
      </x:c>
      <x:c r="F115" s="12" t="str"/>
      <x:c r="G115" s="12" t="str">
        <x:v>Laporan kebakaran dinyatakan palsu. Perkara pidana atas laporan palsu tidak membuktikan ada kebakaran. R2,R3.</x:v>
      </x:c>
      <x:c r="H115" s="4" t="str">
        <x:f>IF(E115="SETUJU_USULAN",D115,IF(E115="KOREKSI",F115,""))</x:f>
        <x:v>NON_EVENT</x:v>
      </x:c>
      <x:c r="I115" s="4" t="str">
        <x:f>IF(E115="","BELUM_DIREVIEW",IF(E115="TUNDA","DITUNDA",IF(TRIM(Panduan!$B$5)="","ISI_REVIEWER",IF(AND(E115&lt;&gt;"SETUJU_USULAN",E115&lt;&gt;"KOREKSI"),"CEK_KEPUTUSAN",IF(AND(E115="SETUJU_USULAN",F115&lt;&gt;""),"HAPUS_KOREKSI",IF(H115="","ISI_KOREKSI",IF(NOT(OR(H115="FLOOD",H115="EARTHQUAKE",H115="FIRE",H115="ACCIDENT",H115="NON_EVENT")),"CEK_LABEL",IF(AND(E115="KOREKSI",TRIM(G115)=""),"ISI_CATATAN","REVIEW_TERCATAT"))))))))</x:f>
        <x:v>REVIEW_TERCATAT</x:v>
      </x:c>
      <x:c r="J115" s="4" t="str">
        <x:v>Label dataset dan prediksi baseline sama; makna MVP belum direview. Kesepakatan keduanya belum membuktikan label final.</x:v>
      </x:c>
      <x:c r="K115" s="4" t="str">
        <x:v>NON_EVENT</x:v>
      </x:c>
      <x:c r="L115" s="14" t="n">
        <x:v>0.9595485925674438</x:v>
      </x:c>
    </x:row>
    <x:row r="116" ht="64" customHeight="1">
      <x:c r="A116" s="4" t="str">
        <x:v>BAN-01021</x:v>
      </x:c>
      <x:c r="B116" s="4" t="str">
        <x:v>buahahahahahah nanti banjir di zimbabwe juga anies diserang ya</x:v>
      </x:c>
      <x:c r="C116" s="4" t="str">
        <x:v>NON_EVENT</x:v>
      </x:c>
      <x:c r="D116" s="4" t="str">
        <x:v>NON_EVENT</x:v>
      </x:c>
      <x:c r="E116" s="12" t="str">
        <x:v>SETUJU_USULAN</x:v>
      </x:c>
      <x:c r="F116" s="12" t="str"/>
      <x:c r="G116" s="12" t="str">
        <x:v>Banjir di Zimbabwe hanya dikemukakan sebagai pengandaian nanti. R3.</x:v>
      </x:c>
      <x:c r="H116" s="4" t="str">
        <x:f>IF(E116="SETUJU_USULAN",D116,IF(E116="KOREKSI",F116,""))</x:f>
        <x:v>NON_EVENT</x:v>
      </x:c>
      <x:c r="I116" s="4" t="str">
        <x:f>IF(E116="","BELUM_DIREVIEW",IF(E116="TUNDA","DITUNDA",IF(TRIM(Panduan!$B$5)="","ISI_REVIEWER",IF(AND(E116&lt;&gt;"SETUJU_USULAN",E116&lt;&gt;"KOREKSI"),"CEK_KEPUTUSAN",IF(AND(E116="SETUJU_USULAN",F116&lt;&gt;""),"HAPUS_KOREKSI",IF(H116="","ISI_KOREKSI",IF(NOT(OR(H116="FLOOD",H116="EARTHQUAKE",H116="FIRE",H116="ACCIDENT",H116="NON_EVENT")),"CEK_LABEL",IF(AND(E116="KOREKSI",TRIM(G116)=""),"ISI_CATATAN","REVIEW_TERCATAT"))))))))</x:f>
        <x:v>REVIEW_TERCATAT</x:v>
      </x:c>
      <x:c r="J116" s="4" t="str">
        <x:v>Label dataset dan prediksi baseline sama; makna MVP belum direview. Kesepakatan keduanya belum membuktikan label final.</x:v>
      </x:c>
      <x:c r="K116" s="4" t="str">
        <x:v>NON_EVENT</x:v>
      </x:c>
      <x:c r="L116" s="14" t="n">
        <x:v>0.9595643877983093</x:v>
      </x:c>
    </x:row>
    <x:row r="117" ht="64" customHeight="1">
      <x:c r="A117" s="4" t="str">
        <x:v>KEC-01247</x:v>
      </x:c>
      <x:c r="B117" s="4" t="str">
        <x:v>bagi pemudik ini empat lokasi rawan kecelakaan di aceh utara</x:v>
      </x:c>
      <x:c r="C117" s="4" t="str">
        <x:v>NON_EVENT</x:v>
      </x:c>
      <x:c r="D117" s="4" t="str">
        <x:v>NON_EVENT</x:v>
      </x:c>
      <x:c r="E117" s="12" t="str">
        <x:v>SETUJU_USULAN</x:v>
      </x:c>
      <x:c r="F117" s="12" t="str"/>
      <x:c r="G117" s="12" t="str">
        <x:v>Empat lokasi rawan merupakan daftar risiko, tanpa kecelakaan yang dinyatakan terjadi. R3.</x:v>
      </x:c>
      <x:c r="H117" s="4" t="str">
        <x:f>IF(E117="SETUJU_USULAN",D117,IF(E117="KOREKSI",F117,""))</x:f>
        <x:v>NON_EVENT</x:v>
      </x:c>
      <x:c r="I117" s="4" t="str">
        <x:f>IF(E117="","BELUM_DIREVIEW",IF(E117="TUNDA","DITUNDA",IF(TRIM(Panduan!$B$5)="","ISI_REVIEWER",IF(AND(E117&lt;&gt;"SETUJU_USULAN",E117&lt;&gt;"KOREKSI"),"CEK_KEPUTUSAN",IF(AND(E117="SETUJU_USULAN",F117&lt;&gt;""),"HAPUS_KOREKSI",IF(H117="","ISI_KOREKSI",IF(NOT(OR(H117="FLOOD",H117="EARTHQUAKE",H117="FIRE",H117="ACCIDENT",H117="NON_EVENT")),"CEK_LABEL",IF(AND(E117="KOREKSI",TRIM(G117)=""),"ISI_CATATAN","REVIEW_TERCATAT"))))))))</x:f>
        <x:v>REVIEW_TERCATAT</x:v>
      </x:c>
      <x:c r="J117" s="4" t="str">
        <x:v>Label dataset dan prediksi baseline sama; makna MVP belum direview. Kesepakatan keduanya belum membuktikan label final.</x:v>
      </x:c>
      <x:c r="K117" s="4" t="str">
        <x:v>NON_EVENT</x:v>
      </x:c>
      <x:c r="L117" s="14" t="n">
        <x:v>0.9599989652633667</x:v>
      </x:c>
    </x:row>
    <x:row r="118" ht="64" customHeight="1">
      <x:c r="A118" s="4" t="str">
        <x:v>BAN-01127</x:v>
      </x:c>
      <x:c r="B118" s="4" t="str">
        <x:v>banjir bandang dan angin kencang di meikarta</x:v>
      </x:c>
      <x:c r="C118" s="4" t="str">
        <x:v>FLOOD</x:v>
      </x:c>
      <x:c r="D118" s="4" t="str">
        <x:v>FLOOD</x:v>
      </x:c>
      <x:c r="E118" s="12" t="str">
        <x:v>SETUJU_USULAN</x:v>
      </x:c>
      <x:c r="F118" s="12" t="str"/>
      <x:c r="G118" s="12" t="str">
        <x:v>Narasi menyatakan kejadian banjir yang terjadi atau telah terjadi. Label mengikuti isi kejadian, termasuk penanganan dan dampak yang disebut. R1,R4.</x:v>
      </x:c>
      <x:c r="H118" s="4" t="str">
        <x:f>IF(E118="SETUJU_USULAN",D118,IF(E118="KOREKSI",F118,""))</x:f>
        <x:v>FLOOD</x:v>
      </x:c>
      <x:c r="I118" s="4" t="str">
        <x:f>IF(E118="","BELUM_DIREVIEW",IF(E118="TUNDA","DITUNDA",IF(TRIM(Panduan!$B$5)="","ISI_REVIEWER",IF(AND(E118&lt;&gt;"SETUJU_USULAN",E118&lt;&gt;"KOREKSI"),"CEK_KEPUTUSAN",IF(AND(E118="SETUJU_USULAN",F118&lt;&gt;""),"HAPUS_KOREKSI",IF(H118="","ISI_KOREKSI",IF(NOT(OR(H118="FLOOD",H118="EARTHQUAKE",H118="FIRE",H118="ACCIDENT",H118="NON_EVENT")),"CEK_LABEL",IF(AND(E118="KOREKSI",TRIM(G118)=""),"ISI_CATATAN","REVIEW_TERCATAT"))))))))</x:f>
        <x:v>REVIEW_TERCATAT</x:v>
      </x:c>
      <x:c r="J118" s="4" t="str">
        <x:v>Label dataset dan prediksi baseline sama; makna MVP belum direview. Kesepakatan keduanya belum membuktikan label final.</x:v>
      </x:c>
      <x:c r="K118" s="4" t="str">
        <x:v>FLOOD</x:v>
      </x:c>
      <x:c r="L118" s="14" t="n">
        <x:v>0.9600122570991516</x:v>
      </x:c>
    </x:row>
    <x:row r="119" ht="64" customHeight="1">
      <x:c r="A119" s="4" t="str">
        <x:v>BAN-01778</x:v>
      </x:c>
      <x:c r="B119" s="4" t="str">
        <x:v>banjir di kedua arah jalan meruya ilir jakbar lalin tersendat</x:v>
      </x:c>
      <x:c r="C119" s="4" t="str">
        <x:v>FLOOD</x:v>
      </x:c>
      <x:c r="D119" s="4" t="str">
        <x:v>FLOOD</x:v>
      </x:c>
      <x:c r="E119" s="12" t="str">
        <x:v>SETUJU_USULAN</x:v>
      </x:c>
      <x:c r="F119" s="12" t="str"/>
      <x:c r="G119" s="12" t="str">
        <x:v>Narasi menyatakan kejadian banjir yang terjadi atau telah terjadi. Label mengikuti isi kejadian, termasuk penanganan dan dampak yang disebut. R1,R4.</x:v>
      </x:c>
      <x:c r="H119" s="4" t="str">
        <x:f>IF(E119="SETUJU_USULAN",D119,IF(E119="KOREKSI",F119,""))</x:f>
        <x:v>FLOOD</x:v>
      </x:c>
      <x:c r="I119" s="4" t="str">
        <x:f>IF(E119="","BELUM_DIREVIEW",IF(E119="TUNDA","DITUNDA",IF(TRIM(Panduan!$B$5)="","ISI_REVIEWER",IF(AND(E119&lt;&gt;"SETUJU_USULAN",E119&lt;&gt;"KOREKSI"),"CEK_KEPUTUSAN",IF(AND(E119="SETUJU_USULAN",F119&lt;&gt;""),"HAPUS_KOREKSI",IF(H119="","ISI_KOREKSI",IF(NOT(OR(H119="FLOOD",H119="EARTHQUAKE",H119="FIRE",H119="ACCIDENT",H119="NON_EVENT")),"CEK_LABEL",IF(AND(E119="KOREKSI",TRIM(G119)=""),"ISI_CATATAN","REVIEW_TERCATAT"))))))))</x:f>
        <x:v>REVIEW_TERCATAT</x:v>
      </x:c>
      <x:c r="J119" s="4" t="str">
        <x:v>Label dataset dan prediksi baseline sama; makna MVP belum direview. Kesepakatan keduanya belum membuktikan label final.</x:v>
      </x:c>
      <x:c r="K119" s="4" t="str">
        <x:v>FLOOD</x:v>
      </x:c>
      <x:c r="L119" s="14" t="n">
        <x:v>0.9606698155403137</x:v>
      </x:c>
    </x:row>
    <x:row r="120" ht="66" customHeight="1">
      <x:c r="A120" s="4" t="str">
        <x:v>BAN-01109</x:v>
      </x:c>
      <x:c r="B120" s="4" t="str">
        <x:v>penduduk di kch samarahan serian bintulu kapit dan sibu diminta berjaga-jaga bagi menghadapi sebarang kemungkinan berlaku banjir jabatan pengairan dan saliran mengeluarkan amaran berhubung paras air sungai dan curahan di beberapa kawasan di bintulu kapit sibu dan betong</x:v>
      </x:c>
      <x:c r="C120" s="4" t="str">
        <x:v>NON_EVENT</x:v>
      </x:c>
      <x:c r="D120" s="4" t="str">
        <x:v>NON_EVENT</x:v>
      </x:c>
      <x:c r="E120" s="12" t="str">
        <x:v>SETUJU_USULAN</x:v>
      </x:c>
      <x:c r="F120" s="12" t="str"/>
      <x:c r="G120" s="12" t="str">
        <x:v>Amaran menghadapi kemungkinan banjir tidak menyatakan banjir sudah terjadi. R3.</x:v>
      </x:c>
      <x:c r="H120" s="4" t="str">
        <x:f>IF(E120="SETUJU_USULAN",D120,IF(E120="KOREKSI",F120,""))</x:f>
        <x:v>NON_EVENT</x:v>
      </x:c>
      <x:c r="I120" s="4" t="str">
        <x:f>IF(E120="","BELUM_DIREVIEW",IF(E120="TUNDA","DITUNDA",IF(TRIM(Panduan!$B$5)="","ISI_REVIEWER",IF(AND(E120&lt;&gt;"SETUJU_USULAN",E120&lt;&gt;"KOREKSI"),"CEK_KEPUTUSAN",IF(AND(E120="SETUJU_USULAN",F120&lt;&gt;""),"HAPUS_KOREKSI",IF(H120="","ISI_KOREKSI",IF(NOT(OR(H120="FLOOD",H120="EARTHQUAKE",H120="FIRE",H120="ACCIDENT",H120="NON_EVENT")),"CEK_LABEL",IF(AND(E120="KOREKSI",TRIM(G120)=""),"ISI_CATATAN","REVIEW_TERCATAT"))))))))</x:f>
        <x:v>REVIEW_TERCATAT</x:v>
      </x:c>
      <x:c r="J120" s="4" t="str">
        <x:v>Label dataset dan prediksi baseline sama; makna MVP belum direview. Kesepakatan keduanya belum membuktikan label final.</x:v>
      </x:c>
      <x:c r="K120" s="4" t="str">
        <x:v>NON_EVENT</x:v>
      </x:c>
      <x:c r="L120" s="14" t="n">
        <x:v>0.9606865048408508</x:v>
      </x:c>
    </x:row>
    <x:row r="121" ht="64" customHeight="1">
      <x:c r="A121" s="4" t="str">
        <x:v>BAN-01238</x:v>
      </x:c>
      <x:c r="B121" s="4" t="str">
        <x:v>ribut siklon : jps ramal tiada banjir di pantai timur</x:v>
      </x:c>
      <x:c r="C121" s="4" t="str">
        <x:v>NON_EVENT</x:v>
      </x:c>
      <x:c r="D121" s="4" t="str">
        <x:v>NON_EVENT</x:v>
      </x:c>
      <x:c r="E121" s="12" t="str">
        <x:v>SETUJU_USULAN</x:v>
      </x:c>
      <x:c r="F121" s="12" t="str"/>
      <x:c r="G121" s="12" t="str">
        <x:v>Teks merupakan ramalan tiada banjir, bukan laporan banjir yang terjadi. R2,R3.</x:v>
      </x:c>
      <x:c r="H121" s="4" t="str">
        <x:f>IF(E121="SETUJU_USULAN",D121,IF(E121="KOREKSI",F121,""))</x:f>
        <x:v>NON_EVENT</x:v>
      </x:c>
      <x:c r="I121" s="4" t="str">
        <x:f>IF(E121="","BELUM_DIREVIEW",IF(E121="TUNDA","DITUNDA",IF(TRIM(Panduan!$B$5)="","ISI_REVIEWER",IF(AND(E121&lt;&gt;"SETUJU_USULAN",E121&lt;&gt;"KOREKSI"),"CEK_KEPUTUSAN",IF(AND(E121="SETUJU_USULAN",F121&lt;&gt;""),"HAPUS_KOREKSI",IF(H121="","ISI_KOREKSI",IF(NOT(OR(H121="FLOOD",H121="EARTHQUAKE",H121="FIRE",H121="ACCIDENT",H121="NON_EVENT")),"CEK_LABEL",IF(AND(E121="KOREKSI",TRIM(G121)=""),"ISI_CATATAN","REVIEW_TERCATAT"))))))))</x:f>
        <x:v>REVIEW_TERCATAT</x:v>
      </x:c>
      <x:c r="J121" s="4" t="str">
        <x:v>Label dataset dan prediksi baseline sama; makna MVP belum direview. Kesepakatan keduanya belum membuktikan label final.</x:v>
      </x:c>
      <x:c r="K121" s="4" t="str">
        <x:v>NON_EVENT</x:v>
      </x:c>
      <x:c r="L121" s="14" t="n">
        <x:v>0.9609619975090027</x:v>
      </x:c>
    </x:row>
    <x:row r="122" ht="64" customHeight="1">
      <x:c r="A122" s="4" t="str">
        <x:v>BAN-01445</x:v>
      </x:c>
      <x:c r="B122" s="4" t="str">
        <x:v>banjir penolakan berhomebase di sleman persis solo sepertinya harus cari markas baru</x:v>
      </x:c>
      <x:c r="C122" s="4" t="str">
        <x:v>NON_EVENT</x:v>
      </x:c>
      <x:c r="D122" s="4" t="str">
        <x:v>NON_EVENT</x:v>
      </x:c>
      <x:c r="E122" s="12" t="str">
        <x:v>SETUJU_USULAN</x:v>
      </x:c>
      <x:c r="F122" s="12" t="str"/>
      <x:c r="G122" s="12" t="str">
        <x:v>Banjir penolakan merupakan kiasan banyaknya penolakan terhadap markas klub. R3.</x:v>
      </x:c>
      <x:c r="H122" s="4" t="str">
        <x:f>IF(E122="SETUJU_USULAN",D122,IF(E122="KOREKSI",F122,""))</x:f>
        <x:v>NON_EVENT</x:v>
      </x:c>
      <x:c r="I122" s="4" t="str">
        <x:f>IF(E122="","BELUM_DIREVIEW",IF(E122="TUNDA","DITUNDA",IF(TRIM(Panduan!$B$5)="","ISI_REVIEWER",IF(AND(E122&lt;&gt;"SETUJU_USULAN",E122&lt;&gt;"KOREKSI"),"CEK_KEPUTUSAN",IF(AND(E122="SETUJU_USULAN",F122&lt;&gt;""),"HAPUS_KOREKSI",IF(H122="","ISI_KOREKSI",IF(NOT(OR(H122="FLOOD",H122="EARTHQUAKE",H122="FIRE",H122="ACCIDENT",H122="NON_EVENT")),"CEK_LABEL",IF(AND(E122="KOREKSI",TRIM(G122)=""),"ISI_CATATAN","REVIEW_TERCATAT"))))))))</x:f>
        <x:v>REVIEW_TERCATAT</x:v>
      </x:c>
      <x:c r="J122" s="4" t="str">
        <x:v>Label dataset dan prediksi baseline sama; makna MVP belum direview. Kesepakatan keduanya belum membuktikan label final.</x:v>
      </x:c>
      <x:c r="K122" s="4" t="str">
        <x:v>NON_EVENT</x:v>
      </x:c>
      <x:c r="L122" s="14" t="n">
        <x:v>0.961058497428894</x:v>
      </x:c>
    </x:row>
    <x:row r="123" ht="64" customHeight="1">
      <x:c r="A123" s="4" t="str">
        <x:v>BAN-01503</x:v>
      </x:c>
      <x:c r="B123" s="4" t="str">
        <x:v>polri distribusikan air bersih untuk korban banjir polres madiun polda jatim kerahkan mobil air bersih ke lokasi terdampak banjir di plumpung madiun jawa timur pasca banjir warga minim air bersih untuk kebutuhan konsumsi</x:v>
      </x:c>
      <x:c r="C123" s="4" t="str">
        <x:v>NON_EVENT</x:v>
      </x:c>
      <x:c r="D123" s="4" t="str">
        <x:v>NON_EVENT</x:v>
      </x:c>
      <x:c r="E123" s="12" t="str">
        <x:v>KOREKSI</x:v>
      </x:c>
      <x:c r="F123" s="12" t="str">
        <x:v>FLOOD</x:v>
      </x:c>
      <x:c r="G123" s="12" t="str">
        <x:v>Kekurangan air bersih dan bantuan di Plumpung Madiun dinyatakan terjadi pascabanjir. R1,R5.</x:v>
      </x:c>
      <x:c r="H123" s="4" t="str">
        <x:f>IF(E123="SETUJU_USULAN",D123,IF(E123="KOREKSI",F123,""))</x:f>
        <x:v>FLOOD</x:v>
      </x:c>
      <x:c r="I123" s="4" t="str">
        <x:f>IF(E123="","BELUM_DIREVIEW",IF(E123="TUNDA","DITUNDA",IF(TRIM(Panduan!$B$5)="","ISI_REVIEWER",IF(AND(E123&lt;&gt;"SETUJU_USULAN",E123&lt;&gt;"KOREKSI"),"CEK_KEPUTUSAN",IF(AND(E123="SETUJU_USULAN",F123&lt;&gt;""),"HAPUS_KOREKSI",IF(H123="","ISI_KOREKSI",IF(NOT(OR(H123="FLOOD",H123="EARTHQUAKE",H123="FIRE",H123="ACCIDENT",H123="NON_EVENT")),"CEK_LABEL",IF(AND(E123="KOREKSI",TRIM(G123)=""),"ISI_CATATAN","REVIEW_TERCATAT"))))))))</x:f>
        <x:v>REVIEW_TERCATAT</x:v>
      </x:c>
      <x:c r="J123" s="4" t="str">
        <x:v>Label dataset dan prediksi baseline sama; makna MVP belum direview. Kesepakatan keduanya belum membuktikan label final.</x:v>
      </x:c>
      <x:c r="K123" s="4" t="str">
        <x:v>NON_EVENT</x:v>
      </x:c>
      <x:c r="L123" s="14" t="n">
        <x:v>0.9612078666687012</x:v>
      </x:c>
    </x:row>
    <x:row r="124" ht="64" customHeight="1">
      <x:c r="A124" s="4" t="str">
        <x:v>BAN-01516</x:v>
      </x:c>
      <x:c r="B124" s="4" t="str">
        <x:v>aksi dramatis aiptu sujadi anggota satlantas polres kediri menyelamatkan keluarga korban banjir di tepi tol ngawi-kertosono mendapat penghargaan dari gubernur jawa timur khofifah indar parawansa</x:v>
      </x:c>
      <x:c r="C124" s="4" t="str">
        <x:v>NON_EVENT</x:v>
      </x:c>
      <x:c r="D124" s="4" t="str">
        <x:v>NON_EVENT</x:v>
      </x:c>
      <x:c r="E124" s="12" t="str">
        <x:v>KOREKSI</x:v>
      </x:c>
      <x:c r="F124" s="12" t="str">
        <x:v>FLOOD</x:v>
      </x:c>
      <x:c r="G124" s="12" t="str">
        <x:v>Penghargaan diberikan atas penyelamatan keluarga korban banjir di tepi Tol Ngawi-Kertosono. R1,R5.</x:v>
      </x:c>
      <x:c r="H124" s="4" t="str">
        <x:f>IF(E124="SETUJU_USULAN",D124,IF(E124="KOREKSI",F124,""))</x:f>
        <x:v>FLOOD</x:v>
      </x:c>
      <x:c r="I124" s="4" t="str">
        <x:f>IF(E124="","BELUM_DIREVIEW",IF(E124="TUNDA","DITUNDA",IF(TRIM(Panduan!$B$5)="","ISI_REVIEWER",IF(AND(E124&lt;&gt;"SETUJU_USULAN",E124&lt;&gt;"KOREKSI"),"CEK_KEPUTUSAN",IF(AND(E124="SETUJU_USULAN",F124&lt;&gt;""),"HAPUS_KOREKSI",IF(H124="","ISI_KOREKSI",IF(NOT(OR(H124="FLOOD",H124="EARTHQUAKE",H124="FIRE",H124="ACCIDENT",H124="NON_EVENT")),"CEK_LABEL",IF(AND(E124="KOREKSI",TRIM(G124)=""),"ISI_CATATAN","REVIEW_TERCATAT"))))))))</x:f>
        <x:v>REVIEW_TERCATAT</x:v>
      </x:c>
      <x:c r="J124" s="4" t="str">
        <x:v>Label dataset dan prediksi baseline sama; makna MVP belum direview. Kesepakatan keduanya belum membuktikan label final.</x:v>
      </x:c>
      <x:c r="K124" s="4" t="str">
        <x:v>NON_EVENT</x:v>
      </x:c>
      <x:c r="L124" s="14" t="n">
        <x:v>0.9612928628921509</x:v>
      </x:c>
    </x:row>
    <x:row r="125" ht="64" customHeight="1">
      <x:c r="A125" s="4" t="str">
        <x:v>BAN-01280</x:v>
      </x:c>
      <x:c r="B125" s="4" t="str">
        <x:v>hujan deras mengakibatkan sungai tersumbat sehingga banjir di kupang karangdowo klaten</x:v>
      </x:c>
      <x:c r="C125" s="4" t="str">
        <x:v>FLOOD</x:v>
      </x:c>
      <x:c r="D125" s="4" t="str">
        <x:v>FLOOD</x:v>
      </x:c>
      <x:c r="E125" s="12" t="str">
        <x:v>SETUJU_USULAN</x:v>
      </x:c>
      <x:c r="F125" s="12" t="str"/>
      <x:c r="G125" s="12" t="str">
        <x:v>Narasi menyatakan kejadian banjir yang terjadi atau telah terjadi. Label mengikuti isi kejadian, termasuk penanganan dan dampak yang disebut. R1,R4.</x:v>
      </x:c>
      <x:c r="H125" s="4" t="str">
        <x:f>IF(E125="SETUJU_USULAN",D125,IF(E125="KOREKSI",F125,""))</x:f>
        <x:v>FLOOD</x:v>
      </x:c>
      <x:c r="I125" s="4" t="str">
        <x:f>IF(E125="","BELUM_DIREVIEW",IF(E125="TUNDA","DITUNDA",IF(TRIM(Panduan!$B$5)="","ISI_REVIEWER",IF(AND(E125&lt;&gt;"SETUJU_USULAN",E125&lt;&gt;"KOREKSI"),"CEK_KEPUTUSAN",IF(AND(E125="SETUJU_USULAN",F125&lt;&gt;""),"HAPUS_KOREKSI",IF(H125="","ISI_KOREKSI",IF(NOT(OR(H125="FLOOD",H125="EARTHQUAKE",H125="FIRE",H125="ACCIDENT",H125="NON_EVENT")),"CEK_LABEL",IF(AND(E125="KOREKSI",TRIM(G125)=""),"ISI_CATATAN","REVIEW_TERCATAT"))))))))</x:f>
        <x:v>REVIEW_TERCATAT</x:v>
      </x:c>
      <x:c r="J125" s="4" t="str">
        <x:v>Label dataset dan prediksi baseline sama; makna MVP belum direview. Kesepakatan keduanya belum membuktikan label final.</x:v>
      </x:c>
      <x:c r="K125" s="4" t="str">
        <x:v>FLOOD</x:v>
      </x:c>
      <x:c r="L125" s="14" t="n">
        <x:v>0.9615980386734009</x:v>
      </x:c>
    </x:row>
    <x:row r="126" ht="64" customHeight="1">
      <x:c r="A126" s="4" t="str">
        <x:v>BAN-01761</x:v>
      </x:c>
      <x:c r="B126" s="4" t="str">
        <x:v>luapan sungai lamong sebabkan banjir terparah di kecamatan cerme</x:v>
      </x:c>
      <x:c r="C126" s="4" t="str">
        <x:v>FLOOD</x:v>
      </x:c>
      <x:c r="D126" s="4" t="str">
        <x:v>FLOOD</x:v>
      </x:c>
      <x:c r="E126" s="12" t="str">
        <x:v>SETUJU_USULAN</x:v>
      </x:c>
      <x:c r="F126" s="12" t="str"/>
      <x:c r="G126" s="12" t="str">
        <x:v>Narasi menyatakan kejadian banjir yang terjadi atau telah terjadi. Label mengikuti isi kejadian, termasuk penanganan dan dampak yang disebut. R1,R4.</x:v>
      </x:c>
      <x:c r="H126" s="4" t="str">
        <x:f>IF(E126="SETUJU_USULAN",D126,IF(E126="KOREKSI",F126,""))</x:f>
        <x:v>FLOOD</x:v>
      </x:c>
      <x:c r="I126" s="4" t="str">
        <x:f>IF(E126="","BELUM_DIREVIEW",IF(E126="TUNDA","DITUNDA",IF(TRIM(Panduan!$B$5)="","ISI_REVIEWER",IF(AND(E126&lt;&gt;"SETUJU_USULAN",E126&lt;&gt;"KOREKSI"),"CEK_KEPUTUSAN",IF(AND(E126="SETUJU_USULAN",F126&lt;&gt;""),"HAPUS_KOREKSI",IF(H126="","ISI_KOREKSI",IF(NOT(OR(H126="FLOOD",H126="EARTHQUAKE",H126="FIRE",H126="ACCIDENT",H126="NON_EVENT")),"CEK_LABEL",IF(AND(E126="KOREKSI",TRIM(G126)=""),"ISI_CATATAN","REVIEW_TERCATAT"))))))))</x:f>
        <x:v>REVIEW_TERCATAT</x:v>
      </x:c>
      <x:c r="J126" s="4" t="str">
        <x:v>Label dataset dan prediksi baseline sama; makna MVP belum direview. Kesepakatan keduanya belum membuktikan label final.</x:v>
      </x:c>
      <x:c r="K126" s="4" t="str">
        <x:v>FLOOD</x:v>
      </x:c>
      <x:c r="L126" s="14" t="n">
        <x:v>0.961630642414093</x:v>
      </x:c>
    </x:row>
    <x:row r="127" ht="64" customHeight="1">
      <x:c r="A127" s="4" t="str">
        <x:v>BAN-01147</x:v>
      </x:c>
      <x:c r="B127" s="4" t="str">
        <x:v>pemerintah memberikan bantuan kepada korban banjir di kampar riau</x:v>
      </x:c>
      <x:c r="C127" s="4" t="str">
        <x:v>NON_EVENT</x:v>
      </x:c>
      <x:c r="D127" s="4" t="str">
        <x:v>NON_EVENT</x:v>
      </x:c>
      <x:c r="E127" s="12" t="str">
        <x:v>KOREKSI</x:v>
      </x:c>
      <x:c r="F127" s="12" t="str">
        <x:v>FLOOD</x:v>
      </x:c>
      <x:c r="G127" s="12" t="str">
        <x:v>Bantuan pemerintah ditujukan kepada korban banjir di Kampar, Riau. Narasi bantuan merujuk kejadian konkret. R1,R5.</x:v>
      </x:c>
      <x:c r="H127" s="4" t="str">
        <x:f>IF(E127="SETUJU_USULAN",D127,IF(E127="KOREKSI",F127,""))</x:f>
        <x:v>FLOOD</x:v>
      </x:c>
      <x:c r="I127" s="4" t="str">
        <x:f>IF(E127="","BELUM_DIREVIEW",IF(E127="TUNDA","DITUNDA",IF(TRIM(Panduan!$B$5)="","ISI_REVIEWER",IF(AND(E127&lt;&gt;"SETUJU_USULAN",E127&lt;&gt;"KOREKSI"),"CEK_KEPUTUSAN",IF(AND(E127="SETUJU_USULAN",F127&lt;&gt;""),"HAPUS_KOREKSI",IF(H127="","ISI_KOREKSI",IF(NOT(OR(H127="FLOOD",H127="EARTHQUAKE",H127="FIRE",H127="ACCIDENT",H127="NON_EVENT")),"CEK_LABEL",IF(AND(E127="KOREKSI",TRIM(G127)=""),"ISI_CATATAN","REVIEW_TERCATAT"))))))))</x:f>
        <x:v>REVIEW_TERCATAT</x:v>
      </x:c>
      <x:c r="J127" s="4" t="str">
        <x:v>Label dataset dan prediksi baseline sama; makna MVP belum direview. Kesepakatan keduanya belum membuktikan label final.</x:v>
      </x:c>
      <x:c r="K127" s="4" t="str">
        <x:v>NON_EVENT</x:v>
      </x:c>
      <x:c r="L127" s="14" t="n">
        <x:v>0.961983323097229</x:v>
      </x:c>
    </x:row>
    <x:row r="128" ht="64" customHeight="1">
      <x:c r="A128" s="4" t="str">
        <x:v>KEB-00297</x:v>
      </x:c>
      <x:c r="B128" s="4" t="str">
        <x:v>contoh kasus cls : gugatan munir dalam kasus deportasi tki migran di nunukan . lalu , kasus kebakaran hutan di kalimantan yang menjadi tergugat adalah jokowi , beberapa menteri nya , gubernur dan dprd kalteng .</x:v>
      </x:c>
      <x:c r="C128" s="4" t="str">
        <x:v>NON_EVENT</x:v>
      </x:c>
      <x:c r="D128" s="4" t="str">
        <x:v>NON_EVENT</x:v>
      </x:c>
      <x:c r="E128" s="12" t="str">
        <x:v>KOREKSI</x:v>
      </x:c>
      <x:c r="F128" s="12" t="str">
        <x:v>FIRE</x:v>
      </x:c>
      <x:c r="G128" s="12" t="str">
        <x:v>Contoh gugatan merujuk kasus kebakaran hutan di Kalimantan beserta pihak tergugat. Konteks hukum tetap memuat rujukan kebakaran tertentu. R1,R4,R5.</x:v>
      </x:c>
      <x:c r="H128" s="4" t="str">
        <x:f>IF(E128="SETUJU_USULAN",D128,IF(E128="KOREKSI",F128,""))</x:f>
        <x:v>FIRE</x:v>
      </x:c>
      <x:c r="I128" s="4" t="str">
        <x:f>IF(E128="","BELUM_DIREVIEW",IF(E128="TUNDA","DITUNDA",IF(TRIM(Panduan!$B$5)="","ISI_REVIEWER",IF(AND(E128&lt;&gt;"SETUJU_USULAN",E128&lt;&gt;"KOREKSI"),"CEK_KEPUTUSAN",IF(AND(E128="SETUJU_USULAN",F128&lt;&gt;""),"HAPUS_KOREKSI",IF(H128="","ISI_KOREKSI",IF(NOT(OR(H128="FLOOD",H128="EARTHQUAKE",H128="FIRE",H128="ACCIDENT",H128="NON_EVENT")),"CEK_LABEL",IF(AND(E128="KOREKSI",TRIM(G128)=""),"ISI_CATATAN","REVIEW_TERCATAT"))))))))</x:f>
        <x:v>REVIEW_TERCATAT</x:v>
      </x:c>
      <x:c r="J128" s="4" t="str">
        <x:v>Label dataset dan prediksi baseline sama; makna MVP belum direview. Kesepakatan keduanya belum membuktikan label final.</x:v>
      </x:c>
      <x:c r="K128" s="4" t="str">
        <x:v>NON_EVENT</x:v>
      </x:c>
      <x:c r="L128" s="14" t="n">
        <x:v>0.9621015787124634</x:v>
      </x:c>
    </x:row>
    <x:row r="129" ht="64" customHeight="1">
      <x:c r="A129" s="4" t="str">
        <x:v>KEC-01450</x:v>
      </x:c>
      <x:c r="B129" s="4" t="str">
        <x:v>dalam 1 pekan ini telah terjadi 3 kecelakaan kapal penyebrangan warning bagi pemerintah untuk segera mengevaluasi bagaimana pengawasan transportasi penyebrangan di lapangan</x:v>
      </x:c>
      <x:c r="C129" s="4" t="str">
        <x:v>NON_EVENT</x:v>
      </x:c>
      <x:c r="D129" s="4" t="str">
        <x:v>NON_EVENT</x:v>
      </x:c>
      <x:c r="E129" s="12" t="str">
        <x:v>SETUJU_USULAN</x:v>
      </x:c>
      <x:c r="F129" s="12" t="str"/>
      <x:c r="G129" s="12" t="str">
        <x:v>Jumlah tiga kecelakaan kapal dalam satu pekan disajikan sebagai ringkasan umum tanpa satu kasus teridentifikasi. R3.</x:v>
      </x:c>
      <x:c r="H129" s="4" t="str">
        <x:f>IF(E129="SETUJU_USULAN",D129,IF(E129="KOREKSI",F129,""))</x:f>
        <x:v>NON_EVENT</x:v>
      </x:c>
      <x:c r="I129" s="4" t="str">
        <x:f>IF(E129="","BELUM_DIREVIEW",IF(E129="TUNDA","DITUNDA",IF(TRIM(Panduan!$B$5)="","ISI_REVIEWER",IF(AND(E129&lt;&gt;"SETUJU_USULAN",E129&lt;&gt;"KOREKSI"),"CEK_KEPUTUSAN",IF(AND(E129="SETUJU_USULAN",F129&lt;&gt;""),"HAPUS_KOREKSI",IF(H129="","ISI_KOREKSI",IF(NOT(OR(H129="FLOOD",H129="EARTHQUAKE",H129="FIRE",H129="ACCIDENT",H129="NON_EVENT")),"CEK_LABEL",IF(AND(E129="KOREKSI",TRIM(G129)=""),"ISI_CATATAN","REVIEW_TERCATAT"))))))))</x:f>
        <x:v>REVIEW_TERCATAT</x:v>
      </x:c>
      <x:c r="J129" s="4" t="str">
        <x:v>Label dataset dan prediksi baseline sama; makna MVP belum direview. Kesepakatan keduanya belum membuktikan label final.</x:v>
      </x:c>
      <x:c r="K129" s="4" t="str">
        <x:v>NON_EVENT</x:v>
      </x:c>
      <x:c r="L129" s="14" t="n">
        <x:v>0.9626284241676331</x:v>
      </x:c>
    </x:row>
    <x:row r="130" ht="64" customHeight="1">
      <x:c r="A130" s="4" t="str">
        <x:v>BAN-01691</x:v>
      </x:c>
      <x:c r="B130" s="4" t="str">
        <x:v>banjir dukungan di injury time yunarto wijaya : luar biasa pak prabowo</x:v>
      </x:c>
      <x:c r="C130" s="4" t="str">
        <x:v>NON_EVENT</x:v>
      </x:c>
      <x:c r="D130" s="4" t="str">
        <x:v>NON_EVENT</x:v>
      </x:c>
      <x:c r="E130" s="12" t="str">
        <x:v>SETUJU_USULAN</x:v>
      </x:c>
      <x:c r="F130" s="12" t="str"/>
      <x:c r="G130" s="12" t="str">
        <x:v>Banjir dukungan merupakan kiasan dukungan politik. R3.</x:v>
      </x:c>
      <x:c r="H130" s="4" t="str">
        <x:f>IF(E130="SETUJU_USULAN",D130,IF(E130="KOREKSI",F130,""))</x:f>
        <x:v>NON_EVENT</x:v>
      </x:c>
      <x:c r="I130" s="4" t="str">
        <x:f>IF(E130="","BELUM_DIREVIEW",IF(E130="TUNDA","DITUNDA",IF(TRIM(Panduan!$B$5)="","ISI_REVIEWER",IF(AND(E130&lt;&gt;"SETUJU_USULAN",E130&lt;&gt;"KOREKSI"),"CEK_KEPUTUSAN",IF(AND(E130="SETUJU_USULAN",F130&lt;&gt;""),"HAPUS_KOREKSI",IF(H130="","ISI_KOREKSI",IF(NOT(OR(H130="FLOOD",H130="EARTHQUAKE",H130="FIRE",H130="ACCIDENT",H130="NON_EVENT")),"CEK_LABEL",IF(AND(E130="KOREKSI",TRIM(G130)=""),"ISI_CATATAN","REVIEW_TERCATAT"))))))))</x:f>
        <x:v>REVIEW_TERCATAT</x:v>
      </x:c>
      <x:c r="J130" s="4" t="str">
        <x:v>Label dataset dan prediksi baseline sama; makna MVP belum direview. Kesepakatan keduanya belum membuktikan label final.</x:v>
      </x:c>
      <x:c r="K130" s="4" t="str">
        <x:v>NON_EVENT</x:v>
      </x:c>
      <x:c r="L130" s="14" t="n">
        <x:v>0.9632837176322937</x:v>
      </x:c>
    </x:row>
    <x:row r="131" ht="66" customHeight="1">
      <x:c r="A131" s="4" t="str">
        <x:v>KEB-00753</x:v>
      </x:c>
      <x:c r="B131" s="4" t="str">
        <x:v>malam kak felim . jawin informasikan perihal jaringan internet nya , setelah di lakukan pengecekkan saat ini team teknisi sedang dalam progress pemulihan layanan jaringan internet nya pasca kebakaran yang terjadi di sto pekanbaru . terima kasih - jawin</x:v>
      </x:c>
      <x:c r="C131" s="4" t="str">
        <x:v>NON_EVENT</x:v>
      </x:c>
      <x:c r="D131" s="4" t="str">
        <x:v>NON_EVENT</x:v>
      </x:c>
      <x:c r="E131" s="12" t="str">
        <x:v>KOREKSI</x:v>
      </x:c>
      <x:c r="F131" s="12" t="str">
        <x:v>FIRE</x:v>
      </x:c>
      <x:c r="G131" s="12" t="str">
        <x:v>Pemulihan jaringan secara eksplisit disebut pascakebakaran yang terjadi di STO Pekanbaru. R1,R5.</x:v>
      </x:c>
      <x:c r="H131" s="4" t="str">
        <x:f>IF(E131="SETUJU_USULAN",D131,IF(E131="KOREKSI",F131,""))</x:f>
        <x:v>FIRE</x:v>
      </x:c>
      <x:c r="I131" s="4" t="str">
        <x:f>IF(E131="","BELUM_DIREVIEW",IF(E131="TUNDA","DITUNDA",IF(TRIM(Panduan!$B$5)="","ISI_REVIEWER",IF(AND(E131&lt;&gt;"SETUJU_USULAN",E131&lt;&gt;"KOREKSI"),"CEK_KEPUTUSAN",IF(AND(E131="SETUJU_USULAN",F131&lt;&gt;""),"HAPUS_KOREKSI",IF(H131="","ISI_KOREKSI",IF(NOT(OR(H131="FLOOD",H131="EARTHQUAKE",H131="FIRE",H131="ACCIDENT",H131="NON_EVENT")),"CEK_LABEL",IF(AND(E131="KOREKSI",TRIM(G131)=""),"ISI_CATATAN","REVIEW_TERCATAT"))))))))</x:f>
        <x:v>REVIEW_TERCATAT</x:v>
      </x:c>
      <x:c r="J131" s="4" t="str">
        <x:v>Label dataset dan prediksi baseline sama; makna MVP belum direview. Kesepakatan keduanya belum membuktikan label final.</x:v>
      </x:c>
      <x:c r="K131" s="4" t="str">
        <x:v>NON_EVENT</x:v>
      </x:c>
      <x:c r="L131" s="14" t="n">
        <x:v>0.9637962579727173</x:v>
      </x:c>
    </x:row>
    <x:row r="132" ht="64" customHeight="1">
      <x:c r="A132" s="4" t="str">
        <x:v>BAN-01136</x:v>
      </x:c>
      <x:c r="B132" s="4" t="str">
        <x:v>2313 banjir di kp poncol desa tanjungsari cikarang utara</x:v>
      </x:c>
      <x:c r="C132" s="4" t="str">
        <x:v>FLOOD</x:v>
      </x:c>
      <x:c r="D132" s="4" t="str">
        <x:v>FLOOD</x:v>
      </x:c>
      <x:c r="E132" s="12" t="str">
        <x:v>SETUJU_USULAN</x:v>
      </x:c>
      <x:c r="F132" s="12" t="str"/>
      <x:c r="G132" s="12" t="str">
        <x:v>Narasi menyatakan kejadian banjir yang terjadi atau telah terjadi. Label mengikuti isi kejadian, termasuk penanganan dan dampak yang disebut. R1,R4.</x:v>
      </x:c>
      <x:c r="H132" s="4" t="str">
        <x:f>IF(E132="SETUJU_USULAN",D132,IF(E132="KOREKSI",F132,""))</x:f>
        <x:v>FLOOD</x:v>
      </x:c>
      <x:c r="I132" s="4" t="str">
        <x:f>IF(E132="","BELUM_DIREVIEW",IF(E132="TUNDA","DITUNDA",IF(TRIM(Panduan!$B$5)="","ISI_REVIEWER",IF(AND(E132&lt;&gt;"SETUJU_USULAN",E132&lt;&gt;"KOREKSI"),"CEK_KEPUTUSAN",IF(AND(E132="SETUJU_USULAN",F132&lt;&gt;""),"HAPUS_KOREKSI",IF(H132="","ISI_KOREKSI",IF(NOT(OR(H132="FLOOD",H132="EARTHQUAKE",H132="FIRE",H132="ACCIDENT",H132="NON_EVENT")),"CEK_LABEL",IF(AND(E132="KOREKSI",TRIM(G132)=""),"ISI_CATATAN","REVIEW_TERCATAT"))))))))</x:f>
        <x:v>REVIEW_TERCATAT</x:v>
      </x:c>
      <x:c r="J132" s="4" t="str">
        <x:v>Label dataset dan prediksi baseline sama; makna MVP belum direview. Kesepakatan keduanya belum membuktikan label final.</x:v>
      </x:c>
      <x:c r="K132" s="4" t="str">
        <x:v>FLOOD</x:v>
      </x:c>
      <x:c r="L132" s="14" t="n">
        <x:v>0.963873565196991</x:v>
      </x:c>
    </x:row>
    <x:row r="133" ht="64" customHeight="1">
      <x:c r="A133" s="4" t="str">
        <x:v>BAN-01928</x:v>
      </x:c>
      <x:c r="B133" s="4" t="str">
        <x:v>hampir 2 pekan banjir di samarinda tidak kunjung surut | -</x:v>
      </x:c>
      <x:c r="C133" s="4" t="str">
        <x:v>FLOOD</x:v>
      </x:c>
      <x:c r="D133" s="4" t="str">
        <x:v>FLOOD</x:v>
      </x:c>
      <x:c r="E133" s="12" t="str">
        <x:v>SETUJU_USULAN</x:v>
      </x:c>
      <x:c r="F133" s="12" t="str"/>
      <x:c r="G133" s="12" t="str">
        <x:v>Narasi menyatakan kejadian banjir yang terjadi atau telah terjadi. Label mengikuti isi kejadian, termasuk penanganan dan dampak yang disebut. R1,R4.</x:v>
      </x:c>
      <x:c r="H133" s="4" t="str">
        <x:f>IF(E133="SETUJU_USULAN",D133,IF(E133="KOREKSI",F133,""))</x:f>
        <x:v>FLOOD</x:v>
      </x:c>
      <x:c r="I133" s="4" t="str">
        <x:f>IF(E133="","BELUM_DIREVIEW",IF(E133="TUNDA","DITUNDA",IF(TRIM(Panduan!$B$5)="","ISI_REVIEWER",IF(AND(E133&lt;&gt;"SETUJU_USULAN",E133&lt;&gt;"KOREKSI"),"CEK_KEPUTUSAN",IF(AND(E133="SETUJU_USULAN",F133&lt;&gt;""),"HAPUS_KOREKSI",IF(H133="","ISI_KOREKSI",IF(NOT(OR(H133="FLOOD",H133="EARTHQUAKE",H133="FIRE",H133="ACCIDENT",H133="NON_EVENT")),"CEK_LABEL",IF(AND(E133="KOREKSI",TRIM(G133)=""),"ISI_CATATAN","REVIEW_TERCATAT"))))))))</x:f>
        <x:v>REVIEW_TERCATAT</x:v>
      </x:c>
      <x:c r="J133" s="4" t="str">
        <x:v>Label dataset dan prediksi baseline sama; makna MVP belum direview. Kesepakatan keduanya belum membuktikan label final.</x:v>
      </x:c>
      <x:c r="K133" s="4" t="str">
        <x:v>FLOOD</x:v>
      </x:c>
      <x:c r="L133" s="14" t="n">
        <x:v>0.963944137096405</x:v>
      </x:c>
    </x:row>
    <x:row r="134" ht="64" customHeight="1">
      <x:c r="A134" s="4" t="str">
        <x:v>BAN-01251</x:v>
      </x:c>
      <x:c r="B134" s="4" t="str">
        <x:v>kader pks bagikan bantuan kepada masyarakat yang terkena banjir di jayapura</x:v>
      </x:c>
      <x:c r="C134" s="4" t="str">
        <x:v>NON_EVENT</x:v>
      </x:c>
      <x:c r="D134" s="4" t="str">
        <x:v>NON_EVENT</x:v>
      </x:c>
      <x:c r="E134" s="12" t="str">
        <x:v>KOREKSI</x:v>
      </x:c>
      <x:c r="F134" s="12" t="str">
        <x:v>FLOOD</x:v>
      </x:c>
      <x:c r="G134" s="12" t="str">
        <x:v>Pembagian bantuan merujuk masyarakat yang terkena banjir di Jayapura. R1,R5.</x:v>
      </x:c>
      <x:c r="H134" s="4" t="str">
        <x:f>IF(E134="SETUJU_USULAN",D134,IF(E134="KOREKSI",F134,""))</x:f>
        <x:v>FLOOD</x:v>
      </x:c>
      <x:c r="I134" s="4" t="str">
        <x:f>IF(E134="","BELUM_DIREVIEW",IF(E134="TUNDA","DITUNDA",IF(TRIM(Panduan!$B$5)="","ISI_REVIEWER",IF(AND(E134&lt;&gt;"SETUJU_USULAN",E134&lt;&gt;"KOREKSI"),"CEK_KEPUTUSAN",IF(AND(E134="SETUJU_USULAN",F134&lt;&gt;""),"HAPUS_KOREKSI",IF(H134="","ISI_KOREKSI",IF(NOT(OR(H134="FLOOD",H134="EARTHQUAKE",H134="FIRE",H134="ACCIDENT",H134="NON_EVENT")),"CEK_LABEL",IF(AND(E134="KOREKSI",TRIM(G134)=""),"ISI_CATATAN","REVIEW_TERCATAT"))))))))</x:f>
        <x:v>REVIEW_TERCATAT</x:v>
      </x:c>
      <x:c r="J134" s="4" t="str">
        <x:v>Label dataset dan prediksi baseline sama; makna MVP belum direview. Kesepakatan keduanya belum membuktikan label final.</x:v>
      </x:c>
      <x:c r="K134" s="4" t="str">
        <x:v>NON_EVENT</x:v>
      </x:c>
      <x:c r="L134" s="14" t="n">
        <x:v>0.9639601707458496</x:v>
      </x:c>
    </x:row>
    <x:row r="135" ht="66" customHeight="1">
      <x:c r="A135" s="4" t="str">
        <x:v>KEB-01049</x:v>
      </x:c>
      <x:c r="B135" s="4" t="str">
        <x:v>konsep di kita belum terlalu terbiasa dengan punitive damages " karena pmh . terbiasa dengan " exemplary damages " karena wanprestasi . contoh punitive , ganti rugi 17 trilyun yang dijatuhkan atas kasus kebakaran hutan . kalau di amrik , sudah terbiasa , contohnya kasus boeing . "</x:v>
      </x:c>
      <x:c r="C135" s="4" t="str">
        <x:v>NON_EVENT</x:v>
      </x:c>
      <x:c r="D135" s="4" t="str">
        <x:v>NON_EVENT</x:v>
      </x:c>
      <x:c r="E135" s="12" t="str">
        <x:v>KOREKSI</x:v>
      </x:c>
      <x:c r="F135" s="12" t="str">
        <x:v>FIRE</x:v>
      </x:c>
      <x:c r="G135" s="12" t="str">
        <x:v>Contoh hukum menyatakan ganti rugi dijatuhkan atas kasus kebakaran hutan tertentu. Tidak adanya lokasi bukan alasan menolak rujukan kejadian. R1,R4,R5.</x:v>
      </x:c>
      <x:c r="H135" s="4" t="str">
        <x:f>IF(E135="SETUJU_USULAN",D135,IF(E135="KOREKSI",F135,""))</x:f>
        <x:v>FIRE</x:v>
      </x:c>
      <x:c r="I135" s="4" t="str">
        <x:f>IF(E135="","BELUM_DIREVIEW",IF(E135="TUNDA","DITUNDA",IF(TRIM(Panduan!$B$5)="","ISI_REVIEWER",IF(AND(E135&lt;&gt;"SETUJU_USULAN",E135&lt;&gt;"KOREKSI"),"CEK_KEPUTUSAN",IF(AND(E135="SETUJU_USULAN",F135&lt;&gt;""),"HAPUS_KOREKSI",IF(H135="","ISI_KOREKSI",IF(NOT(OR(H135="FLOOD",H135="EARTHQUAKE",H135="FIRE",H135="ACCIDENT",H135="NON_EVENT")),"CEK_LABEL",IF(AND(E135="KOREKSI",TRIM(G135)=""),"ISI_CATATAN","REVIEW_TERCATAT"))))))))</x:f>
        <x:v>REVIEW_TERCATAT</x:v>
      </x:c>
      <x:c r="J135" s="4" t="str">
        <x:v>Label dataset dan prediksi baseline sama; makna MVP belum direview. Kesepakatan keduanya belum membuktikan label final.</x:v>
      </x:c>
      <x:c r="K135" s="4" t="str">
        <x:v>NON_EVENT</x:v>
      </x:c>
      <x:c r="L135" s="14" t="n">
        <x:v>0.9647982120513916</x:v>
      </x:c>
    </x:row>
    <x:row r="136" ht="64" customHeight="1">
      <x:c r="A136" s="4" t="str">
        <x:v>KEC-01316</x:v>
      </x:c>
      <x:c r="B136" s="4" t="str">
        <x:v>angka kecelakaan di arus mudik lebaran turun 17 persen</x:v>
      </x:c>
      <x:c r="C136" s="4" t="str">
        <x:v>NON_EVENT</x:v>
      </x:c>
      <x:c r="D136" s="4" t="str">
        <x:v>NON_EVENT</x:v>
      </x:c>
      <x:c r="E136" s="12" t="str">
        <x:v>SETUJU_USULAN</x:v>
      </x:c>
      <x:c r="F136" s="12" t="str"/>
      <x:c r="G136" s="12" t="str">
        <x:v>Penurunan angka kecelakaan 17 persen merupakan statistik periode arus mudik. R3.</x:v>
      </x:c>
      <x:c r="H136" s="4" t="str">
        <x:f>IF(E136="SETUJU_USULAN",D136,IF(E136="KOREKSI",F136,""))</x:f>
        <x:v>NON_EVENT</x:v>
      </x:c>
      <x:c r="I136" s="4" t="str">
        <x:f>IF(E136="","BELUM_DIREVIEW",IF(E136="TUNDA","DITUNDA",IF(TRIM(Panduan!$B$5)="","ISI_REVIEWER",IF(AND(E136&lt;&gt;"SETUJU_USULAN",E136&lt;&gt;"KOREKSI"),"CEK_KEPUTUSAN",IF(AND(E136="SETUJU_USULAN",F136&lt;&gt;""),"HAPUS_KOREKSI",IF(H136="","ISI_KOREKSI",IF(NOT(OR(H136="FLOOD",H136="EARTHQUAKE",H136="FIRE",H136="ACCIDENT",H136="NON_EVENT")),"CEK_LABEL",IF(AND(E136="KOREKSI",TRIM(G136)=""),"ISI_CATATAN","REVIEW_TERCATAT"))))))))</x:f>
        <x:v>REVIEW_TERCATAT</x:v>
      </x:c>
      <x:c r="J136" s="4" t="str">
        <x:v>Label dataset dan prediksi baseline sama; makna MVP belum direview. Kesepakatan keduanya belum membuktikan label final.</x:v>
      </x:c>
      <x:c r="K136" s="4" t="str">
        <x:v>NON_EVENT</x:v>
      </x:c>
      <x:c r="L136" s="14" t="n">
        <x:v>0.9654491543769836</x:v>
      </x:c>
    </x:row>
    <x:row r="137" ht="64" customHeight="1">
      <x:c r="A137" s="4" t="str">
        <x:v>BAN-01190</x:v>
      </x:c>
      <x:c r="B137" s="4" t="str">
        <x:v>duh gustiiii kado akhir tahun yang pahit dari gabener banjir rob yang meredam 4 rt di jakut dan jakbar</x:v>
      </x:c>
      <x:c r="C137" s="4" t="str">
        <x:v>NON_EVENT</x:v>
      </x:c>
      <x:c r="D137" s="4" t="str">
        <x:v>NON_EVENT</x:v>
      </x:c>
      <x:c r="E137" s="12" t="str">
        <x:v>KOREKSI</x:v>
      </x:c>
      <x:c r="F137" s="12" t="str">
        <x:v>FLOOD</x:v>
      </x:c>
      <x:c r="G137" s="12" t="str">
        <x:v>Sindiran politik menyebut banjir rob yang merendam empat RT di Jakarta Utara dan Barat. Dampak fisik dinyatakan eksplisit. R1,R5.</x:v>
      </x:c>
      <x:c r="H137" s="4" t="str">
        <x:f>IF(E137="SETUJU_USULAN",D137,IF(E137="KOREKSI",F137,""))</x:f>
        <x:v>FLOOD</x:v>
      </x:c>
      <x:c r="I137" s="4" t="str">
        <x:f>IF(E137="","BELUM_DIREVIEW",IF(E137="TUNDA","DITUNDA",IF(TRIM(Panduan!$B$5)="","ISI_REVIEWER",IF(AND(E137&lt;&gt;"SETUJU_USULAN",E137&lt;&gt;"KOREKSI"),"CEK_KEPUTUSAN",IF(AND(E137="SETUJU_USULAN",F137&lt;&gt;""),"HAPUS_KOREKSI",IF(H137="","ISI_KOREKSI",IF(NOT(OR(H137="FLOOD",H137="EARTHQUAKE",H137="FIRE",H137="ACCIDENT",H137="NON_EVENT")),"CEK_LABEL",IF(AND(E137="KOREKSI",TRIM(G137)=""),"ISI_CATATAN","REVIEW_TERCATAT"))))))))</x:f>
        <x:v>REVIEW_TERCATAT</x:v>
      </x:c>
      <x:c r="J137" s="4" t="str">
        <x:v>Label dataset dan prediksi baseline sama; makna MVP belum direview. Kesepakatan keduanya belum membuktikan label final.</x:v>
      </x:c>
      <x:c r="K137" s="4" t="str">
        <x:v>NON_EVENT</x:v>
      </x:c>
      <x:c r="L137" s="14" t="n">
        <x:v>0.9656147360801697</x:v>
      </x:c>
    </x:row>
    <x:row r="138" ht="66" customHeight="1">
      <x:c r="A138" s="4" t="str">
        <x:v>GEM-01463</x:v>
      </x:c>
      <x:c r="B138" s="4" t="str">
        <x:v>gempa pangandaran warga dan wisatawan tak rasakan guncangan 5 0 skala richter : jawa barat ilustrasi gempa bumi * /fian/grafis pr pangandaran ( pr ) - salah satu warga di bojongsalawe desa karangjaladri kecamatan parigi dedi kurniadi ( 45 ) mengaku tidak</x:v>
      </x:c>
      <x:c r="C138" s="4" t="str">
        <x:v>EARTHQUAKE</x:v>
      </x:c>
      <x:c r="D138" s="4" t="str">
        <x:v>EARTHQUAKE</x:v>
      </x:c>
      <x:c r="E138" s="12" t="str">
        <x:v>SETUJU_USULAN</x:v>
      </x:c>
      <x:c r="F138" s="12" t="str"/>
      <x:c r="G138" s="12" t="str">
        <x:v>Narasi menyatakan kejadian gempa bumi yang terjadi atau telah terjadi. Label mengikuti isi kejadian, termasuk penanganan dan dampak yang disebut. R1,R4.</x:v>
      </x:c>
      <x:c r="H138" s="4" t="str">
        <x:f>IF(E138="SETUJU_USULAN",D138,IF(E138="KOREKSI",F138,""))</x:f>
        <x:v>EARTHQUAKE</x:v>
      </x:c>
      <x:c r="I138" s="4" t="str">
        <x:f>IF(E138="","BELUM_DIREVIEW",IF(E138="TUNDA","DITUNDA",IF(TRIM(Panduan!$B$5)="","ISI_REVIEWER",IF(AND(E138&lt;&gt;"SETUJU_USULAN",E138&lt;&gt;"KOREKSI"),"CEK_KEPUTUSAN",IF(AND(E138="SETUJU_USULAN",F138&lt;&gt;""),"HAPUS_KOREKSI",IF(H138="","ISI_KOREKSI",IF(NOT(OR(H138="FLOOD",H138="EARTHQUAKE",H138="FIRE",H138="ACCIDENT",H138="NON_EVENT")),"CEK_LABEL",IF(AND(E138="KOREKSI",TRIM(G138)=""),"ISI_CATATAN","REVIEW_TERCATAT"))))))))</x:f>
        <x:v>REVIEW_TERCATAT</x:v>
      </x:c>
      <x:c r="J138" s="4" t="str">
        <x:v>Label dataset dan prediksi baseline sama; makna MVP belum direview. Kesepakatan keduanya belum membuktikan label final.</x:v>
      </x:c>
      <x:c r="K138" s="4" t="str">
        <x:v>EARTHQUAKE</x:v>
      </x:c>
      <x:c r="L138" s="14" t="n">
        <x:v>0.9657613635063171</x:v>
      </x:c>
    </x:row>
    <x:row r="139" ht="64" customHeight="1">
      <x:c r="A139" s="4" t="str">
        <x:v>BAN-01359</x:v>
      </x:c>
      <x:c r="B139" s="4" t="str">
        <x:v>( 2/2 ) banjir di beberapa titik diantaranya di perumahan citraland taman puspa pakuwon bukit palma di kota surabaya pada 31/1/2019 pukul 0:15:30 wib -- via |</x:v>
      </x:c>
      <x:c r="C139" s="4" t="str">
        <x:v>FLOOD</x:v>
      </x:c>
      <x:c r="D139" s="4" t="str">
        <x:v>FLOOD</x:v>
      </x:c>
      <x:c r="E139" s="12" t="str">
        <x:v>SETUJU_USULAN</x:v>
      </x:c>
      <x:c r="F139" s="12" t="str"/>
      <x:c r="G139" s="12" t="str">
        <x:v>Narasi menyatakan kejadian banjir yang terjadi atau telah terjadi. Label mengikuti isi kejadian, termasuk penanganan dan dampak yang disebut. R1,R4.</x:v>
      </x:c>
      <x:c r="H139" s="4" t="str">
        <x:f>IF(E139="SETUJU_USULAN",D139,IF(E139="KOREKSI",F139,""))</x:f>
        <x:v>FLOOD</x:v>
      </x:c>
      <x:c r="I139" s="4" t="str">
        <x:f>IF(E139="","BELUM_DIREVIEW",IF(E139="TUNDA","DITUNDA",IF(TRIM(Panduan!$B$5)="","ISI_REVIEWER",IF(AND(E139&lt;&gt;"SETUJU_USULAN",E139&lt;&gt;"KOREKSI"),"CEK_KEPUTUSAN",IF(AND(E139="SETUJU_USULAN",F139&lt;&gt;""),"HAPUS_KOREKSI",IF(H139="","ISI_KOREKSI",IF(NOT(OR(H139="FLOOD",H139="EARTHQUAKE",H139="FIRE",H139="ACCIDENT",H139="NON_EVENT")),"CEK_LABEL",IF(AND(E139="KOREKSI",TRIM(G139)=""),"ISI_CATATAN","REVIEW_TERCATAT"))))))))</x:f>
        <x:v>REVIEW_TERCATAT</x:v>
      </x:c>
      <x:c r="J139" s="4" t="str">
        <x:v>Label dataset dan prediksi baseline sama; makna MVP belum direview. Kesepakatan keduanya belum membuktikan label final.</x:v>
      </x:c>
      <x:c r="K139" s="4" t="str">
        <x:v>FLOOD</x:v>
      </x:c>
      <x:c r="L139" s="14" t="n">
        <x:v>0.9658811092376709</x:v>
      </x:c>
    </x:row>
    <x:row r="140" ht="66" customHeight="1">
      <x:c r="A140" s="4" t="str">
        <x:v>BAN-01308</x:v>
      </x:c>
      <x:c r="B140" s="4" t="str">
        <x:v>setelah banjir bandang yang menimpa sulawesi selatan sejak selasa ( 22/1 ) hingga hari ini ( 23/1 ) kantor lembaga layanan pendidikan tinggi ( lldikti ) wilayah ix sulawesi dan gorontalo di kota makassar terendam banjir setinggi orang dewasa</x:v>
      </x:c>
      <x:c r="C140" s="4" t="str">
        <x:v>FLOOD</x:v>
      </x:c>
      <x:c r="D140" s="4" t="str">
        <x:v>FLOOD</x:v>
      </x:c>
      <x:c r="E140" s="12" t="str">
        <x:v>SETUJU_USULAN</x:v>
      </x:c>
      <x:c r="F140" s="12" t="str"/>
      <x:c r="G140" s="12" t="str">
        <x:v>Narasi menyatakan kejadian banjir yang terjadi atau telah terjadi. Label mengikuti isi kejadian, termasuk penanganan dan dampak yang disebut. R1,R4.</x:v>
      </x:c>
      <x:c r="H140" s="4" t="str">
        <x:f>IF(E140="SETUJU_USULAN",D140,IF(E140="KOREKSI",F140,""))</x:f>
        <x:v>FLOOD</x:v>
      </x:c>
      <x:c r="I140" s="4" t="str">
        <x:f>IF(E140="","BELUM_DIREVIEW",IF(E140="TUNDA","DITUNDA",IF(TRIM(Panduan!$B$5)="","ISI_REVIEWER",IF(AND(E140&lt;&gt;"SETUJU_USULAN",E140&lt;&gt;"KOREKSI"),"CEK_KEPUTUSAN",IF(AND(E140="SETUJU_USULAN",F140&lt;&gt;""),"HAPUS_KOREKSI",IF(H140="","ISI_KOREKSI",IF(NOT(OR(H140="FLOOD",H140="EARTHQUAKE",H140="FIRE",H140="ACCIDENT",H140="NON_EVENT")),"CEK_LABEL",IF(AND(E140="KOREKSI",TRIM(G140)=""),"ISI_CATATAN","REVIEW_TERCATAT"))))))))</x:f>
        <x:v>REVIEW_TERCATAT</x:v>
      </x:c>
      <x:c r="J140" s="4" t="str">
        <x:v>Label dataset dan prediksi baseline sama; makna MVP belum direview. Kesepakatan keduanya belum membuktikan label final.</x:v>
      </x:c>
      <x:c r="K140" s="4" t="str">
        <x:v>FLOOD</x:v>
      </x:c>
      <x:c r="L140" s="14" t="n">
        <x:v>0.9664125442504883</x:v>
      </x:c>
    </x:row>
    <x:row r="141" ht="64" customHeight="1">
      <x:c r="A141" s="4" t="str">
        <x:v>BAN-01852</x:v>
      </x:c>
      <x:c r="B141" s="4" t="str">
        <x:v>musibah banjir yang melanda 12 rt di kelurahan guntung direspon cepat oleh pupuk kaltim yang langsung menyalurkan bantuan bagi masyarakat guntung yang menjadi korban banjir</x:v>
      </x:c>
      <x:c r="C141" s="4" t="str">
        <x:v>NON_EVENT</x:v>
      </x:c>
      <x:c r="D141" s="4" t="str">
        <x:v>NON_EVENT</x:v>
      </x:c>
      <x:c r="E141" s="12" t="str">
        <x:v>KOREKSI</x:v>
      </x:c>
      <x:c r="F141" s="12" t="str">
        <x:v>FLOOD</x:v>
      </x:c>
      <x:c r="G141" s="12" t="str">
        <x:v>Musibah banjir dinyatakan melanda 12 RT Guntung dan diikuti bantuan Pupuk Kaltim. R1,R5.</x:v>
      </x:c>
      <x:c r="H141" s="4" t="str">
        <x:f>IF(E141="SETUJU_USULAN",D141,IF(E141="KOREKSI",F141,""))</x:f>
        <x:v>FLOOD</x:v>
      </x:c>
      <x:c r="I141" s="4" t="str">
        <x:f>IF(E141="","BELUM_DIREVIEW",IF(E141="TUNDA","DITUNDA",IF(TRIM(Panduan!$B$5)="","ISI_REVIEWER",IF(AND(E141&lt;&gt;"SETUJU_USULAN",E141&lt;&gt;"KOREKSI"),"CEK_KEPUTUSAN",IF(AND(E141="SETUJU_USULAN",F141&lt;&gt;""),"HAPUS_KOREKSI",IF(H141="","ISI_KOREKSI",IF(NOT(OR(H141="FLOOD",H141="EARTHQUAKE",H141="FIRE",H141="ACCIDENT",H141="NON_EVENT")),"CEK_LABEL",IF(AND(E141="KOREKSI",TRIM(G141)=""),"ISI_CATATAN","REVIEW_TERCATAT"))))))))</x:f>
        <x:v>REVIEW_TERCATAT</x:v>
      </x:c>
      <x:c r="J141" s="4" t="str">
        <x:v>Label dataset dan prediksi baseline sama; makna MVP belum direview. Kesepakatan keduanya belum membuktikan label final.</x:v>
      </x:c>
      <x:c r="K141" s="4" t="str">
        <x:v>NON_EVENT</x:v>
      </x:c>
      <x:c r="L141" s="14" t="n">
        <x:v>0.9666063189506531</x:v>
      </x:c>
    </x:row>
    <x:row r="142" ht="64" customHeight="1">
      <x:c r="A142" s="4" t="str">
        <x:v>BAN-01960</x:v>
      </x:c>
      <x:c r="B142" s="4" t="str">
        <x:v>jokowi banjir ucapan selamat di sela ktt g20</x:v>
      </x:c>
      <x:c r="C142" s="4" t="str">
        <x:v>NON_EVENT</x:v>
      </x:c>
      <x:c r="D142" s="4" t="str">
        <x:v>NON_EVENT</x:v>
      </x:c>
      <x:c r="E142" s="12" t="str">
        <x:v>SETUJU_USULAN</x:v>
      </x:c>
      <x:c r="F142" s="12" t="str"/>
      <x:c r="G142" s="12" t="str">
        <x:v>Banjir ucapan selamat merupakan kiasan banyaknya ucapan. R3.</x:v>
      </x:c>
      <x:c r="H142" s="4" t="str">
        <x:f>IF(E142="SETUJU_USULAN",D142,IF(E142="KOREKSI",F142,""))</x:f>
        <x:v>NON_EVENT</x:v>
      </x:c>
      <x:c r="I142" s="4" t="str">
        <x:f>IF(E142="","BELUM_DIREVIEW",IF(E142="TUNDA","DITUNDA",IF(TRIM(Panduan!$B$5)="","ISI_REVIEWER",IF(AND(E142&lt;&gt;"SETUJU_USULAN",E142&lt;&gt;"KOREKSI"),"CEK_KEPUTUSAN",IF(AND(E142="SETUJU_USULAN",F142&lt;&gt;""),"HAPUS_KOREKSI",IF(H142="","ISI_KOREKSI",IF(NOT(OR(H142="FLOOD",H142="EARTHQUAKE",H142="FIRE",H142="ACCIDENT",H142="NON_EVENT")),"CEK_LABEL",IF(AND(E142="KOREKSI",TRIM(G142)=""),"ISI_CATATAN","REVIEW_TERCATAT"))))))))</x:f>
        <x:v>REVIEW_TERCATAT</x:v>
      </x:c>
      <x:c r="J142" s="4" t="str">
        <x:v>Label dataset dan prediksi baseline sama; makna MVP belum direview. Kesepakatan keduanya belum membuktikan label final.</x:v>
      </x:c>
      <x:c r="K142" s="4" t="str">
        <x:v>NON_EVENT</x:v>
      </x:c>
      <x:c r="L142" s="14" t="n">
        <x:v>0.9668009281158447</x:v>
      </x:c>
    </x:row>
    <x:row r="143" ht="64" customHeight="1">
      <x:c r="A143" s="4" t="str">
        <x:v>BAN-01457</x:v>
      </x:c>
      <x:c r="B143" s="4" t="str">
        <x:v>hujan mengingatkan ku kepada -- banjir bojongsoang yang harus dilalui tiap hari buat pkpa di al ihsan : (</x:v>
      </x:c>
      <x:c r="C143" s="4" t="str">
        <x:v>NON_EVENT</x:v>
      </x:c>
      <x:c r="D143" s="4" t="str">
        <x:v>NON_EVENT</x:v>
      </x:c>
      <x:c r="E143" s="12" t="str">
        <x:v>KOREKSI</x:v>
      </x:c>
      <x:c r="F143" s="12" t="str">
        <x:v>FLOOD</x:v>
      </x:c>
      <x:c r="G143" s="12" t="str">
        <x:v>Ingatan pelapor merujuk banjir Bojongsoang yang pernah dilalui setiap hari. Pengalaman lampau tetap termasuk kejadian. R1,R4,R6.</x:v>
      </x:c>
      <x:c r="H143" s="4" t="str">
        <x:f>IF(E143="SETUJU_USULAN",D143,IF(E143="KOREKSI",F143,""))</x:f>
        <x:v>FLOOD</x:v>
      </x:c>
      <x:c r="I143" s="4" t="str">
        <x:f>IF(E143="","BELUM_DIREVIEW",IF(E143="TUNDA","DITUNDA",IF(TRIM(Panduan!$B$5)="","ISI_REVIEWER",IF(AND(E143&lt;&gt;"SETUJU_USULAN",E143&lt;&gt;"KOREKSI"),"CEK_KEPUTUSAN",IF(AND(E143="SETUJU_USULAN",F143&lt;&gt;""),"HAPUS_KOREKSI",IF(H143="","ISI_KOREKSI",IF(NOT(OR(H143="FLOOD",H143="EARTHQUAKE",H143="FIRE",H143="ACCIDENT",H143="NON_EVENT")),"CEK_LABEL",IF(AND(E143="KOREKSI",TRIM(G143)=""),"ISI_CATATAN","REVIEW_TERCATAT"))))))))</x:f>
        <x:v>REVIEW_TERCATAT</x:v>
      </x:c>
      <x:c r="J143" s="4" t="str">
        <x:v>Label dataset dan prediksi baseline sama; makna MVP belum direview. Kesepakatan keduanya belum membuktikan label final.</x:v>
      </x:c>
      <x:c r="K143" s="4" t="str">
        <x:v>NON_EVENT</x:v>
      </x:c>
      <x:c r="L143" s="14" t="n">
        <x:v>0.9668813943862915</x:v>
      </x:c>
    </x:row>
    <x:row r="144" ht="64" customHeight="1">
      <x:c r="A144" s="4" t="str">
        <x:v>KEB-00793</x:v>
      </x:c>
      <x:c r="B144" s="4" t="str">
        <x:v>kebakaran di kejaksaan agung | | kejagung kebakaran | | kejagung jakarta selatan kebakaran | trending in indonesia asian networkmedia</x:v>
      </x:c>
      <x:c r="C144" s="4" t="str">
        <x:v>FIRE</x:v>
      </x:c>
      <x:c r="D144" s="4" t="str">
        <x:v>FIRE</x:v>
      </x:c>
      <x:c r="E144" s="12" t="str">
        <x:v>SETUJU_USULAN</x:v>
      </x:c>
      <x:c r="F144" s="12" t="str"/>
      <x:c r="G144" s="12" t="str">
        <x:v>Narasi menyatakan kejadian kebakaran yang terjadi atau telah terjadi. Label mengikuti isi kejadian, termasuk penanganan dan dampak yang disebut. R1,R4.</x:v>
      </x:c>
      <x:c r="H144" s="4" t="str">
        <x:f>IF(E144="SETUJU_USULAN",D144,IF(E144="KOREKSI",F144,""))</x:f>
        <x:v>FIRE</x:v>
      </x:c>
      <x:c r="I144" s="4" t="str">
        <x:f>IF(E144="","BELUM_DIREVIEW",IF(E144="TUNDA","DITUNDA",IF(TRIM(Panduan!$B$5)="","ISI_REVIEWER",IF(AND(E144&lt;&gt;"SETUJU_USULAN",E144&lt;&gt;"KOREKSI"),"CEK_KEPUTUSAN",IF(AND(E144="SETUJU_USULAN",F144&lt;&gt;""),"HAPUS_KOREKSI",IF(H144="","ISI_KOREKSI",IF(NOT(OR(H144="FLOOD",H144="EARTHQUAKE",H144="FIRE",H144="ACCIDENT",H144="NON_EVENT")),"CEK_LABEL",IF(AND(E144="KOREKSI",TRIM(G144)=""),"ISI_CATATAN","REVIEW_TERCATAT"))))))))</x:f>
        <x:v>REVIEW_TERCATAT</x:v>
      </x:c>
      <x:c r="J144" s="4" t="str">
        <x:v>Label dataset dan prediksi baseline sama; makna MVP belum direview. Kesepakatan keduanya belum membuktikan label final.</x:v>
      </x:c>
      <x:c r="K144" s="4" t="str">
        <x:v>FIRE</x:v>
      </x:c>
      <x:c r="L144" s="14" t="n">
        <x:v>0.9668973684310913</x:v>
      </x:c>
    </x:row>
    <x:row r="145" ht="64" customHeight="1">
      <x:c r="A145" s="4" t="str">
        <x:v>BAN-01604</x:v>
      </x:c>
      <x:c r="B145" s="4" t="str">
        <x:v>bandung banjir lagi banjir lagi banjir di bantaran sungai cikarung bandung selatan setelah hujan selasa malam tadi daerah yang terendam dayeuh kolot bojang soang baleendah bandung selatan</x:v>
      </x:c>
      <x:c r="C145" s="4" t="str">
        <x:v>FLOOD</x:v>
      </x:c>
      <x:c r="D145" s="4" t="str">
        <x:v>FLOOD</x:v>
      </x:c>
      <x:c r="E145" s="12" t="str">
        <x:v>SETUJU_USULAN</x:v>
      </x:c>
      <x:c r="F145" s="12" t="str"/>
      <x:c r="G145" s="12" t="str">
        <x:v>Narasi menyatakan kejadian banjir yang terjadi atau telah terjadi. Label mengikuti isi kejadian, termasuk penanganan dan dampak yang disebut. R1,R4.</x:v>
      </x:c>
      <x:c r="H145" s="4" t="str">
        <x:f>IF(E145="SETUJU_USULAN",D145,IF(E145="KOREKSI",F145,""))</x:f>
        <x:v>FLOOD</x:v>
      </x:c>
      <x:c r="I145" s="4" t="str">
        <x:f>IF(E145="","BELUM_DIREVIEW",IF(E145="TUNDA","DITUNDA",IF(TRIM(Panduan!$B$5)="","ISI_REVIEWER",IF(AND(E145&lt;&gt;"SETUJU_USULAN",E145&lt;&gt;"KOREKSI"),"CEK_KEPUTUSAN",IF(AND(E145="SETUJU_USULAN",F145&lt;&gt;""),"HAPUS_KOREKSI",IF(H145="","ISI_KOREKSI",IF(NOT(OR(H145="FLOOD",H145="EARTHQUAKE",H145="FIRE",H145="ACCIDENT",H145="NON_EVENT")),"CEK_LABEL",IF(AND(E145="KOREKSI",TRIM(G145)=""),"ISI_CATATAN","REVIEW_TERCATAT"))))))))</x:f>
        <x:v>REVIEW_TERCATAT</x:v>
      </x:c>
      <x:c r="J145" s="4" t="str">
        <x:v>Label dataset dan prediksi baseline sama; makna MVP belum direview. Kesepakatan keduanya belum membuktikan label final.</x:v>
      </x:c>
      <x:c r="K145" s="4" t="str">
        <x:v>FLOOD</x:v>
      </x:c>
      <x:c r="L145" s="14" t="n">
        <x:v>0.9671101570129395</x:v>
      </x:c>
    </x:row>
    <x:row r="146" ht="64" customHeight="1">
      <x:c r="A146" s="4" t="str">
        <x:v>BAN-01180</x:v>
      </x:c>
      <x:c r="B146" s="4" t="str">
        <x:v>banjir rendam seribu lebih rumah di jember</x:v>
      </x:c>
      <x:c r="C146" s="4" t="str">
        <x:v>FLOOD</x:v>
      </x:c>
      <x:c r="D146" s="4" t="str">
        <x:v>FLOOD</x:v>
      </x:c>
      <x:c r="E146" s="12" t="str">
        <x:v>SETUJU_USULAN</x:v>
      </x:c>
      <x:c r="F146" s="12" t="str"/>
      <x:c r="G146" s="12" t="str">
        <x:v>Narasi menyatakan kejadian banjir yang terjadi atau telah terjadi. Label mengikuti isi kejadian, termasuk penanganan dan dampak yang disebut. R1,R4.</x:v>
      </x:c>
      <x:c r="H146" s="4" t="str">
        <x:f>IF(E146="SETUJU_USULAN",D146,IF(E146="KOREKSI",F146,""))</x:f>
        <x:v>FLOOD</x:v>
      </x:c>
      <x:c r="I146" s="4" t="str">
        <x:f>IF(E146="","BELUM_DIREVIEW",IF(E146="TUNDA","DITUNDA",IF(TRIM(Panduan!$B$5)="","ISI_REVIEWER",IF(AND(E146&lt;&gt;"SETUJU_USULAN",E146&lt;&gt;"KOREKSI"),"CEK_KEPUTUSAN",IF(AND(E146="SETUJU_USULAN",F146&lt;&gt;""),"HAPUS_KOREKSI",IF(H146="","ISI_KOREKSI",IF(NOT(OR(H146="FLOOD",H146="EARTHQUAKE",H146="FIRE",H146="ACCIDENT",H146="NON_EVENT")),"CEK_LABEL",IF(AND(E146="KOREKSI",TRIM(G146)=""),"ISI_CATATAN","REVIEW_TERCATAT"))))))))</x:f>
        <x:v>REVIEW_TERCATAT</x:v>
      </x:c>
      <x:c r="J146" s="4" t="str">
        <x:v>Label dataset dan prediksi baseline sama; makna MVP belum direview. Kesepakatan keduanya belum membuktikan label final.</x:v>
      </x:c>
      <x:c r="K146" s="4" t="str">
        <x:v>FLOOD</x:v>
      </x:c>
      <x:c r="L146" s="14" t="n">
        <x:v>0.9675960540771484</x:v>
      </x:c>
    </x:row>
    <x:row r="147" ht="64" customHeight="1">
      <x:c r="A147" s="4" t="str">
        <x:v>GEM-01606</x:v>
      </x:c>
      <x:c r="B147" s="4" t="str">
        <x:v>repost by stageof_manado : * gempa bumi kuat m=7 1 guncang filipina tenggara dan sulawesi utara tidak berpotensi tsunami di wilayah indonesia * hari sabtu 29 desember 2018 pukul 10:39:12</x:v>
      </x:c>
      <x:c r="C147" s="4" t="str">
        <x:v>EARTHQUAKE</x:v>
      </x:c>
      <x:c r="D147" s="4" t="str">
        <x:v>EARTHQUAKE</x:v>
      </x:c>
      <x:c r="E147" s="12" t="str">
        <x:v>SETUJU_USULAN</x:v>
      </x:c>
      <x:c r="F147" s="12" t="str"/>
      <x:c r="G147" s="12" t="str">
        <x:v>Narasi menyatakan kejadian gempa bumi yang terjadi atau telah terjadi. Label mengikuti isi kejadian, termasuk penanganan dan dampak yang disebut. R1,R4.</x:v>
      </x:c>
      <x:c r="H147" s="4" t="str">
        <x:f>IF(E147="SETUJU_USULAN",D147,IF(E147="KOREKSI",F147,""))</x:f>
        <x:v>EARTHQUAKE</x:v>
      </x:c>
      <x:c r="I147" s="4" t="str">
        <x:f>IF(E147="","BELUM_DIREVIEW",IF(E147="TUNDA","DITUNDA",IF(TRIM(Panduan!$B$5)="","ISI_REVIEWER",IF(AND(E147&lt;&gt;"SETUJU_USULAN",E147&lt;&gt;"KOREKSI"),"CEK_KEPUTUSAN",IF(AND(E147="SETUJU_USULAN",F147&lt;&gt;""),"HAPUS_KOREKSI",IF(H147="","ISI_KOREKSI",IF(NOT(OR(H147="FLOOD",H147="EARTHQUAKE",H147="FIRE",H147="ACCIDENT",H147="NON_EVENT")),"CEK_LABEL",IF(AND(E147="KOREKSI",TRIM(G147)=""),"ISI_CATATAN","REVIEW_TERCATAT"))))))))</x:f>
        <x:v>REVIEW_TERCATAT</x:v>
      </x:c>
      <x:c r="J147" s="4" t="str">
        <x:v>Label dataset dan prediksi baseline sama; makna MVP belum direview. Kesepakatan keduanya belum membuktikan label final.</x:v>
      </x:c>
      <x:c r="K147" s="4" t="str">
        <x:v>EARTHQUAKE</x:v>
      </x:c>
      <x:c r="L147" s="14" t="n">
        <x:v>0.9676245450973511</x:v>
      </x:c>
    </x:row>
    <x:row r="148" ht="64" customHeight="1">
      <x:c r="A148" s="4" t="str">
        <x:v>BAN-01752</x:v>
      </x:c>
      <x:c r="B148" s="4" t="str">
        <x:v>banjir belum surut ratusan siswa di dusun tempuran mojokerto diliburkan</x:v>
      </x:c>
      <x:c r="C148" s="4" t="str">
        <x:v>FLOOD</x:v>
      </x:c>
      <x:c r="D148" s="4" t="str">
        <x:v>FLOOD</x:v>
      </x:c>
      <x:c r="E148" s="12" t="str">
        <x:v>SETUJU_USULAN</x:v>
      </x:c>
      <x:c r="F148" s="12" t="str"/>
      <x:c r="G148" s="12" t="str">
        <x:v>Narasi menyatakan kejadian banjir yang terjadi atau telah terjadi. Label mengikuti isi kejadian, termasuk penanganan dan dampak yang disebut. R1,R4.</x:v>
      </x:c>
      <x:c r="H148" s="4" t="str">
        <x:f>IF(E148="SETUJU_USULAN",D148,IF(E148="KOREKSI",F148,""))</x:f>
        <x:v>FLOOD</x:v>
      </x:c>
      <x:c r="I148" s="4" t="str">
        <x:f>IF(E148="","BELUM_DIREVIEW",IF(E148="TUNDA","DITUNDA",IF(TRIM(Panduan!$B$5)="","ISI_REVIEWER",IF(AND(E148&lt;&gt;"SETUJU_USULAN",E148&lt;&gt;"KOREKSI"),"CEK_KEPUTUSAN",IF(AND(E148="SETUJU_USULAN",F148&lt;&gt;""),"HAPUS_KOREKSI",IF(H148="","ISI_KOREKSI",IF(NOT(OR(H148="FLOOD",H148="EARTHQUAKE",H148="FIRE",H148="ACCIDENT",H148="NON_EVENT")),"CEK_LABEL",IF(AND(E148="KOREKSI",TRIM(G148)=""),"ISI_CATATAN","REVIEW_TERCATAT"))))))))</x:f>
        <x:v>REVIEW_TERCATAT</x:v>
      </x:c>
      <x:c r="J148" s="4" t="str">
        <x:v>Label dataset dan prediksi baseline sama; makna MVP belum direview. Kesepakatan keduanya belum membuktikan label final.</x:v>
      </x:c>
      <x:c r="K148" s="4" t="str">
        <x:v>FLOOD</x:v>
      </x:c>
      <x:c r="L148" s="14" t="n">
        <x:v>0.9676493406295776</x:v>
      </x:c>
    </x:row>
    <x:row r="149" ht="64" customHeight="1">
      <x:c r="A149" s="4" t="str">
        <x:v>BAN-01307</x:v>
      </x:c>
      <x:c r="B149" s="4" t="str">
        <x:v>update banjir di sulawesi selatan bnpb catat 8 orang meninggal 4 orang hilang via</x:v>
      </x:c>
      <x:c r="C149" s="4" t="str">
        <x:v>FLOOD</x:v>
      </x:c>
      <x:c r="D149" s="4" t="str">
        <x:v>FLOOD</x:v>
      </x:c>
      <x:c r="E149" s="12" t="str">
        <x:v>SETUJU_USULAN</x:v>
      </x:c>
      <x:c r="F149" s="12" t="str"/>
      <x:c r="G149" s="12" t="str">
        <x:v>Narasi menyatakan kejadian banjir yang terjadi atau telah terjadi. Label mengikuti isi kejadian, termasuk penanganan dan dampak yang disebut. R1,R4.</x:v>
      </x:c>
      <x:c r="H149" s="4" t="str">
        <x:f>IF(E149="SETUJU_USULAN",D149,IF(E149="KOREKSI",F149,""))</x:f>
        <x:v>FLOOD</x:v>
      </x:c>
      <x:c r="I149" s="4" t="str">
        <x:f>IF(E149="","BELUM_DIREVIEW",IF(E149="TUNDA","DITUNDA",IF(TRIM(Panduan!$B$5)="","ISI_REVIEWER",IF(AND(E149&lt;&gt;"SETUJU_USULAN",E149&lt;&gt;"KOREKSI"),"CEK_KEPUTUSAN",IF(AND(E149="SETUJU_USULAN",F149&lt;&gt;""),"HAPUS_KOREKSI",IF(H149="","ISI_KOREKSI",IF(NOT(OR(H149="FLOOD",H149="EARTHQUAKE",H149="FIRE",H149="ACCIDENT",H149="NON_EVENT")),"CEK_LABEL",IF(AND(E149="KOREKSI",TRIM(G149)=""),"ISI_CATATAN","REVIEW_TERCATAT"))))))))</x:f>
        <x:v>REVIEW_TERCATAT</x:v>
      </x:c>
      <x:c r="J149" s="4" t="str">
        <x:v>Label dataset dan prediksi baseline sama; makna MVP belum direview. Kesepakatan keduanya belum membuktikan label final.</x:v>
      </x:c>
      <x:c r="K149" s="4" t="str">
        <x:v>FLOOD</x:v>
      </x:c>
      <x:c r="L149" s="14" t="n">
        <x:v>0.9676945209503174</x:v>
      </x:c>
    </x:row>
    <x:row r="150" ht="66" customHeight="1">
      <x:c r="A150" s="4" t="str">
        <x:v>KEB-00330</x:v>
      </x:c>
      <x:c r="B150" s="4" t="str">
        <x:v>hari2 mengadap risiko , sedikit kesilapan mengundang maut . letupan pengerang yg mengorbankan 6 anak muda baru2 ini &amp; amp kebakaran pelantar piper alpha di aberdeen mengorbankan 167 org tahun 1988 merupakan cth peristiwa berkaitan hse dlm industri saya . byk lagi peristiwa yg berlaku .</x:v>
      </x:c>
      <x:c r="C150" s="4" t="str">
        <x:v>NON_EVENT</x:v>
      </x:c>
      <x:c r="D150" s="4" t="str">
        <x:v>NON_EVENT</x:v>
      </x:c>
      <x:c r="E150" s="12" t="str">
        <x:v>KOREKSI</x:v>
      </x:c>
      <x:c r="F150" s="12" t="str">
        <x:v>FIRE</x:v>
      </x:c>
      <x:c r="G150" s="12" t="str">
        <x:v>Contoh keselamatan kerja menyatakan kebakaran Piper Alpha di Aberdeen pada 1988 dengan korban meninggal. Kejadian historis tetap termasuk. R1,R4,R6.</x:v>
      </x:c>
      <x:c r="H150" s="4" t="str">
        <x:f>IF(E150="SETUJU_USULAN",D150,IF(E150="KOREKSI",F150,""))</x:f>
        <x:v>FIRE</x:v>
      </x:c>
      <x:c r="I150" s="4" t="str">
        <x:f>IF(E150="","BELUM_DIREVIEW",IF(E150="TUNDA","DITUNDA",IF(TRIM(Panduan!$B$5)="","ISI_REVIEWER",IF(AND(E150&lt;&gt;"SETUJU_USULAN",E150&lt;&gt;"KOREKSI"),"CEK_KEPUTUSAN",IF(AND(E150="SETUJU_USULAN",F150&lt;&gt;""),"HAPUS_KOREKSI",IF(H150="","ISI_KOREKSI",IF(NOT(OR(H150="FLOOD",H150="EARTHQUAKE",H150="FIRE",H150="ACCIDENT",H150="NON_EVENT")),"CEK_LABEL",IF(AND(E150="KOREKSI",TRIM(G150)=""),"ISI_CATATAN","REVIEW_TERCATAT"))))))))</x:f>
        <x:v>REVIEW_TERCATAT</x:v>
      </x:c>
      <x:c r="J150" s="4" t="str">
        <x:v>Label dataset dan prediksi baseline sama; makna MVP belum direview. Kesepakatan keduanya belum membuktikan label final.</x:v>
      </x:c>
      <x:c r="K150" s="4" t="str">
        <x:v>NON_EVENT</x:v>
      </x:c>
      <x:c r="L150" s="14" t="n">
        <x:v>0.9679332375526428</x:v>
      </x:c>
    </x:row>
    <x:row r="151" ht="64" customHeight="1">
      <x:c r="A151" s="4" t="str">
        <x:v>GEM-01321</x:v>
      </x:c>
      <x:c r="B151" s="4" t="str">
        <x:v>dinding bangunan retak akibat gempa bumi berkekuatan 5 2 sr di mamasa</x:v>
      </x:c>
      <x:c r="C151" s="4" t="str">
        <x:v>EARTHQUAKE</x:v>
      </x:c>
      <x:c r="D151" s="4" t="str">
        <x:v>EARTHQUAKE</x:v>
      </x:c>
      <x:c r="E151" s="12" t="str">
        <x:v>SETUJU_USULAN</x:v>
      </x:c>
      <x:c r="F151" s="12" t="str"/>
      <x:c r="G151" s="12" t="str">
        <x:v>Narasi menyatakan kejadian gempa bumi yang terjadi atau telah terjadi. Label mengikuti isi kejadian, termasuk penanganan dan dampak yang disebut. R1,R4.</x:v>
      </x:c>
      <x:c r="H151" s="4" t="str">
        <x:f>IF(E151="SETUJU_USULAN",D151,IF(E151="KOREKSI",F151,""))</x:f>
        <x:v>EARTHQUAKE</x:v>
      </x:c>
      <x:c r="I151" s="4" t="str">
        <x:f>IF(E151="","BELUM_DIREVIEW",IF(E151="TUNDA","DITUNDA",IF(TRIM(Panduan!$B$5)="","ISI_REVIEWER",IF(AND(E151&lt;&gt;"SETUJU_USULAN",E151&lt;&gt;"KOREKSI"),"CEK_KEPUTUSAN",IF(AND(E151="SETUJU_USULAN",F151&lt;&gt;""),"HAPUS_KOREKSI",IF(H151="","ISI_KOREKSI",IF(NOT(OR(H151="FLOOD",H151="EARTHQUAKE",H151="FIRE",H151="ACCIDENT",H151="NON_EVENT")),"CEK_LABEL",IF(AND(E151="KOREKSI",TRIM(G151)=""),"ISI_CATATAN","REVIEW_TERCATAT"))))))))</x:f>
        <x:v>REVIEW_TERCATAT</x:v>
      </x:c>
      <x:c r="J151" s="4" t="str">
        <x:v>Label dataset dan prediksi baseline sama; makna MVP belum direview. Kesepakatan keduanya belum membuktikan label final.</x:v>
      </x:c>
      <x:c r="K151" s="4" t="str">
        <x:v>EARTHQUAKE</x:v>
      </x:c>
      <x:c r="L151" s="14" t="n">
        <x:v>0.9681512117385864</x:v>
      </x:c>
    </x:row>
    <x:row r="152" ht="64" customHeight="1">
      <x:c r="A152" s="4" t="str">
        <x:v>KEC-01275</x:v>
      </x:c>
      <x:c r="B152" s="4" t="str">
        <x:v>pmi buka posko di 3 titik rawan kecelakaan di kabupaten bandung</x:v>
      </x:c>
      <x:c r="C152" s="4" t="str">
        <x:v>NON_EVENT</x:v>
      </x:c>
      <x:c r="D152" s="4" t="str">
        <x:v>NON_EVENT</x:v>
      </x:c>
      <x:c r="E152" s="12" t="str">
        <x:v>SETUJU_USULAN</x:v>
      </x:c>
      <x:c r="F152" s="12" t="str"/>
      <x:c r="G152" s="12" t="str">
        <x:v>Posko dibuka pada titik rawan sebagai kesiapsiagaan, tanpa kecelakaan tertentu. R3.</x:v>
      </x:c>
      <x:c r="H152" s="4" t="str">
        <x:f>IF(E152="SETUJU_USULAN",D152,IF(E152="KOREKSI",F152,""))</x:f>
        <x:v>NON_EVENT</x:v>
      </x:c>
      <x:c r="I152" s="4" t="str">
        <x:f>IF(E152="","BELUM_DIREVIEW",IF(E152="TUNDA","DITUNDA",IF(TRIM(Panduan!$B$5)="","ISI_REVIEWER",IF(AND(E152&lt;&gt;"SETUJU_USULAN",E152&lt;&gt;"KOREKSI"),"CEK_KEPUTUSAN",IF(AND(E152="SETUJU_USULAN",F152&lt;&gt;""),"HAPUS_KOREKSI",IF(H152="","ISI_KOREKSI",IF(NOT(OR(H152="FLOOD",H152="EARTHQUAKE",H152="FIRE",H152="ACCIDENT",H152="NON_EVENT")),"CEK_LABEL",IF(AND(E152="KOREKSI",TRIM(G152)=""),"ISI_CATATAN","REVIEW_TERCATAT"))))))))</x:f>
        <x:v>REVIEW_TERCATAT</x:v>
      </x:c>
      <x:c r="J152" s="4" t="str">
        <x:v>Label dataset dan prediksi baseline sama; makna MVP belum direview. Kesepakatan keduanya belum membuktikan label final.</x:v>
      </x:c>
      <x:c r="K152" s="4" t="str">
        <x:v>NON_EVENT</x:v>
      </x:c>
      <x:c r="L152" s="14" t="n">
        <x:v>0.9681568741798401</x:v>
      </x:c>
    </x:row>
    <x:row r="153" ht="64" customHeight="1">
      <x:c r="A153" s="4" t="str">
        <x:v>KEC-01171</x:v>
      </x:c>
      <x:c r="B153" s="4" t="str">
        <x:v>radio andika 547 kegiatan patroli dilaksanakan di wilayah polres blitar antisipasi gangguan kamtibmas dan kecelakaan sasaran di jalur protokol jalan panjang hutan jati tempat ibadah perbankan obyek vital info dari</x:v>
      </x:c>
      <x:c r="C153" s="4" t="str">
        <x:v>NON_EVENT</x:v>
      </x:c>
      <x:c r="D153" s="4" t="str">
        <x:v>NON_EVENT</x:v>
      </x:c>
      <x:c r="E153" s="12" t="str">
        <x:v>SETUJU_USULAN</x:v>
      </x:c>
      <x:c r="F153" s="12" t="str"/>
      <x:c r="G153" s="12" t="str">
        <x:v>Patroli ditujukan untuk antisipasi kecelakaan dan gangguan keamanan. Tidak ada kejadian yang dilaporkan. R3.</x:v>
      </x:c>
      <x:c r="H153" s="4" t="str">
        <x:f>IF(E153="SETUJU_USULAN",D153,IF(E153="KOREKSI",F153,""))</x:f>
        <x:v>NON_EVENT</x:v>
      </x:c>
      <x:c r="I153" s="4" t="str">
        <x:f>IF(E153="","BELUM_DIREVIEW",IF(E153="TUNDA","DITUNDA",IF(TRIM(Panduan!$B$5)="","ISI_REVIEWER",IF(AND(E153&lt;&gt;"SETUJU_USULAN",E153&lt;&gt;"KOREKSI"),"CEK_KEPUTUSAN",IF(AND(E153="SETUJU_USULAN",F153&lt;&gt;""),"HAPUS_KOREKSI",IF(H153="","ISI_KOREKSI",IF(NOT(OR(H153="FLOOD",H153="EARTHQUAKE",H153="FIRE",H153="ACCIDENT",H153="NON_EVENT")),"CEK_LABEL",IF(AND(E153="KOREKSI",TRIM(G153)=""),"ISI_CATATAN","REVIEW_TERCATAT"))))))))</x:f>
        <x:v>REVIEW_TERCATAT</x:v>
      </x:c>
      <x:c r="J153" s="4" t="str">
        <x:v>Label dataset dan prediksi baseline sama; makna MVP belum direview. Kesepakatan keduanya belum membuktikan label final.</x:v>
      </x:c>
      <x:c r="K153" s="4" t="str">
        <x:v>NON_EVENT</x:v>
      </x:c>
      <x:c r="L153" s="14" t="n">
        <x:v>0.9684403538703918</x:v>
      </x:c>
    </x:row>
    <x:row r="154" ht="66" customHeight="1">
      <x:c r="A154" s="4" t="str">
        <x:v>BAN-01245</x:v>
      </x:c>
      <x:c r="B154" s="4" t="str">
        <x:v>5 januari 1949 rengat kota ku rengat kota bersejarah lebih kurang 2000 nyawa melayang banjir darah mewarnai kota rengat menjadi korban keberingasan agresi militer belanda di tahun itu ratusan tentara belanda tb-tb saja menyerang dari laut dan udara serta darat</x:v>
      </x:c>
      <x:c r="C154" s="4" t="str">
        <x:v>NON_EVENT</x:v>
      </x:c>
      <x:c r="D154" s="4" t="str">
        <x:v>NON_EVENT</x:v>
      </x:c>
      <x:c r="E154" s="12" t="str">
        <x:v>SETUJU_USULAN</x:v>
      </x:c>
      <x:c r="F154" s="12" t="str"/>
      <x:c r="G154" s="12" t="str">
        <x:v>Banjir darah menggambarkan korban agresi militer, bukan banjir fisik atau kecelakaan. R3.</x:v>
      </x:c>
      <x:c r="H154" s="4" t="str">
        <x:f>IF(E154="SETUJU_USULAN",D154,IF(E154="KOREKSI",F154,""))</x:f>
        <x:v>NON_EVENT</x:v>
      </x:c>
      <x:c r="I154" s="4" t="str">
        <x:f>IF(E154="","BELUM_DIREVIEW",IF(E154="TUNDA","DITUNDA",IF(TRIM(Panduan!$B$5)="","ISI_REVIEWER",IF(AND(E154&lt;&gt;"SETUJU_USULAN",E154&lt;&gt;"KOREKSI"),"CEK_KEPUTUSAN",IF(AND(E154="SETUJU_USULAN",F154&lt;&gt;""),"HAPUS_KOREKSI",IF(H154="","ISI_KOREKSI",IF(NOT(OR(H154="FLOOD",H154="EARTHQUAKE",H154="FIRE",H154="ACCIDENT",H154="NON_EVENT")),"CEK_LABEL",IF(AND(E154="KOREKSI",TRIM(G154)=""),"ISI_CATATAN","REVIEW_TERCATAT"))))))))</x:f>
        <x:v>REVIEW_TERCATAT</x:v>
      </x:c>
      <x:c r="J154" s="4" t="str">
        <x:v>Label dataset dan prediksi baseline sama; makna MVP belum direview. Kesepakatan keduanya belum membuktikan label final.</x:v>
      </x:c>
      <x:c r="K154" s="4" t="str">
        <x:v>NON_EVENT</x:v>
      </x:c>
      <x:c r="L154" s="14" t="n">
        <x:v>0.9685975909233093</x:v>
      </x:c>
    </x:row>
    <x:row r="155" ht="64" customHeight="1">
      <x:c r="A155" s="4" t="str">
        <x:v>BAN-01735</x:v>
      </x:c>
      <x:c r="B155" s="4" t="str">
        <x:v>anies dan jihad melawan banjir di dki -</x:v>
      </x:c>
      <x:c r="C155" s="4" t="str">
        <x:v>NON_EVENT</x:v>
      </x:c>
      <x:c r="D155" s="4" t="str">
        <x:v>NON_EVENT</x:v>
      </x:c>
      <x:c r="E155" s="12" t="str">
        <x:v>SETUJU_USULAN</x:v>
      </x:c>
      <x:c r="F155" s="12" t="str"/>
      <x:c r="G155" s="12" t="str">
        <x:v>Judul membahas gagasan melawan banjir sebagai topik kebijakan, tanpa kejadian tertentu. R3.</x:v>
      </x:c>
      <x:c r="H155" s="4" t="str">
        <x:f>IF(E155="SETUJU_USULAN",D155,IF(E155="KOREKSI",F155,""))</x:f>
        <x:v>NON_EVENT</x:v>
      </x:c>
      <x:c r="I155" s="4" t="str">
        <x:f>IF(E155="","BELUM_DIREVIEW",IF(E155="TUNDA","DITUNDA",IF(TRIM(Panduan!$B$5)="","ISI_REVIEWER",IF(AND(E155&lt;&gt;"SETUJU_USULAN",E155&lt;&gt;"KOREKSI"),"CEK_KEPUTUSAN",IF(AND(E155="SETUJU_USULAN",F155&lt;&gt;""),"HAPUS_KOREKSI",IF(H155="","ISI_KOREKSI",IF(NOT(OR(H155="FLOOD",H155="EARTHQUAKE",H155="FIRE",H155="ACCIDENT",H155="NON_EVENT")),"CEK_LABEL",IF(AND(E155="KOREKSI",TRIM(G155)=""),"ISI_CATATAN","REVIEW_TERCATAT"))))))))</x:f>
        <x:v>REVIEW_TERCATAT</x:v>
      </x:c>
      <x:c r="J155" s="4" t="str">
        <x:v>Label dataset dan prediksi baseline sama; makna MVP belum direview. Kesepakatan keduanya belum membuktikan label final.</x:v>
      </x:c>
      <x:c r="K155" s="4" t="str">
        <x:v>NON_EVENT</x:v>
      </x:c>
      <x:c r="L155" s="14" t="n">
        <x:v>0.9687502384185791</x:v>
      </x:c>
    </x:row>
    <x:row r="156" ht="64" customHeight="1">
      <x:c r="A156" s="4" t="str">
        <x:v>GEM-01630</x:v>
      </x:c>
      <x:c r="B156" s="4" t="str">
        <x:v>twittizen shared : gempa bumi di lombok pengaruhi capaian pembangunan</x:v>
      </x:c>
      <x:c r="C156" s="4" t="str">
        <x:v>NON_EVENT</x:v>
      </x:c>
      <x:c r="D156" s="4" t="str">
        <x:v>NON_EVENT</x:v>
      </x:c>
      <x:c r="E156" s="12" t="str">
        <x:v>KOREKSI</x:v>
      </x:c>
      <x:c r="F156" s="12" t="str">
        <x:v>EARTHQUAKE</x:v>
      </x:c>
      <x:c r="G156" s="12" t="str">
        <x:v>Gempa bumi di Lombok disebut memengaruhi capaian pembangunan. Tujuan berbagi informasi dampak tidak menghapus kejadian. R1,R5.</x:v>
      </x:c>
      <x:c r="H156" s="4" t="str">
        <x:f>IF(E156="SETUJU_USULAN",D156,IF(E156="KOREKSI",F156,""))</x:f>
        <x:v>EARTHQUAKE</x:v>
      </x:c>
      <x:c r="I156" s="4" t="str">
        <x:f>IF(E156="","BELUM_DIREVIEW",IF(E156="TUNDA","DITUNDA",IF(TRIM(Panduan!$B$5)="","ISI_REVIEWER",IF(AND(E156&lt;&gt;"SETUJU_USULAN",E156&lt;&gt;"KOREKSI"),"CEK_KEPUTUSAN",IF(AND(E156="SETUJU_USULAN",F156&lt;&gt;""),"HAPUS_KOREKSI",IF(H156="","ISI_KOREKSI",IF(NOT(OR(H156="FLOOD",H156="EARTHQUAKE",H156="FIRE",H156="ACCIDENT",H156="NON_EVENT")),"CEK_LABEL",IF(AND(E156="KOREKSI",TRIM(G156)=""),"ISI_CATATAN","REVIEW_TERCATAT"))))))))</x:f>
        <x:v>REVIEW_TERCATAT</x:v>
      </x:c>
      <x:c r="J156" s="4" t="str">
        <x:v>Label dataset dan prediksi baseline sama; makna MVP belum direview. Kesepakatan keduanya belum membuktikan label final.</x:v>
      </x:c>
      <x:c r="K156" s="4" t="str">
        <x:v>NON_EVENT</x:v>
      </x:c>
      <x:c r="L156" s="14" t="n">
        <x:v>0.9694380760192871</x:v>
      </x:c>
    </x:row>
    <x:row r="157" ht="66" customHeight="1">
      <x:c r="A157" s="4" t="str">
        <x:v>GEM-01012</x:v>
      </x:c>
      <x:c r="B157" s="4" t="str">
        <x:v>gempa bumi dan tsunami di palu dan donggala membawa luka yang mendalam bagi saudara-saudara kita hingga 09/10 mencapai 1760 orang innalillahiwainnailaihirojiun mari kita ringankan penderitaan mereka melalui bank muamalat dan ( bmm ) nomor rekening 3010072163</x:v>
      </x:c>
      <x:c r="C157" s="4" t="str">
        <x:v>NON_EVENT</x:v>
      </x:c>
      <x:c r="D157" s="4" t="str">
        <x:v>NON_EVENT</x:v>
      </x:c>
      <x:c r="E157" s="12" t="str">
        <x:v>KOREKSI</x:v>
      </x:c>
      <x:c r="F157" s="12" t="str">
        <x:v>EARTHQUAKE</x:v>
      </x:c>
      <x:c r="G157" s="12" t="str">
        <x:v>Ajakan donasi merujuk gempa Palu dan Donggala beserta korban yang disebut. R1,R5.</x:v>
      </x:c>
      <x:c r="H157" s="4" t="str">
        <x:f>IF(E157="SETUJU_USULAN",D157,IF(E157="KOREKSI",F157,""))</x:f>
        <x:v>EARTHQUAKE</x:v>
      </x:c>
      <x:c r="I157" s="4" t="str">
        <x:f>IF(E157="","BELUM_DIREVIEW",IF(E157="TUNDA","DITUNDA",IF(TRIM(Panduan!$B$5)="","ISI_REVIEWER",IF(AND(E157&lt;&gt;"SETUJU_USULAN",E157&lt;&gt;"KOREKSI"),"CEK_KEPUTUSAN",IF(AND(E157="SETUJU_USULAN",F157&lt;&gt;""),"HAPUS_KOREKSI",IF(H157="","ISI_KOREKSI",IF(NOT(OR(H157="FLOOD",H157="EARTHQUAKE",H157="FIRE",H157="ACCIDENT",H157="NON_EVENT")),"CEK_LABEL",IF(AND(E157="KOREKSI",TRIM(G157)=""),"ISI_CATATAN","REVIEW_TERCATAT"))))))))</x:f>
        <x:v>REVIEW_TERCATAT</x:v>
      </x:c>
      <x:c r="J157" s="4" t="str">
        <x:v>Label dataset dan prediksi baseline sama; makna MVP belum direview. Kesepakatan keduanya belum membuktikan label final.</x:v>
      </x:c>
      <x:c r="K157" s="4" t="str">
        <x:v>NON_EVENT</x:v>
      </x:c>
      <x:c r="L157" s="14" t="n">
        <x:v>0.9694736003875732</x:v>
      </x:c>
    </x:row>
    <x:row r="158" ht="64" customHeight="1">
      <x:c r="A158" s="4" t="str">
        <x:v>BAN-01407</x:v>
      </x:c>
      <x:c r="B158" s="4" t="str">
        <x:v>banjir bandang di queensland 500 ribu sapi mati</x:v>
      </x:c>
      <x:c r="C158" s="4" t="str">
        <x:v>FLOOD</x:v>
      </x:c>
      <x:c r="D158" s="4" t="str">
        <x:v>FLOOD</x:v>
      </x:c>
      <x:c r="E158" s="12" t="str">
        <x:v>SETUJU_USULAN</x:v>
      </x:c>
      <x:c r="F158" s="12" t="str"/>
      <x:c r="G158" s="12" t="str">
        <x:v>Narasi menyatakan kejadian banjir yang terjadi atau telah terjadi. Label mengikuti isi kejadian, termasuk penanganan dan dampak yang disebut. R1,R4.</x:v>
      </x:c>
      <x:c r="H158" s="4" t="str">
        <x:f>IF(E158="SETUJU_USULAN",D158,IF(E158="KOREKSI",F158,""))</x:f>
        <x:v>FLOOD</x:v>
      </x:c>
      <x:c r="I158" s="4" t="str">
        <x:f>IF(E158="","BELUM_DIREVIEW",IF(E158="TUNDA","DITUNDA",IF(TRIM(Panduan!$B$5)="","ISI_REVIEWER",IF(AND(E158&lt;&gt;"SETUJU_USULAN",E158&lt;&gt;"KOREKSI"),"CEK_KEPUTUSAN",IF(AND(E158="SETUJU_USULAN",F158&lt;&gt;""),"HAPUS_KOREKSI",IF(H158="","ISI_KOREKSI",IF(NOT(OR(H158="FLOOD",H158="EARTHQUAKE",H158="FIRE",H158="ACCIDENT",H158="NON_EVENT")),"CEK_LABEL",IF(AND(E158="KOREKSI",TRIM(G158)=""),"ISI_CATATAN","REVIEW_TERCATAT"))))))))</x:f>
        <x:v>REVIEW_TERCATAT</x:v>
      </x:c>
      <x:c r="J158" s="4" t="str">
        <x:v>Label dataset dan prediksi baseline sama; makna MVP belum direview. Kesepakatan keduanya belum membuktikan label final.</x:v>
      </x:c>
      <x:c r="K158" s="4" t="str">
        <x:v>FLOOD</x:v>
      </x:c>
      <x:c r="L158" s="14" t="n">
        <x:v>0.9694858193397522</x:v>
      </x:c>
    </x:row>
    <x:row r="159" ht="64" customHeight="1">
      <x:c r="A159" s="4" t="str">
        <x:v>BAN-01253</x:v>
      </x:c>
      <x:c r="B159" s="4" t="str">
        <x:v>alhamdulillah bandung di guyur hujan besar kembali semoga tidak menyebabkan banjir hati hati yang sedang diperjalanan semoga selamat sampai di rumah</x:v>
      </x:c>
      <x:c r="C159" s="4" t="str">
        <x:v>NON_EVENT</x:v>
      </x:c>
      <x:c r="D159" s="4" t="str">
        <x:v>NON_EVENT</x:v>
      </x:c>
      <x:c r="E159" s="12" t="str">
        <x:v>SETUJU_USULAN</x:v>
      </x:c>
      <x:c r="F159" s="12" t="str"/>
      <x:c r="G159" s="12" t="str">
        <x:v>Yang dinyatakan terjadi ialah hujan. Banjir hanya disebut dalam harapan agar tidak terjadi. R3.</x:v>
      </x:c>
      <x:c r="H159" s="4" t="str">
        <x:f>IF(E159="SETUJU_USULAN",D159,IF(E159="KOREKSI",F159,""))</x:f>
        <x:v>NON_EVENT</x:v>
      </x:c>
      <x:c r="I159" s="4" t="str">
        <x:f>IF(E159="","BELUM_DIREVIEW",IF(E159="TUNDA","DITUNDA",IF(TRIM(Panduan!$B$5)="","ISI_REVIEWER",IF(AND(E159&lt;&gt;"SETUJU_USULAN",E159&lt;&gt;"KOREKSI"),"CEK_KEPUTUSAN",IF(AND(E159="SETUJU_USULAN",F159&lt;&gt;""),"HAPUS_KOREKSI",IF(H159="","ISI_KOREKSI",IF(NOT(OR(H159="FLOOD",H159="EARTHQUAKE",H159="FIRE",H159="ACCIDENT",H159="NON_EVENT")),"CEK_LABEL",IF(AND(E159="KOREKSI",TRIM(G159)=""),"ISI_CATATAN","REVIEW_TERCATAT"))))))))</x:f>
        <x:v>REVIEW_TERCATAT</x:v>
      </x:c>
      <x:c r="J159" s="4" t="str">
        <x:v>Label dataset dan prediksi baseline sama; makna MVP belum direview. Kesepakatan keduanya belum membuktikan label final.</x:v>
      </x:c>
      <x:c r="K159" s="4" t="str">
        <x:v>NON_EVENT</x:v>
      </x:c>
      <x:c r="L159" s="14" t="n">
        <x:v>0.9697210788726807</x:v>
      </x:c>
    </x:row>
    <x:row r="160" ht="64" customHeight="1">
      <x:c r="A160" s="4" t="str">
        <x:v>KEB-00409</x:v>
      </x:c>
      <x:c r="B160" s="4" t="str">
        <x:v>terhadap korban kebakaran di pagadih hilia , syafril anggota dprd agam salurkan 50 sak semen dan paket sembako</x:v>
      </x:c>
      <x:c r="C160" s="4" t="str">
        <x:v>NON_EVENT</x:v>
      </x:c>
      <x:c r="D160" s="4" t="str">
        <x:v>NON_EVENT</x:v>
      </x:c>
      <x:c r="E160" s="12" t="str">
        <x:v>KOREKSI</x:v>
      </x:c>
      <x:c r="F160" s="12" t="str">
        <x:v>FIRE</x:v>
      </x:c>
      <x:c r="G160" s="12" t="str">
        <x:v>Bantuan semen dan sembako ditujukan kepada korban kebakaran di Pagadih Hilia. R1,R5.</x:v>
      </x:c>
      <x:c r="H160" s="4" t="str">
        <x:f>IF(E160="SETUJU_USULAN",D160,IF(E160="KOREKSI",F160,""))</x:f>
        <x:v>FIRE</x:v>
      </x:c>
      <x:c r="I160" s="4" t="str">
        <x:f>IF(E160="","BELUM_DIREVIEW",IF(E160="TUNDA","DITUNDA",IF(TRIM(Panduan!$B$5)="","ISI_REVIEWER",IF(AND(E160&lt;&gt;"SETUJU_USULAN",E160&lt;&gt;"KOREKSI"),"CEK_KEPUTUSAN",IF(AND(E160="SETUJU_USULAN",F160&lt;&gt;""),"HAPUS_KOREKSI",IF(H160="","ISI_KOREKSI",IF(NOT(OR(H160="FLOOD",H160="EARTHQUAKE",H160="FIRE",H160="ACCIDENT",H160="NON_EVENT")),"CEK_LABEL",IF(AND(E160="KOREKSI",TRIM(G160)=""),"ISI_CATATAN","REVIEW_TERCATAT"))))))))</x:f>
        <x:v>REVIEW_TERCATAT</x:v>
      </x:c>
      <x:c r="J160" s="4" t="str">
        <x:v>Label dataset dan prediksi baseline sama; makna MVP belum direview. Kesepakatan keduanya belum membuktikan label final.</x:v>
      </x:c>
      <x:c r="K160" s="4" t="str">
        <x:v>NON_EVENT</x:v>
      </x:c>
      <x:c r="L160" s="14" t="n">
        <x:v>0.9699239134788513</x:v>
      </x:c>
    </x:row>
    <x:row r="161" ht="64" customHeight="1">
      <x:c r="A161" s="4" t="str">
        <x:v>BAN-01803</x:v>
      </x:c>
      <x:c r="B161" s="4" t="str">
        <x:v>hujan deras mengguyur setelah buka puasa menyebabkan banjir di dalam dan depan citra raya cikupa kabupaten tangerang rabu ( 15/5/2019 ) malam</x:v>
      </x:c>
      <x:c r="C161" s="4" t="str">
        <x:v>FLOOD</x:v>
      </x:c>
      <x:c r="D161" s="4" t="str">
        <x:v>FLOOD</x:v>
      </x:c>
      <x:c r="E161" s="12" t="str">
        <x:v>SETUJU_USULAN</x:v>
      </x:c>
      <x:c r="F161" s="12" t="str"/>
      <x:c r="G161" s="12" t="str">
        <x:v>Narasi menyatakan kejadian banjir yang terjadi atau telah terjadi. Label mengikuti isi kejadian, termasuk penanganan dan dampak yang disebut. R1,R4.</x:v>
      </x:c>
      <x:c r="H161" s="4" t="str">
        <x:f>IF(E161="SETUJU_USULAN",D161,IF(E161="KOREKSI",F161,""))</x:f>
        <x:v>FLOOD</x:v>
      </x:c>
      <x:c r="I161" s="4" t="str">
        <x:f>IF(E161="","BELUM_DIREVIEW",IF(E161="TUNDA","DITUNDA",IF(TRIM(Panduan!$B$5)="","ISI_REVIEWER",IF(AND(E161&lt;&gt;"SETUJU_USULAN",E161&lt;&gt;"KOREKSI"),"CEK_KEPUTUSAN",IF(AND(E161="SETUJU_USULAN",F161&lt;&gt;""),"HAPUS_KOREKSI",IF(H161="","ISI_KOREKSI",IF(NOT(OR(H161="FLOOD",H161="EARTHQUAKE",H161="FIRE",H161="ACCIDENT",H161="NON_EVENT")),"CEK_LABEL",IF(AND(E161="KOREKSI",TRIM(G161)=""),"ISI_CATATAN","REVIEW_TERCATAT"))))))))</x:f>
        <x:v>REVIEW_TERCATAT</x:v>
      </x:c>
      <x:c r="J161" s="4" t="str">
        <x:v>Label dataset dan prediksi baseline sama; makna MVP belum direview. Kesepakatan keduanya belum membuktikan label final.</x:v>
      </x:c>
      <x:c r="K161" s="4" t="str">
        <x:v>FLOOD</x:v>
      </x:c>
      <x:c r="L161" s="14" t="n">
        <x:v>0.9700741171836853</x:v>
      </x:c>
    </x:row>
    <x:row r="162" ht="64" customHeight="1">
      <x:c r="A162" s="4" t="str">
        <x:v>GEM-01303</x:v>
      </x:c>
      <x:c r="B162" s="4" t="str">
        <x:v>gempa bumi 5 5 sr guncang mamasa pasien betahan di luar rumah sakit download tvone connect untuk update berita harian anda android &amp; ios</x:v>
      </x:c>
      <x:c r="C162" s="4" t="str">
        <x:v>EARTHQUAKE</x:v>
      </x:c>
      <x:c r="D162" s="4" t="str">
        <x:v>EARTHQUAKE</x:v>
      </x:c>
      <x:c r="E162" s="12" t="str">
        <x:v>SETUJU_USULAN</x:v>
      </x:c>
      <x:c r="F162" s="12" t="str"/>
      <x:c r="G162" s="12" t="str">
        <x:v>Narasi menyatakan kejadian gempa bumi yang terjadi atau telah terjadi. Label mengikuti isi kejadian, termasuk penanganan dan dampak yang disebut. R1,R4.</x:v>
      </x:c>
      <x:c r="H162" s="4" t="str">
        <x:f>IF(E162="SETUJU_USULAN",D162,IF(E162="KOREKSI",F162,""))</x:f>
        <x:v>EARTHQUAKE</x:v>
      </x:c>
      <x:c r="I162" s="4" t="str">
        <x:f>IF(E162="","BELUM_DIREVIEW",IF(E162="TUNDA","DITUNDA",IF(TRIM(Panduan!$B$5)="","ISI_REVIEWER",IF(AND(E162&lt;&gt;"SETUJU_USULAN",E162&lt;&gt;"KOREKSI"),"CEK_KEPUTUSAN",IF(AND(E162="SETUJU_USULAN",F162&lt;&gt;""),"HAPUS_KOREKSI",IF(H162="","ISI_KOREKSI",IF(NOT(OR(H162="FLOOD",H162="EARTHQUAKE",H162="FIRE",H162="ACCIDENT",H162="NON_EVENT")),"CEK_LABEL",IF(AND(E162="KOREKSI",TRIM(G162)=""),"ISI_CATATAN","REVIEW_TERCATAT"))))))))</x:f>
        <x:v>REVIEW_TERCATAT</x:v>
      </x:c>
      <x:c r="J162" s="4" t="str">
        <x:v>Label dataset dan prediksi baseline sama; makna MVP belum direview. Kesepakatan keduanya belum membuktikan label final.</x:v>
      </x:c>
      <x:c r="K162" s="4" t="str">
        <x:v>EARTHQUAKE</x:v>
      </x:c>
      <x:c r="L162" s="14" t="n">
        <x:v>0.9710917472839355</x:v>
      </x:c>
    </x:row>
    <x:row r="163" ht="64" customHeight="1">
      <x:c r="A163" s="4" t="str">
        <x:v>BAN-01229</x:v>
      </x:c>
      <x:c r="B163" s="4" t="str">
        <x:v>banjir hingga 2 meter rendam permukiman warga di labuan banten</x:v>
      </x:c>
      <x:c r="C163" s="4" t="str">
        <x:v>FLOOD</x:v>
      </x:c>
      <x:c r="D163" s="4" t="str">
        <x:v>FLOOD</x:v>
      </x:c>
      <x:c r="E163" s="12" t="str">
        <x:v>SETUJU_USULAN</x:v>
      </x:c>
      <x:c r="F163" s="12" t="str"/>
      <x:c r="G163" s="12" t="str">
        <x:v>Narasi menyatakan kejadian banjir yang terjadi atau telah terjadi. Label mengikuti isi kejadian, termasuk penanganan dan dampak yang disebut. R1,R4.</x:v>
      </x:c>
      <x:c r="H163" s="4" t="str">
        <x:f>IF(E163="SETUJU_USULAN",D163,IF(E163="KOREKSI",F163,""))</x:f>
        <x:v>FLOOD</x:v>
      </x:c>
      <x:c r="I163" s="4" t="str">
        <x:f>IF(E163="","BELUM_DIREVIEW",IF(E163="TUNDA","DITUNDA",IF(TRIM(Panduan!$B$5)="","ISI_REVIEWER",IF(AND(E163&lt;&gt;"SETUJU_USULAN",E163&lt;&gt;"KOREKSI"),"CEK_KEPUTUSAN",IF(AND(E163="SETUJU_USULAN",F163&lt;&gt;""),"HAPUS_KOREKSI",IF(H163="","ISI_KOREKSI",IF(NOT(OR(H163="FLOOD",H163="EARTHQUAKE",H163="FIRE",H163="ACCIDENT",H163="NON_EVENT")),"CEK_LABEL",IF(AND(E163="KOREKSI",TRIM(G163)=""),"ISI_CATATAN","REVIEW_TERCATAT"))))))))</x:f>
        <x:v>REVIEW_TERCATAT</x:v>
      </x:c>
      <x:c r="J163" s="4" t="str">
        <x:v>Label dataset dan prediksi baseline sama; makna MVP belum direview. Kesepakatan keduanya belum membuktikan label final.</x:v>
      </x:c>
      <x:c r="K163" s="4" t="str">
        <x:v>FLOOD</x:v>
      </x:c>
      <x:c r="L163" s="14" t="n">
        <x:v>0.9714809656143188</x:v>
      </x:c>
    </x:row>
    <x:row r="164" ht="66" customHeight="1">
      <x:c r="A164" s="4" t="str">
        <x:v>KEB-00295</x:v>
      </x:c>
      <x:c r="B164" s="4" t="str">
        <x:v>dokter dan perawat itu persis pemadam kebakaran yg mendekat ke api disaat yg lain berlari menjauh . tanpa apd yg lengkap , sama dengan bunuh diri . . . ( di video ini ungkapan dari seorang dokter senior dari wilayah indonesia timur )</x:v>
      </x:c>
      <x:c r="C164" s="4" t="str">
        <x:v>NON_EVENT</x:v>
      </x:c>
      <x:c r="D164" s="4" t="str">
        <x:v>NON_EVENT</x:v>
      </x:c>
      <x:c r="E164" s="12" t="str">
        <x:v>SETUJU_USULAN</x:v>
      </x:c>
      <x:c r="F164" s="12" t="str"/>
      <x:c r="G164" s="12" t="str">
        <x:v>Profesi pemadam dipakai sebagai perbandingan bagi dokter dan perawat. Tidak ada kebakaran tertentu. R3.</x:v>
      </x:c>
      <x:c r="H164" s="4" t="str">
        <x:f>IF(E164="SETUJU_USULAN",D164,IF(E164="KOREKSI",F164,""))</x:f>
        <x:v>NON_EVENT</x:v>
      </x:c>
      <x:c r="I164" s="4" t="str">
        <x:f>IF(E164="","BELUM_DIREVIEW",IF(E164="TUNDA","DITUNDA",IF(TRIM(Panduan!$B$5)="","ISI_REVIEWER",IF(AND(E164&lt;&gt;"SETUJU_USULAN",E164&lt;&gt;"KOREKSI"),"CEK_KEPUTUSAN",IF(AND(E164="SETUJU_USULAN",F164&lt;&gt;""),"HAPUS_KOREKSI",IF(H164="","ISI_KOREKSI",IF(NOT(OR(H164="FLOOD",H164="EARTHQUAKE",H164="FIRE",H164="ACCIDENT",H164="NON_EVENT")),"CEK_LABEL",IF(AND(E164="KOREKSI",TRIM(G164)=""),"ISI_CATATAN","REVIEW_TERCATAT"))))))))</x:f>
        <x:v>REVIEW_TERCATAT</x:v>
      </x:c>
      <x:c r="J164" s="4" t="str">
        <x:v>Label dataset dan prediksi baseline sama; makna MVP belum direview. Kesepakatan keduanya belum membuktikan label final.</x:v>
      </x:c>
      <x:c r="K164" s="4" t="str">
        <x:v>NON_EVENT</x:v>
      </x:c>
      <x:c r="L164" s="14" t="n">
        <x:v>0.9715206027030945</x:v>
      </x:c>
    </x:row>
    <x:row r="165" ht="64" customHeight="1">
      <x:c r="A165" s="4" t="str">
        <x:v>BAN-01955</x:v>
      </x:c>
      <x:c r="B165" s="4" t="str">
        <x:v>jokowi banjir ucapan selamat menang pilpres dari pemimpin dunia di g20</x:v>
      </x:c>
      <x:c r="C165" s="4" t="str">
        <x:v>NON_EVENT</x:v>
      </x:c>
      <x:c r="D165" s="4" t="str">
        <x:v>NON_EVENT</x:v>
      </x:c>
      <x:c r="E165" s="12" t="str">
        <x:v>SETUJU_USULAN</x:v>
      </x:c>
      <x:c r="F165" s="12" t="str"/>
      <x:c r="G165" s="12" t="str">
        <x:v>Banjir ucapan selamat merupakan kiasan, bukan banjir fisik. R3.</x:v>
      </x:c>
      <x:c r="H165" s="4" t="str">
        <x:f>IF(E165="SETUJU_USULAN",D165,IF(E165="KOREKSI",F165,""))</x:f>
        <x:v>NON_EVENT</x:v>
      </x:c>
      <x:c r="I165" s="4" t="str">
        <x:f>IF(E165="","BELUM_DIREVIEW",IF(E165="TUNDA","DITUNDA",IF(TRIM(Panduan!$B$5)="","ISI_REVIEWER",IF(AND(E165&lt;&gt;"SETUJU_USULAN",E165&lt;&gt;"KOREKSI"),"CEK_KEPUTUSAN",IF(AND(E165="SETUJU_USULAN",F165&lt;&gt;""),"HAPUS_KOREKSI",IF(H165="","ISI_KOREKSI",IF(NOT(OR(H165="FLOOD",H165="EARTHQUAKE",H165="FIRE",H165="ACCIDENT",H165="NON_EVENT")),"CEK_LABEL",IF(AND(E165="KOREKSI",TRIM(G165)=""),"ISI_CATATAN","REVIEW_TERCATAT"))))))))</x:f>
        <x:v>REVIEW_TERCATAT</x:v>
      </x:c>
      <x:c r="J165" s="4" t="str">
        <x:v>Label dataset dan prediksi baseline sama; makna MVP belum direview. Kesepakatan keduanya belum membuktikan label final.</x:v>
      </x:c>
      <x:c r="K165" s="4" t="str">
        <x:v>NON_EVENT</x:v>
      </x:c>
      <x:c r="L165" s="14" t="n">
        <x:v>0.9715315103530884</x:v>
      </x:c>
    </x:row>
    <x:row r="166" ht="66" customHeight="1">
      <x:c r="A166" s="4" t="str">
        <x:v>KEB-00341</x:v>
      </x:c>
      <x:c r="B166" s="4" t="str">
        <x:v>penyerahan bantuan kemanusiaan terhadap korban kebakaran yang terjadi di desa fatufia kecamatan bahodopi kabupaten morowali oleh personil polsek bahodopi di posko relawan desa fatufia kec . bahodopi , giat penyerahan tsb di pimpin langsung kapolsek bahodopi iptu zulfan sh .</x:v>
      </x:c>
      <x:c r="C166" s="4" t="str">
        <x:v>NON_EVENT</x:v>
      </x:c>
      <x:c r="D166" s="4" t="str">
        <x:v>NON_EVENT</x:v>
      </x:c>
      <x:c r="E166" s="12" t="str">
        <x:v>KOREKSI</x:v>
      </x:c>
      <x:c r="F166" s="12" t="str">
        <x:v>FIRE</x:v>
      </x:c>
      <x:c r="G166" s="12" t="str">
        <x:v>Penyerahan bantuan merujuk kebakaran yang terjadi di Desa Fatufia, Morowali. R1,R5.</x:v>
      </x:c>
      <x:c r="H166" s="4" t="str">
        <x:f>IF(E166="SETUJU_USULAN",D166,IF(E166="KOREKSI",F166,""))</x:f>
        <x:v>FIRE</x:v>
      </x:c>
      <x:c r="I166" s="4" t="str">
        <x:f>IF(E166="","BELUM_DIREVIEW",IF(E166="TUNDA","DITUNDA",IF(TRIM(Panduan!$B$5)="","ISI_REVIEWER",IF(AND(E166&lt;&gt;"SETUJU_USULAN",E166&lt;&gt;"KOREKSI"),"CEK_KEPUTUSAN",IF(AND(E166="SETUJU_USULAN",F166&lt;&gt;""),"HAPUS_KOREKSI",IF(H166="","ISI_KOREKSI",IF(NOT(OR(H166="FLOOD",H166="EARTHQUAKE",H166="FIRE",H166="ACCIDENT",H166="NON_EVENT")),"CEK_LABEL",IF(AND(E166="KOREKSI",TRIM(G166)=""),"ISI_CATATAN","REVIEW_TERCATAT"))))))))</x:f>
        <x:v>REVIEW_TERCATAT</x:v>
      </x:c>
      <x:c r="J166" s="4" t="str">
        <x:v>Label dataset dan prediksi baseline sama; makna MVP belum direview. Kesepakatan keduanya belum membuktikan label final.</x:v>
      </x:c>
      <x:c r="K166" s="4" t="str">
        <x:v>NON_EVENT</x:v>
      </x:c>
      <x:c r="L166" s="14" t="n">
        <x:v>0.972225546836853</x:v>
      </x:c>
    </x:row>
    <x:row r="167" ht="64" customHeight="1">
      <x:c r="A167" s="4" t="str">
        <x:v>BAN-01411</x:v>
      </x:c>
      <x:c r="B167" s="4" t="str">
        <x:v>hujan deras akibatkan banjir bandang di kawasan gunung puntang</x:v>
      </x:c>
      <x:c r="C167" s="4" t="str">
        <x:v>FLOOD</x:v>
      </x:c>
      <x:c r="D167" s="4" t="str">
        <x:v>FLOOD</x:v>
      </x:c>
      <x:c r="E167" s="12" t="str">
        <x:v>SETUJU_USULAN</x:v>
      </x:c>
      <x:c r="F167" s="12" t="str"/>
      <x:c r="G167" s="12" t="str">
        <x:v>Narasi menyatakan kejadian banjir yang terjadi atau telah terjadi. Label mengikuti isi kejadian, termasuk penanganan dan dampak yang disebut. R1,R4.</x:v>
      </x:c>
      <x:c r="H167" s="4" t="str">
        <x:f>IF(E167="SETUJU_USULAN",D167,IF(E167="KOREKSI",F167,""))</x:f>
        <x:v>FLOOD</x:v>
      </x:c>
      <x:c r="I167" s="4" t="str">
        <x:f>IF(E167="","BELUM_DIREVIEW",IF(E167="TUNDA","DITUNDA",IF(TRIM(Panduan!$B$5)="","ISI_REVIEWER",IF(AND(E167&lt;&gt;"SETUJU_USULAN",E167&lt;&gt;"KOREKSI"),"CEK_KEPUTUSAN",IF(AND(E167="SETUJU_USULAN",F167&lt;&gt;""),"HAPUS_KOREKSI",IF(H167="","ISI_KOREKSI",IF(NOT(OR(H167="FLOOD",H167="EARTHQUAKE",H167="FIRE",H167="ACCIDENT",H167="NON_EVENT")),"CEK_LABEL",IF(AND(E167="KOREKSI",TRIM(G167)=""),"ISI_CATATAN","REVIEW_TERCATAT"))))))))</x:f>
        <x:v>REVIEW_TERCATAT</x:v>
      </x:c>
      <x:c r="J167" s="4" t="str">
        <x:v>Label dataset dan prediksi baseline sama; makna MVP belum direview. Kesepakatan keduanya belum membuktikan label final.</x:v>
      </x:c>
      <x:c r="K167" s="4" t="str">
        <x:v>FLOOD</x:v>
      </x:c>
      <x:c r="L167" s="14" t="n">
        <x:v>0.9725096821784973</x:v>
      </x:c>
    </x:row>
    <x:row r="168" ht="64" customHeight="1">
      <x:c r="A168" s="4" t="str">
        <x:v>KEC-00361</x:v>
      </x:c>
      <x:c r="B168" s="4" t="str">
        <x:v>pas balik ke pekalongan ada berita bis jakarta ke arah jawa kecelakaan di tol buset buka hp rame banget dikira bis aku padahal mah enggak</x:v>
      </x:c>
      <x:c r="C168" s="4" t="str">
        <x:v>NON_EVENT</x:v>
      </x:c>
      <x:c r="D168" s="4" t="str">
        <x:v>NON_EVENT</x:v>
      </x:c>
      <x:c r="E168" s="12" t="str">
        <x:v>KOREKSI</x:v>
      </x:c>
      <x:c r="F168" s="12" t="str">
        <x:v>ACCIDENT</x:v>
      </x:c>
      <x:c r="G168" s="12" t="str">
        <x:v>Berita bus kecelakaan di tol dinyatakan ada. Padahal enggak hanya menyangkal bahwa bus itu bus pelapor, bukan menyangkal kecelakaannya. R1,R2,R4.</x:v>
      </x:c>
      <x:c r="H168" s="4" t="str">
        <x:f>IF(E168="SETUJU_USULAN",D168,IF(E168="KOREKSI",F168,""))</x:f>
        <x:v>ACCIDENT</x:v>
      </x:c>
      <x:c r="I168" s="4" t="str">
        <x:f>IF(E168="","BELUM_DIREVIEW",IF(E168="TUNDA","DITUNDA",IF(TRIM(Panduan!$B$5)="","ISI_REVIEWER",IF(AND(E168&lt;&gt;"SETUJU_USULAN",E168&lt;&gt;"KOREKSI"),"CEK_KEPUTUSAN",IF(AND(E168="SETUJU_USULAN",F168&lt;&gt;""),"HAPUS_KOREKSI",IF(H168="","ISI_KOREKSI",IF(NOT(OR(H168="FLOOD",H168="EARTHQUAKE",H168="FIRE",H168="ACCIDENT",H168="NON_EVENT")),"CEK_LABEL",IF(AND(E168="KOREKSI",TRIM(G168)=""),"ISI_CATATAN","REVIEW_TERCATAT"))))))))</x:f>
        <x:v>REVIEW_TERCATAT</x:v>
      </x:c>
      <x:c r="J168" s="4" t="str">
        <x:v>Label dataset dan prediksi baseline sama; makna MVP belum direview. Kesepakatan keduanya belum membuktikan label final.</x:v>
      </x:c>
      <x:c r="K168" s="4" t="str">
        <x:v>NON_EVENT</x:v>
      </x:c>
      <x:c r="L168" s="14" t="n">
        <x:v>0.9728041887283325</x:v>
      </x:c>
    </x:row>
    <x:row r="169" ht="64" customHeight="1">
      <x:c r="A169" s="4" t="str">
        <x:v>BAN-01355</x:v>
      </x:c>
      <x:c r="B169" s="4" t="str">
        <x:v>banjir belum juga surut di surabaya</x:v>
      </x:c>
      <x:c r="C169" s="4" t="str">
        <x:v>FLOOD</x:v>
      </x:c>
      <x:c r="D169" s="4" t="str">
        <x:v>FLOOD</x:v>
      </x:c>
      <x:c r="E169" s="12" t="str">
        <x:v>SETUJU_USULAN</x:v>
      </x:c>
      <x:c r="F169" s="12" t="str"/>
      <x:c r="G169" s="12" t="str">
        <x:v>Narasi menyatakan kejadian banjir yang terjadi atau telah terjadi. Label mengikuti isi kejadian, termasuk penanganan dan dampak yang disebut. R1,R4.</x:v>
      </x:c>
      <x:c r="H169" s="4" t="str">
        <x:f>IF(E169="SETUJU_USULAN",D169,IF(E169="KOREKSI",F169,""))</x:f>
        <x:v>FLOOD</x:v>
      </x:c>
      <x:c r="I169" s="4" t="str">
        <x:f>IF(E169="","BELUM_DIREVIEW",IF(E169="TUNDA","DITUNDA",IF(TRIM(Panduan!$B$5)="","ISI_REVIEWER",IF(AND(E169&lt;&gt;"SETUJU_USULAN",E169&lt;&gt;"KOREKSI"),"CEK_KEPUTUSAN",IF(AND(E169="SETUJU_USULAN",F169&lt;&gt;""),"HAPUS_KOREKSI",IF(H169="","ISI_KOREKSI",IF(NOT(OR(H169="FLOOD",H169="EARTHQUAKE",H169="FIRE",H169="ACCIDENT",H169="NON_EVENT")),"CEK_LABEL",IF(AND(E169="KOREKSI",TRIM(G169)=""),"ISI_CATATAN","REVIEW_TERCATAT"))))))))</x:f>
        <x:v>REVIEW_TERCATAT</x:v>
      </x:c>
      <x:c r="J169" s="4" t="str">
        <x:v>Label dataset dan prediksi baseline sama; makna MVP belum direview. Kesepakatan keduanya belum membuktikan label final.</x:v>
      </x:c>
      <x:c r="K169" s="4" t="str">
        <x:v>FLOOD</x:v>
      </x:c>
      <x:c r="L169" s="14" t="n">
        <x:v>0.972919225692749</x:v>
      </x:c>
    </x:row>
    <x:row r="170" ht="64" customHeight="1">
      <x:c r="A170" s="4" t="str">
        <x:v>KEB-00924</x:v>
      </x:c>
      <x:c r="B170" s="4" t="str">
        <x:v>beri semangat , undunsyah datangi korban tanah longsor dan kebakaran di tarakan</x:v>
      </x:c>
      <x:c r="C170" s="4" t="str">
        <x:v>NON_EVENT</x:v>
      </x:c>
      <x:c r="D170" s="4" t="str">
        <x:v>NON_EVENT</x:v>
      </x:c>
      <x:c r="E170" s="12" t="str">
        <x:v>KOREKSI</x:v>
      </x:c>
      <x:c r="F170" s="12" t="str">
        <x:v>FIRE</x:v>
      </x:c>
      <x:c r="G170" s="12" t="str">
        <x:v>Kunjungan kepada korban merujuk tanah longsor dan kebakaran di Tarakan. Kebakaran merupakan kategori MVP yang disebut eksplisit. R1,R5.</x:v>
      </x:c>
      <x:c r="H170" s="4" t="str">
        <x:f>IF(E170="SETUJU_USULAN",D170,IF(E170="KOREKSI",F170,""))</x:f>
        <x:v>FIRE</x:v>
      </x:c>
      <x:c r="I170" s="4" t="str">
        <x:f>IF(E170="","BELUM_DIREVIEW",IF(E170="TUNDA","DITUNDA",IF(TRIM(Panduan!$B$5)="","ISI_REVIEWER",IF(AND(E170&lt;&gt;"SETUJU_USULAN",E170&lt;&gt;"KOREKSI"),"CEK_KEPUTUSAN",IF(AND(E170="SETUJU_USULAN",F170&lt;&gt;""),"HAPUS_KOREKSI",IF(H170="","ISI_KOREKSI",IF(NOT(OR(H170="FLOOD",H170="EARTHQUAKE",H170="FIRE",H170="ACCIDENT",H170="NON_EVENT")),"CEK_LABEL",IF(AND(E170="KOREKSI",TRIM(G170)=""),"ISI_CATATAN","REVIEW_TERCATAT"))))))))</x:f>
        <x:v>REVIEW_TERCATAT</x:v>
      </x:c>
      <x:c r="J170" s="4" t="str">
        <x:v>Label dataset dan prediksi baseline sama; makna MVP belum direview. Kesepakatan keduanya belum membuktikan label final.</x:v>
      </x:c>
      <x:c r="K170" s="4" t="str">
        <x:v>NON_EVENT</x:v>
      </x:c>
      <x:c r="L170" s="14" t="n">
        <x:v>0.972934365272522</x:v>
      </x:c>
    </x:row>
    <x:row r="171" ht="64" customHeight="1">
      <x:c r="A171" s="4" t="str">
        <x:v>KEB-01007</x:v>
      </x:c>
      <x:c r="B171" s="4" t="str">
        <x:v>kebakaran pabrik sepatu di saren kalijambe sragen akhirnya bs dijinakan pkl.22.30 . tdk ada korban jiwa , beberapa petugas kelelahan &amp; amp mendapatkan bantuan oksigen . damkar dan relawan se solo raya berada dilokasi via</x:v>
      </x:c>
      <x:c r="C171" s="4" t="str">
        <x:v>FIRE</x:v>
      </x:c>
      <x:c r="D171" s="4" t="str">
        <x:v>FIRE</x:v>
      </x:c>
      <x:c r="E171" s="12" t="str">
        <x:v>SETUJU_USULAN</x:v>
      </x:c>
      <x:c r="F171" s="12" t="str"/>
      <x:c r="G171" s="12" t="str">
        <x:v>Narasi menyatakan kejadian kebakaran yang terjadi atau telah terjadi. Label mengikuti isi kejadian, termasuk penanganan dan dampak yang disebut. R1,R4.</x:v>
      </x:c>
      <x:c r="H171" s="4" t="str">
        <x:f>IF(E171="SETUJU_USULAN",D171,IF(E171="KOREKSI",F171,""))</x:f>
        <x:v>FIRE</x:v>
      </x:c>
      <x:c r="I171" s="4" t="str">
        <x:f>IF(E171="","BELUM_DIREVIEW",IF(E171="TUNDA","DITUNDA",IF(TRIM(Panduan!$B$5)="","ISI_REVIEWER",IF(AND(E171&lt;&gt;"SETUJU_USULAN",E171&lt;&gt;"KOREKSI"),"CEK_KEPUTUSAN",IF(AND(E171="SETUJU_USULAN",F171&lt;&gt;""),"HAPUS_KOREKSI",IF(H171="","ISI_KOREKSI",IF(NOT(OR(H171="FLOOD",H171="EARTHQUAKE",H171="FIRE",H171="ACCIDENT",H171="NON_EVENT")),"CEK_LABEL",IF(AND(E171="KOREKSI",TRIM(G171)=""),"ISI_CATATAN","REVIEW_TERCATAT"))))))))</x:f>
        <x:v>REVIEW_TERCATAT</x:v>
      </x:c>
      <x:c r="J171" s="4" t="str">
        <x:v>Label dataset dan prediksi baseline sama; makna MVP belum direview. Kesepakatan keduanya belum membuktikan label final.</x:v>
      </x:c>
      <x:c r="K171" s="4" t="str">
        <x:v>FIRE</x:v>
      </x:c>
      <x:c r="L171" s="14" t="n">
        <x:v>0.9729512929916382</x:v>
      </x:c>
    </x:row>
    <x:row r="172" ht="64" customHeight="1">
      <x:c r="A172" s="4" t="str">
        <x:v>BAN-01534</x:v>
      </x:c>
      <x:c r="B172" s="4" t="str">
        <x:v>beberapa lokasi titik banjir di wilayah kabupaten bantul dampak hujan tanggal 17/3/19</x:v>
      </x:c>
      <x:c r="C172" s="4" t="str">
        <x:v>FLOOD</x:v>
      </x:c>
      <x:c r="D172" s="4" t="str">
        <x:v>FLOOD</x:v>
      </x:c>
      <x:c r="E172" s="12" t="str">
        <x:v>SETUJU_USULAN</x:v>
      </x:c>
      <x:c r="F172" s="12" t="str"/>
      <x:c r="G172" s="12" t="str">
        <x:v>Narasi menyatakan kejadian banjir yang terjadi atau telah terjadi. Label mengikuti isi kejadian, termasuk penanganan dan dampak yang disebut. R1,R4.</x:v>
      </x:c>
      <x:c r="H172" s="4" t="str">
        <x:f>IF(E172="SETUJU_USULAN",D172,IF(E172="KOREKSI",F172,""))</x:f>
        <x:v>FLOOD</x:v>
      </x:c>
      <x:c r="I172" s="4" t="str">
        <x:f>IF(E172="","BELUM_DIREVIEW",IF(E172="TUNDA","DITUNDA",IF(TRIM(Panduan!$B$5)="","ISI_REVIEWER",IF(AND(E172&lt;&gt;"SETUJU_USULAN",E172&lt;&gt;"KOREKSI"),"CEK_KEPUTUSAN",IF(AND(E172="SETUJU_USULAN",F172&lt;&gt;""),"HAPUS_KOREKSI",IF(H172="","ISI_KOREKSI",IF(NOT(OR(H172="FLOOD",H172="EARTHQUAKE",H172="FIRE",H172="ACCIDENT",H172="NON_EVENT")),"CEK_LABEL",IF(AND(E172="KOREKSI",TRIM(G172)=""),"ISI_CATATAN","REVIEW_TERCATAT"))))))))</x:f>
        <x:v>REVIEW_TERCATAT</x:v>
      </x:c>
      <x:c r="J172" s="4" t="str">
        <x:v>Label dataset dan prediksi baseline sama; makna MVP belum direview. Kesepakatan keduanya belum membuktikan label final.</x:v>
      </x:c>
      <x:c r="K172" s="4" t="str">
        <x:v>FLOOD</x:v>
      </x:c>
      <x:c r="L172" s="14" t="n">
        <x:v>0.9731571674346924</x:v>
      </x:c>
    </x:row>
    <x:row r="173" ht="64" customHeight="1">
      <x:c r="A173" s="4" t="str">
        <x:v>BAN-01255</x:v>
      </x:c>
      <x:c r="B173" s="4" t="str">
        <x:v>hujan lebat banjir di beberapa kawasan di kuching</x:v>
      </x:c>
      <x:c r="C173" s="4" t="str">
        <x:v>FLOOD</x:v>
      </x:c>
      <x:c r="D173" s="4" t="str">
        <x:v>FLOOD</x:v>
      </x:c>
      <x:c r="E173" s="12" t="str">
        <x:v>SETUJU_USULAN</x:v>
      </x:c>
      <x:c r="F173" s="12" t="str"/>
      <x:c r="G173" s="12" t="str">
        <x:v>Narasi menyatakan kejadian banjir yang terjadi atau telah terjadi. Label mengikuti isi kejadian, termasuk penanganan dan dampak yang disebut. R1,R4.</x:v>
      </x:c>
      <x:c r="H173" s="4" t="str">
        <x:f>IF(E173="SETUJU_USULAN",D173,IF(E173="KOREKSI",F173,""))</x:f>
        <x:v>FLOOD</x:v>
      </x:c>
      <x:c r="I173" s="4" t="str">
        <x:f>IF(E173="","BELUM_DIREVIEW",IF(E173="TUNDA","DITUNDA",IF(TRIM(Panduan!$B$5)="","ISI_REVIEWER",IF(AND(E173&lt;&gt;"SETUJU_USULAN",E173&lt;&gt;"KOREKSI"),"CEK_KEPUTUSAN",IF(AND(E173="SETUJU_USULAN",F173&lt;&gt;""),"HAPUS_KOREKSI",IF(H173="","ISI_KOREKSI",IF(NOT(OR(H173="FLOOD",H173="EARTHQUAKE",H173="FIRE",H173="ACCIDENT",H173="NON_EVENT")),"CEK_LABEL",IF(AND(E173="KOREKSI",TRIM(G173)=""),"ISI_CATATAN","REVIEW_TERCATAT"))))))))</x:f>
        <x:v>REVIEW_TERCATAT</x:v>
      </x:c>
      <x:c r="J173" s="4" t="str">
        <x:v>Label dataset dan prediksi baseline sama; makna MVP belum direview. Kesepakatan keduanya belum membuktikan label final.</x:v>
      </x:c>
      <x:c r="K173" s="4" t="str">
        <x:v>FLOOD</x:v>
      </x:c>
      <x:c r="L173" s="14" t="n">
        <x:v>0.9732604622840881</x:v>
      </x:c>
    </x:row>
    <x:row r="174" ht="64" customHeight="1">
      <x:c r="A174" s="4" t="str">
        <x:v>GEM-01320</x:v>
      </x:c>
      <x:c r="B174" s="4" t="str">
        <x:v>tanggapan kejadian gempa bumi di mamasa sulawesi barat tanggal 7 november 2018</x:v>
      </x:c>
      <x:c r="C174" s="4" t="str">
        <x:v>EARTHQUAKE</x:v>
      </x:c>
      <x:c r="D174" s="4" t="str">
        <x:v>EARTHQUAKE</x:v>
      </x:c>
      <x:c r="E174" s="12" t="str">
        <x:v>SETUJU_USULAN</x:v>
      </x:c>
      <x:c r="F174" s="12" t="str"/>
      <x:c r="G174" s="12" t="str">
        <x:v>Narasi menyatakan kejadian gempa bumi yang terjadi atau telah terjadi. Label mengikuti isi kejadian, termasuk penanganan dan dampak yang disebut. R1,R4.</x:v>
      </x:c>
      <x:c r="H174" s="4" t="str">
        <x:f>IF(E174="SETUJU_USULAN",D174,IF(E174="KOREKSI",F174,""))</x:f>
        <x:v>EARTHQUAKE</x:v>
      </x:c>
      <x:c r="I174" s="4" t="str">
        <x:f>IF(E174="","BELUM_DIREVIEW",IF(E174="TUNDA","DITUNDA",IF(TRIM(Panduan!$B$5)="","ISI_REVIEWER",IF(AND(E174&lt;&gt;"SETUJU_USULAN",E174&lt;&gt;"KOREKSI"),"CEK_KEPUTUSAN",IF(AND(E174="SETUJU_USULAN",F174&lt;&gt;""),"HAPUS_KOREKSI",IF(H174="","ISI_KOREKSI",IF(NOT(OR(H174="FLOOD",H174="EARTHQUAKE",H174="FIRE",H174="ACCIDENT",H174="NON_EVENT")),"CEK_LABEL",IF(AND(E174="KOREKSI",TRIM(G174)=""),"ISI_CATATAN","REVIEW_TERCATAT"))))))))</x:f>
        <x:v>REVIEW_TERCATAT</x:v>
      </x:c>
      <x:c r="J174" s="4" t="str">
        <x:v>Label dataset dan prediksi baseline sama; makna MVP belum direview. Kesepakatan keduanya belum membuktikan label final.</x:v>
      </x:c>
      <x:c r="K174" s="4" t="str">
        <x:v>EARTHQUAKE</x:v>
      </x:c>
      <x:c r="L174" s="14" t="n">
        <x:v>0.9735414981842041</x:v>
      </x:c>
    </x:row>
    <x:row r="175" ht="66" customHeight="1">
      <x:c r="A175" s="4" t="str">
        <x:v>KEB-00966</x:v>
      </x:c>
      <x:c r="B175" s="4" t="str">
        <x:v>terima kasih tuan ! kami zafran risk lab agen insuran am anda . perbaharui insuran kenderaan , cukai jalan , kebakaran , kecurian dan pelbagai lagi . sebutharga percuma sahaja ! urusan online sahaja di mana-mana kami untuk sebutharga .</x:v>
      </x:c>
      <x:c r="C175" s="4" t="str">
        <x:v>NON_EVENT</x:v>
      </x:c>
      <x:c r="D175" s="4" t="str">
        <x:v>NON_EVENT</x:v>
      </x:c>
      <x:c r="E175" s="12" t="str">
        <x:v>SETUJU_USULAN</x:v>
      </x:c>
      <x:c r="F175" s="12" t="str"/>
      <x:c r="G175" s="12" t="str">
        <x:v>Promosi produk asuransi menyebut kebakaran sebagai jenis risiko, bukan kejadian. R3.</x:v>
      </x:c>
      <x:c r="H175" s="4" t="str">
        <x:f>IF(E175="SETUJU_USULAN",D175,IF(E175="KOREKSI",F175,""))</x:f>
        <x:v>NON_EVENT</x:v>
      </x:c>
      <x:c r="I175" s="4" t="str">
        <x:f>IF(E175="","BELUM_DIREVIEW",IF(E175="TUNDA","DITUNDA",IF(TRIM(Panduan!$B$5)="","ISI_REVIEWER",IF(AND(E175&lt;&gt;"SETUJU_USULAN",E175&lt;&gt;"KOREKSI"),"CEK_KEPUTUSAN",IF(AND(E175="SETUJU_USULAN",F175&lt;&gt;""),"HAPUS_KOREKSI",IF(H175="","ISI_KOREKSI",IF(NOT(OR(H175="FLOOD",H175="EARTHQUAKE",H175="FIRE",H175="ACCIDENT",H175="NON_EVENT")),"CEK_LABEL",IF(AND(E175="KOREKSI",TRIM(G175)=""),"ISI_CATATAN","REVIEW_TERCATAT"))))))))</x:f>
        <x:v>REVIEW_TERCATAT</x:v>
      </x:c>
      <x:c r="J175" s="4" t="str">
        <x:v>Label dataset dan prediksi baseline sama; makna MVP belum direview. Kesepakatan keduanya belum membuktikan label final.</x:v>
      </x:c>
      <x:c r="K175" s="4" t="str">
        <x:v>NON_EVENT</x:v>
      </x:c>
      <x:c r="L175" s="14" t="n">
        <x:v>0.9735597968101501</x:v>
      </x:c>
    </x:row>
    <x:row r="176" ht="64" customHeight="1">
      <x:c r="A176" s="4" t="str">
        <x:v>KEC-01048</x:v>
      </x:c>
      <x:c r="B176" s="4" t="str">
        <x:v>( operasi patuh jaya 2018 polisi berharap tekan nomor kecelakaan ) di detiknews |</x:v>
      </x:c>
      <x:c r="C176" s="4" t="str">
        <x:v>NON_EVENT</x:v>
      </x:c>
      <x:c r="D176" s="4" t="str">
        <x:v>NON_EVENT</x:v>
      </x:c>
      <x:c r="E176" s="12" t="str">
        <x:v>SETUJU_USULAN</x:v>
      </x:c>
      <x:c r="F176" s="12" t="str"/>
      <x:c r="G176" s="12" t="str">
        <x:v>Operasi kepolisian bertujuan menekan angka kecelakaan. Tidak melaporkan kecelakaan tertentu. R3.</x:v>
      </x:c>
      <x:c r="H176" s="4" t="str">
        <x:f>IF(E176="SETUJU_USULAN",D176,IF(E176="KOREKSI",F176,""))</x:f>
        <x:v>NON_EVENT</x:v>
      </x:c>
      <x:c r="I176" s="4" t="str">
        <x:f>IF(E176="","BELUM_DIREVIEW",IF(E176="TUNDA","DITUNDA",IF(TRIM(Panduan!$B$5)="","ISI_REVIEWER",IF(AND(E176&lt;&gt;"SETUJU_USULAN",E176&lt;&gt;"KOREKSI"),"CEK_KEPUTUSAN",IF(AND(E176="SETUJU_USULAN",F176&lt;&gt;""),"HAPUS_KOREKSI",IF(H176="","ISI_KOREKSI",IF(NOT(OR(H176="FLOOD",H176="EARTHQUAKE",H176="FIRE",H176="ACCIDENT",H176="NON_EVENT")),"CEK_LABEL",IF(AND(E176="KOREKSI",TRIM(G176)=""),"ISI_CATATAN","REVIEW_TERCATAT"))))))))</x:f>
        <x:v>REVIEW_TERCATAT</x:v>
      </x:c>
      <x:c r="J176" s="4" t="str">
        <x:v>Label dataset dan prediksi baseline sama; makna MVP belum direview. Kesepakatan keduanya belum membuktikan label final.</x:v>
      </x:c>
      <x:c r="K176" s="4" t="str">
        <x:v>NON_EVENT</x:v>
      </x:c>
      <x:c r="L176" s="14" t="n">
        <x:v>0.9736204743385315</x:v>
      </x:c>
    </x:row>
    <x:row r="177" ht="64" customHeight="1">
      <x:c r="A177" s="4" t="str">
        <x:v>BAN-01105</x:v>
      </x:c>
      <x:c r="B177" s="4" t="str">
        <x:v>kondisi banjir di desa sukoharjo pacitan semalam</x:v>
      </x:c>
      <x:c r="C177" s="4" t="str">
        <x:v>FLOOD</x:v>
      </x:c>
      <x:c r="D177" s="4" t="str">
        <x:v>FLOOD</x:v>
      </x:c>
      <x:c r="E177" s="12" t="str">
        <x:v>SETUJU_USULAN</x:v>
      </x:c>
      <x:c r="F177" s="12" t="str"/>
      <x:c r="G177" s="12" t="str">
        <x:v>Narasi menyatakan kejadian banjir yang terjadi atau telah terjadi. Label mengikuti isi kejadian, termasuk penanganan dan dampak yang disebut. R1,R4.</x:v>
      </x:c>
      <x:c r="H177" s="4" t="str">
        <x:f>IF(E177="SETUJU_USULAN",D177,IF(E177="KOREKSI",F177,""))</x:f>
        <x:v>FLOOD</x:v>
      </x:c>
      <x:c r="I177" s="4" t="str">
        <x:f>IF(E177="","BELUM_DIREVIEW",IF(E177="TUNDA","DITUNDA",IF(TRIM(Panduan!$B$5)="","ISI_REVIEWER",IF(AND(E177&lt;&gt;"SETUJU_USULAN",E177&lt;&gt;"KOREKSI"),"CEK_KEPUTUSAN",IF(AND(E177="SETUJU_USULAN",F177&lt;&gt;""),"HAPUS_KOREKSI",IF(H177="","ISI_KOREKSI",IF(NOT(OR(H177="FLOOD",H177="EARTHQUAKE",H177="FIRE",H177="ACCIDENT",H177="NON_EVENT")),"CEK_LABEL",IF(AND(E177="KOREKSI",TRIM(G177)=""),"ISI_CATATAN","REVIEW_TERCATAT"))))))))</x:f>
        <x:v>REVIEW_TERCATAT</x:v>
      </x:c>
      <x:c r="J177" s="4" t="str">
        <x:v>Label dataset dan prediksi baseline sama; makna MVP belum direview. Kesepakatan keduanya belum membuktikan label final.</x:v>
      </x:c>
      <x:c r="K177" s="4" t="str">
        <x:v>FLOOD</x:v>
      </x:c>
      <x:c r="L177" s="14" t="n">
        <x:v>0.9738366007804871</x:v>
      </x:c>
    </x:row>
    <x:row r="178" ht="64" customHeight="1">
      <x:c r="A178" s="4" t="str">
        <x:v>BAN-01369</x:v>
      </x:c>
      <x:c r="B178" s="4" t="str">
        <x:v>lpbinu lamongan giat penyaluran bantuan korban banjir di desa drajat kecamatan paciran kabupaten lamongan 4 februari 2019</x:v>
      </x:c>
      <x:c r="C178" s="4" t="str">
        <x:v>NON_EVENT</x:v>
      </x:c>
      <x:c r="D178" s="4" t="str">
        <x:v>NON_EVENT</x:v>
      </x:c>
      <x:c r="E178" s="12" t="str">
        <x:v>KOREKSI</x:v>
      </x:c>
      <x:c r="F178" s="12" t="str">
        <x:v>FLOOD</x:v>
      </x:c>
      <x:c r="G178" s="12" t="str">
        <x:v>Penyaluran bantuan merujuk korban banjir Desa Drajat, Lamongan dengan tanggal sumber. R1,R5,R6.</x:v>
      </x:c>
      <x:c r="H178" s="4" t="str">
        <x:f>IF(E178="SETUJU_USULAN",D178,IF(E178="KOREKSI",F178,""))</x:f>
        <x:v>FLOOD</x:v>
      </x:c>
      <x:c r="I178" s="4" t="str">
        <x:f>IF(E178="","BELUM_DIREVIEW",IF(E178="TUNDA","DITUNDA",IF(TRIM(Panduan!$B$5)="","ISI_REVIEWER",IF(AND(E178&lt;&gt;"SETUJU_USULAN",E178&lt;&gt;"KOREKSI"),"CEK_KEPUTUSAN",IF(AND(E178="SETUJU_USULAN",F178&lt;&gt;""),"HAPUS_KOREKSI",IF(H178="","ISI_KOREKSI",IF(NOT(OR(H178="FLOOD",H178="EARTHQUAKE",H178="FIRE",H178="ACCIDENT",H178="NON_EVENT")),"CEK_LABEL",IF(AND(E178="KOREKSI",TRIM(G178)=""),"ISI_CATATAN","REVIEW_TERCATAT"))))))))</x:f>
        <x:v>REVIEW_TERCATAT</x:v>
      </x:c>
      <x:c r="J178" s="4" t="str">
        <x:v>Label dataset dan prediksi baseline sama; makna MVP belum direview. Kesepakatan keduanya belum membuktikan label final.</x:v>
      </x:c>
      <x:c r="K178" s="4" t="str">
        <x:v>NON_EVENT</x:v>
      </x:c>
      <x:c r="L178" s="14" t="n">
        <x:v>0.9740595817565918</x:v>
      </x:c>
    </x:row>
    <x:row r="179" ht="64" customHeight="1">
      <x:c r="A179" s="4" t="str">
        <x:v>BAN-01738</x:v>
      </x:c>
      <x:c r="B179" s="4" t="str">
        <x:v>banjir jakarta telan korban jiwa psi : di mana nuranimu anies ? lewat</x:v>
      </x:c>
      <x:c r="C179" s="4" t="str">
        <x:v>NON_EVENT</x:v>
      </x:c>
      <x:c r="D179" s="4" t="str">
        <x:v>NON_EVENT</x:v>
      </x:c>
      <x:c r="E179" s="12" t="str">
        <x:v>KOREKSI</x:v>
      </x:c>
      <x:c r="F179" s="12" t="str">
        <x:v>FLOOD</x:v>
      </x:c>
      <x:c r="G179" s="12" t="str">
        <x:v>Banjir Jakarta dinyatakan menelan korban jiwa. Pertanyaan politis sesudahnya tidak menghapus klaim kejadian. R1,R5.</x:v>
      </x:c>
      <x:c r="H179" s="4" t="str">
        <x:f>IF(E179="SETUJU_USULAN",D179,IF(E179="KOREKSI",F179,""))</x:f>
        <x:v>FLOOD</x:v>
      </x:c>
      <x:c r="I179" s="4" t="str">
        <x:f>IF(E179="","BELUM_DIREVIEW",IF(E179="TUNDA","DITUNDA",IF(TRIM(Panduan!$B$5)="","ISI_REVIEWER",IF(AND(E179&lt;&gt;"SETUJU_USULAN",E179&lt;&gt;"KOREKSI"),"CEK_KEPUTUSAN",IF(AND(E179="SETUJU_USULAN",F179&lt;&gt;""),"HAPUS_KOREKSI",IF(H179="","ISI_KOREKSI",IF(NOT(OR(H179="FLOOD",H179="EARTHQUAKE",H179="FIRE",H179="ACCIDENT",H179="NON_EVENT")),"CEK_LABEL",IF(AND(E179="KOREKSI",TRIM(G179)=""),"ISI_CATATAN","REVIEW_TERCATAT"))))))))</x:f>
        <x:v>REVIEW_TERCATAT</x:v>
      </x:c>
      <x:c r="J179" s="4" t="str">
        <x:v>Label dataset dan prediksi baseline sama; makna MVP belum direview. Kesepakatan keduanya belum membuktikan label final.</x:v>
      </x:c>
      <x:c r="K179" s="4" t="str">
        <x:v>NON_EVENT</x:v>
      </x:c>
      <x:c r="L179" s="14" t="n">
        <x:v>0.9741358160972595</x:v>
      </x:c>
    </x:row>
    <x:row r="180" ht="64" customHeight="1">
      <x:c r="A180" s="4" t="str">
        <x:v>KEB-00296</x:v>
      </x:c>
      <x:c r="B180" s="4" t="str">
        <x:v>abang none ini bukan kebakaran loh ya . tapi ini sedang dilakukan penyemprotan ( fogging ) di salah satu kawasan di daerah tangerang selatan . jangan sampe kita semua terlena yee ame si nyamuk aedes aegypti yang</x:v>
      </x:c>
      <x:c r="C180" s="4" t="str">
        <x:v>NON_EVENT</x:v>
      </x:c>
      <x:c r="D180" s="4" t="str">
        <x:v>NON_EVENT</x:v>
      </x:c>
      <x:c r="E180" s="12" t="str">
        <x:v>SETUJU_USULAN</x:v>
      </x:c>
      <x:c r="F180" s="12" t="str"/>
      <x:c r="G180" s="12" t="str">
        <x:v>Teks secara eksplisit menyatakan bukan kebakaran, melainkan fogging. R2.</x:v>
      </x:c>
      <x:c r="H180" s="4" t="str">
        <x:f>IF(E180="SETUJU_USULAN",D180,IF(E180="KOREKSI",F180,""))</x:f>
        <x:v>NON_EVENT</x:v>
      </x:c>
      <x:c r="I180" s="4" t="str">
        <x:f>IF(E180="","BELUM_DIREVIEW",IF(E180="TUNDA","DITUNDA",IF(TRIM(Panduan!$B$5)="","ISI_REVIEWER",IF(AND(E180&lt;&gt;"SETUJU_USULAN",E180&lt;&gt;"KOREKSI"),"CEK_KEPUTUSAN",IF(AND(E180="SETUJU_USULAN",F180&lt;&gt;""),"HAPUS_KOREKSI",IF(H180="","ISI_KOREKSI",IF(NOT(OR(H180="FLOOD",H180="EARTHQUAKE",H180="FIRE",H180="ACCIDENT",H180="NON_EVENT")),"CEK_LABEL",IF(AND(E180="KOREKSI",TRIM(G180)=""),"ISI_CATATAN","REVIEW_TERCATAT"))))))))</x:f>
        <x:v>REVIEW_TERCATAT</x:v>
      </x:c>
      <x:c r="J180" s="4" t="str">
        <x:v>Label dataset dan prediksi baseline sama; makna MVP belum direview. Kesepakatan keduanya belum membuktikan label final.</x:v>
      </x:c>
      <x:c r="K180" s="4" t="str">
        <x:v>NON_EVENT</x:v>
      </x:c>
      <x:c r="L180" s="14" t="n">
        <x:v>0.9743208289146423</x:v>
      </x:c>
    </x:row>
    <x:row r="181" ht="66" customHeight="1">
      <x:c r="A181" s="4" t="str">
        <x:v>GEM-01047</x:v>
      </x:c>
      <x:c r="B181" s="4" t="str">
        <x:v>yang terdampak bencana alam gempa bumi lombok di desa karang pangsor kecamatan pemenang lombok utarabantuan huntrap ini merupakan kerjasama antara kemenhub dengan fakultas teknik universitas gadjah mada untuk korban gempa 70 sr di lombok yang terjadi</x:v>
      </x:c>
      <x:c r="C181" s="4" t="str">
        <x:v>NON_EVENT</x:v>
      </x:c>
      <x:c r="D181" s="4" t="str">
        <x:v>NON_EVENT</x:v>
      </x:c>
      <x:c r="E181" s="12" t="str">
        <x:v>KOREKSI</x:v>
      </x:c>
      <x:c r="F181" s="12" t="str">
        <x:v>EARTHQUAKE</x:v>
      </x:c>
      <x:c r="G181" s="12" t="str">
        <x:v>Bantuan hunian merujuk warga terdampak gempa Lombok di Karang Pangsor. R1,R5.</x:v>
      </x:c>
      <x:c r="H181" s="4" t="str">
        <x:f>IF(E181="SETUJU_USULAN",D181,IF(E181="KOREKSI",F181,""))</x:f>
        <x:v>EARTHQUAKE</x:v>
      </x:c>
      <x:c r="I181" s="4" t="str">
        <x:f>IF(E181="","BELUM_DIREVIEW",IF(E181="TUNDA","DITUNDA",IF(TRIM(Panduan!$B$5)="","ISI_REVIEWER",IF(AND(E181&lt;&gt;"SETUJU_USULAN",E181&lt;&gt;"KOREKSI"),"CEK_KEPUTUSAN",IF(AND(E181="SETUJU_USULAN",F181&lt;&gt;""),"HAPUS_KOREKSI",IF(H181="","ISI_KOREKSI",IF(NOT(OR(H181="FLOOD",H181="EARTHQUAKE",H181="FIRE",H181="ACCIDENT",H181="NON_EVENT")),"CEK_LABEL",IF(AND(E181="KOREKSI",TRIM(G181)=""),"ISI_CATATAN","REVIEW_TERCATAT"))))))))</x:f>
        <x:v>REVIEW_TERCATAT</x:v>
      </x:c>
      <x:c r="J181" s="4" t="str">
        <x:v>Label dataset dan prediksi baseline sama; makna MVP belum direview. Kesepakatan keduanya belum membuktikan label final.</x:v>
      </x:c>
      <x:c r="K181" s="4" t="str">
        <x:v>NON_EVENT</x:v>
      </x:c>
      <x:c r="L181" s="14" t="n">
        <x:v>0.9744598269462585</x:v>
      </x:c>
    </x:row>
    <x:row r="182" ht="64" customHeight="1">
      <x:c r="A182" s="4" t="str">
        <x:v>KEB-00810</x:v>
      </x:c>
      <x:c r="B182" s="4" t="str">
        <x:v>damkar : halo , tim pemadam kebakaran di sini ! ada yang bisa kami bantu ? gue : " pak , hati saya terbakar api cemburu , tolong padamin dong " damkar : " kupret " "</x:v>
      </x:c>
      <x:c r="C182" s="4" t="str">
        <x:v>NON_EVENT</x:v>
      </x:c>
      <x:c r="D182" s="4" t="str">
        <x:v>NON_EVENT</x:v>
      </x:c>
      <x:c r="E182" s="12" t="str">
        <x:v>SETUJU_USULAN</x:v>
      </x:c>
      <x:c r="F182" s="12" t="str"/>
      <x:c r="G182" s="12" t="str">
        <x:v>Hati terbakar api cemburu adalah kiasan dalam dialog. Tidak ada api fisik. R3.</x:v>
      </x:c>
      <x:c r="H182" s="4" t="str">
        <x:f>IF(E182="SETUJU_USULAN",D182,IF(E182="KOREKSI",F182,""))</x:f>
        <x:v>NON_EVENT</x:v>
      </x:c>
      <x:c r="I182" s="4" t="str">
        <x:f>IF(E182="","BELUM_DIREVIEW",IF(E182="TUNDA","DITUNDA",IF(TRIM(Panduan!$B$5)="","ISI_REVIEWER",IF(AND(E182&lt;&gt;"SETUJU_USULAN",E182&lt;&gt;"KOREKSI"),"CEK_KEPUTUSAN",IF(AND(E182="SETUJU_USULAN",F182&lt;&gt;""),"HAPUS_KOREKSI",IF(H182="","ISI_KOREKSI",IF(NOT(OR(H182="FLOOD",H182="EARTHQUAKE",H182="FIRE",H182="ACCIDENT",H182="NON_EVENT")),"CEK_LABEL",IF(AND(E182="KOREKSI",TRIM(G182)=""),"ISI_CATATAN","REVIEW_TERCATAT"))))))))</x:f>
        <x:v>REVIEW_TERCATAT</x:v>
      </x:c>
      <x:c r="J182" s="4" t="str">
        <x:v>Label dataset dan prediksi baseline sama; makna MVP belum direview. Kesepakatan keduanya belum membuktikan label final.</x:v>
      </x:c>
      <x:c r="K182" s="4" t="str">
        <x:v>NON_EVENT</x:v>
      </x:c>
      <x:c r="L182" s="14" t="n">
        <x:v>0.9747524857521057</x:v>
      </x:c>
    </x:row>
    <x:row r="183" ht="64" customHeight="1">
      <x:c r="A183" s="4" t="str">
        <x:v>BAN-01820</x:v>
      </x:c>
      <x:c r="B183" s="4" t="str">
        <x:v>donat indonesia dku donuts banjir diskon di bulan penuh berkah mini beli 1 kotak 33k beli 2 kotak 55k order wa 85850358188 jalan ktendean 15 jawa timur</x:v>
      </x:c>
      <x:c r="C183" s="4" t="str">
        <x:v>NON_EVENT</x:v>
      </x:c>
      <x:c r="D183" s="4" t="str">
        <x:v>NON_EVENT</x:v>
      </x:c>
      <x:c r="E183" s="12" t="str">
        <x:v>SETUJU_USULAN</x:v>
      </x:c>
      <x:c r="F183" s="12" t="str"/>
      <x:c r="G183" s="12" t="str">
        <x:v>Banjir diskon merupakan ungkapan promosi. R3.</x:v>
      </x:c>
      <x:c r="H183" s="4" t="str">
        <x:f>IF(E183="SETUJU_USULAN",D183,IF(E183="KOREKSI",F183,""))</x:f>
        <x:v>NON_EVENT</x:v>
      </x:c>
      <x:c r="I183" s="4" t="str">
        <x:f>IF(E183="","BELUM_DIREVIEW",IF(E183="TUNDA","DITUNDA",IF(TRIM(Panduan!$B$5)="","ISI_REVIEWER",IF(AND(E183&lt;&gt;"SETUJU_USULAN",E183&lt;&gt;"KOREKSI"),"CEK_KEPUTUSAN",IF(AND(E183="SETUJU_USULAN",F183&lt;&gt;""),"HAPUS_KOREKSI",IF(H183="","ISI_KOREKSI",IF(NOT(OR(H183="FLOOD",H183="EARTHQUAKE",H183="FIRE",H183="ACCIDENT",H183="NON_EVENT")),"CEK_LABEL",IF(AND(E183="KOREKSI",TRIM(G183)=""),"ISI_CATATAN","REVIEW_TERCATAT"))))))))</x:f>
        <x:v>REVIEW_TERCATAT</x:v>
      </x:c>
      <x:c r="J183" s="4" t="str">
        <x:v>Label dataset dan prediksi baseline sama; makna MVP belum direview. Kesepakatan keduanya belum membuktikan label final.</x:v>
      </x:c>
      <x:c r="K183" s="4" t="str">
        <x:v>NON_EVENT</x:v>
      </x:c>
      <x:c r="L183" s="14" t="n">
        <x:v>0.9748122096061707</x:v>
      </x:c>
    </x:row>
    <x:row r="184" ht="64" customHeight="1">
      <x:c r="A184" s="4" t="str">
        <x:v>KEB-00913</x:v>
      </x:c>
      <x:c r="B184" s="4" t="str">
        <x:v>korban kebakaran rumah di boalemo bakal dapat bantuan mahyani dari pemprov</x:v>
      </x:c>
      <x:c r="C184" s="4" t="str">
        <x:v>NON_EVENT</x:v>
      </x:c>
      <x:c r="D184" s="4" t="str">
        <x:v>NON_EVENT</x:v>
      </x:c>
      <x:c r="E184" s="12" t="str">
        <x:v>KOREKSI</x:v>
      </x:c>
      <x:c r="F184" s="12" t="str">
        <x:v>FIRE</x:v>
      </x:c>
      <x:c r="G184" s="12" t="str">
        <x:v>Rencana bantuan merujuk korban kebakaran rumah yang sudah disebut di Boalemo. Waktu bantuan mendatang tidak meniadakan kebakaran. R1,R5.</x:v>
      </x:c>
      <x:c r="H184" s="4" t="str">
        <x:f>IF(E184="SETUJU_USULAN",D184,IF(E184="KOREKSI",F184,""))</x:f>
        <x:v>FIRE</x:v>
      </x:c>
      <x:c r="I184" s="4" t="str">
        <x:f>IF(E184="","BELUM_DIREVIEW",IF(E184="TUNDA","DITUNDA",IF(TRIM(Panduan!$B$5)="","ISI_REVIEWER",IF(AND(E184&lt;&gt;"SETUJU_USULAN",E184&lt;&gt;"KOREKSI"),"CEK_KEPUTUSAN",IF(AND(E184="SETUJU_USULAN",F184&lt;&gt;""),"HAPUS_KOREKSI",IF(H184="","ISI_KOREKSI",IF(NOT(OR(H184="FLOOD",H184="EARTHQUAKE",H184="FIRE",H184="ACCIDENT",H184="NON_EVENT")),"CEK_LABEL",IF(AND(E184="KOREKSI",TRIM(G184)=""),"ISI_CATATAN","REVIEW_TERCATAT"))))))))</x:f>
        <x:v>REVIEW_TERCATAT</x:v>
      </x:c>
      <x:c r="J184" s="4" t="str">
        <x:v>Label dataset dan prediksi baseline sama; makna MVP belum direview. Kesepakatan keduanya belum membuktikan label final.</x:v>
      </x:c>
      <x:c r="K184" s="4" t="str">
        <x:v>NON_EVENT</x:v>
      </x:c>
      <x:c r="L184" s="14" t="n">
        <x:v>0.9748147130012512</x:v>
      </x:c>
    </x:row>
    <x:row r="185" ht="64" customHeight="1">
      <x:c r="A185" s="4" t="str">
        <x:v>KEB-01103</x:v>
      </x:c>
      <x:c r="B185" s="4" t="str">
        <x:v>kek kebakaran yang ini di liat selintas ga ada poto morningnya , mending abis gerimis semalam di bandung utara mah</x:v>
      </x:c>
      <x:c r="C185" s="4" t="str">
        <x:v>NON_EVENT</x:v>
      </x:c>
      <x:c r="D185" s="4" t="str">
        <x:v>NON_EVENT</x:v>
      </x:c>
      <x:c r="E185" s="12" t="str">
        <x:v>SETUJU_USULAN</x:v>
      </x:c>
      <x:c r="F185" s="12" t="str"/>
      <x:c r="G185" s="12" t="str">
        <x:v>Ungkapan kek kebakaran menyampaikan perbandingan tampilan, tanpa klaim kebakaran literal yang jelas. R3.</x:v>
      </x:c>
      <x:c r="H185" s="4" t="str">
        <x:f>IF(E185="SETUJU_USULAN",D185,IF(E185="KOREKSI",F185,""))</x:f>
        <x:v>NON_EVENT</x:v>
      </x:c>
      <x:c r="I185" s="4" t="str">
        <x:f>IF(E185="","BELUM_DIREVIEW",IF(E185="TUNDA","DITUNDA",IF(TRIM(Panduan!$B$5)="","ISI_REVIEWER",IF(AND(E185&lt;&gt;"SETUJU_USULAN",E185&lt;&gt;"KOREKSI"),"CEK_KEPUTUSAN",IF(AND(E185="SETUJU_USULAN",F185&lt;&gt;""),"HAPUS_KOREKSI",IF(H185="","ISI_KOREKSI",IF(NOT(OR(H185="FLOOD",H185="EARTHQUAKE",H185="FIRE",H185="ACCIDENT",H185="NON_EVENT")),"CEK_LABEL",IF(AND(E185="KOREKSI",TRIM(G185)=""),"ISI_CATATAN","REVIEW_TERCATAT"))))))))</x:f>
        <x:v>REVIEW_TERCATAT</x:v>
      </x:c>
      <x:c r="J185" s="4" t="str">
        <x:v>Label dataset dan prediksi baseline sama; makna MVP belum direview. Kesepakatan keduanya belum membuktikan label final.</x:v>
      </x:c>
      <x:c r="K185" s="4" t="str">
        <x:v>NON_EVENT</x:v>
      </x:c>
      <x:c r="L185" s="14" t="n">
        <x:v>0.9748702049255371</x:v>
      </x:c>
    </x:row>
    <x:row r="186" ht="66" customHeight="1">
      <x:c r="A186" s="4" t="str">
        <x:v>KEB-01064</x:v>
      </x:c>
      <x:c r="B186" s="4" t="str">
        <x:v>nosedive " di depan mata . kebakaran makin besar , orang rame-rame datang malah live ig , provokasi tereak2 rampok gajelas dsb drpd bantu petugas . begitu api padam balik nya plg cepet tanpa bilang " terima kasih " . sisi buruk akan eksistensj di sosial media mudah banget matiin empati . "</x:v>
      </x:c>
      <x:c r="C186" s="4" t="str">
        <x:v>NON_EVENT</x:v>
      </x:c>
      <x:c r="D186" s="4" t="str">
        <x:v>NON_EVENT</x:v>
      </x:c>
      <x:c r="E186" s="12" t="str">
        <x:v>KOREKSI</x:v>
      </x:c>
      <x:c r="F186" s="12" t="str">
        <x:v>FIRE</x:v>
      </x:c>
      <x:c r="G186" s="12" t="str">
        <x:v>Pelapor menyatakan melihat kebakaran membesar, kedatangan warga dan api yang kemudian padam. Kritik perilaku penonton tetap memuat kejadian literal. R1,R4,R5.</x:v>
      </x:c>
      <x:c r="H186" s="4" t="str">
        <x:f>IF(E186="SETUJU_USULAN",D186,IF(E186="KOREKSI",F186,""))</x:f>
        <x:v>FIRE</x:v>
      </x:c>
      <x:c r="I186" s="4" t="str">
        <x:f>IF(E186="","BELUM_DIREVIEW",IF(E186="TUNDA","DITUNDA",IF(TRIM(Panduan!$B$5)="","ISI_REVIEWER",IF(AND(E186&lt;&gt;"SETUJU_USULAN",E186&lt;&gt;"KOREKSI"),"CEK_KEPUTUSAN",IF(AND(E186="SETUJU_USULAN",F186&lt;&gt;""),"HAPUS_KOREKSI",IF(H186="","ISI_KOREKSI",IF(NOT(OR(H186="FLOOD",H186="EARTHQUAKE",H186="FIRE",H186="ACCIDENT",H186="NON_EVENT")),"CEK_LABEL",IF(AND(E186="KOREKSI",TRIM(G186)=""),"ISI_CATATAN","REVIEW_TERCATAT"))))))))</x:f>
        <x:v>REVIEW_TERCATAT</x:v>
      </x:c>
      <x:c r="J186" s="4" t="str">
        <x:v>Label dataset dan prediksi baseline sama; makna MVP belum direview. Kesepakatan keduanya belum membuktikan label final.</x:v>
      </x:c>
      <x:c r="K186" s="4" t="str">
        <x:v>NON_EVENT</x:v>
      </x:c>
      <x:c r="L186" s="14" t="n">
        <x:v>0.9755727648735046</x:v>
      </x:c>
    </x:row>
    <x:row r="187" ht="64" customHeight="1">
      <x:c r="A187" s="4" t="str">
        <x:v>BAN-01164</x:v>
      </x:c>
      <x:c r="B187" s="4" t="str">
        <x:v>bhabinkamtibmas polsek sentani kota bripka engel mayor &amp; bripka surianto mendampingi dan membantu warga korban banjir di btn gajahmada dalam pembuatan tanggul sementara dengan pasir agar air tidak masuk ke dalam perumahan</x:v>
      </x:c>
      <x:c r="C187" s="4" t="str">
        <x:v>NON_EVENT</x:v>
      </x:c>
      <x:c r="D187" s="4" t="str">
        <x:v>NON_EVENT</x:v>
      </x:c>
      <x:c r="E187" s="12" t="str">
        <x:v>KOREKSI</x:v>
      </x:c>
      <x:c r="F187" s="12" t="str">
        <x:v>FLOOD</x:v>
      </x:c>
      <x:c r="G187" s="12" t="str">
        <x:v>Pembuatan tanggul sementara dilakukan bersama warga korban banjir BTN Gajahmada. Unsur pencegahan tambahan tidak menghapus banjir yang telah dirujuk. R1,R5.</x:v>
      </x:c>
      <x:c r="H187" s="4" t="str">
        <x:f>IF(E187="SETUJU_USULAN",D187,IF(E187="KOREKSI",F187,""))</x:f>
        <x:v>FLOOD</x:v>
      </x:c>
      <x:c r="I187" s="4" t="str">
        <x:f>IF(E187="","BELUM_DIREVIEW",IF(E187="TUNDA","DITUNDA",IF(TRIM(Panduan!$B$5)="","ISI_REVIEWER",IF(AND(E187&lt;&gt;"SETUJU_USULAN",E187&lt;&gt;"KOREKSI"),"CEK_KEPUTUSAN",IF(AND(E187="SETUJU_USULAN",F187&lt;&gt;""),"HAPUS_KOREKSI",IF(H187="","ISI_KOREKSI",IF(NOT(OR(H187="FLOOD",H187="EARTHQUAKE",H187="FIRE",H187="ACCIDENT",H187="NON_EVENT")),"CEK_LABEL",IF(AND(E187="KOREKSI",TRIM(G187)=""),"ISI_CATATAN","REVIEW_TERCATAT"))))))))</x:f>
        <x:v>REVIEW_TERCATAT</x:v>
      </x:c>
      <x:c r="J187" s="4" t="str">
        <x:v>Label dataset dan prediksi baseline sama; makna MVP belum direview. Kesepakatan keduanya belum membuktikan label final.</x:v>
      </x:c>
      <x:c r="K187" s="4" t="str">
        <x:v>NON_EVENT</x:v>
      </x:c>
      <x:c r="L187" s="14" t="n">
        <x:v>0.9758210778236389</x:v>
      </x:c>
    </x:row>
    <x:row r="188" ht="64" customHeight="1">
      <x:c r="A188" s="4" t="str">
        <x:v>GEM-01408</x:v>
      </x:c>
      <x:c r="B188" s="4" t="str">
        <x:v>gempa bumi kuat 70 skala richter di selatan alaska</x:v>
      </x:c>
      <x:c r="C188" s="4" t="str">
        <x:v>EARTHQUAKE</x:v>
      </x:c>
      <x:c r="D188" s="4" t="str">
        <x:v>EARTHQUAKE</x:v>
      </x:c>
      <x:c r="E188" s="12" t="str">
        <x:v>SETUJU_USULAN</x:v>
      </x:c>
      <x:c r="F188" s="12" t="str"/>
      <x:c r="G188" s="12" t="str">
        <x:v>Narasi menyatakan kejadian gempa bumi yang terjadi atau telah terjadi. Label mengikuti isi kejadian, termasuk penanganan dan dampak yang disebut. R1,R4.</x:v>
      </x:c>
      <x:c r="H188" s="4" t="str">
        <x:f>IF(E188="SETUJU_USULAN",D188,IF(E188="KOREKSI",F188,""))</x:f>
        <x:v>EARTHQUAKE</x:v>
      </x:c>
      <x:c r="I188" s="4" t="str">
        <x:f>IF(E188="","BELUM_DIREVIEW",IF(E188="TUNDA","DITUNDA",IF(TRIM(Panduan!$B$5)="","ISI_REVIEWER",IF(AND(E188&lt;&gt;"SETUJU_USULAN",E188&lt;&gt;"KOREKSI"),"CEK_KEPUTUSAN",IF(AND(E188="SETUJU_USULAN",F188&lt;&gt;""),"HAPUS_KOREKSI",IF(H188="","ISI_KOREKSI",IF(NOT(OR(H188="FLOOD",H188="EARTHQUAKE",H188="FIRE",H188="ACCIDENT",H188="NON_EVENT")),"CEK_LABEL",IF(AND(E188="KOREKSI",TRIM(G188)=""),"ISI_CATATAN","REVIEW_TERCATAT"))))))))</x:f>
        <x:v>REVIEW_TERCATAT</x:v>
      </x:c>
      <x:c r="J188" s="4" t="str">
        <x:v>Label dataset dan prediksi baseline sama; makna MVP belum direview. Kesepakatan keduanya belum membuktikan label final.</x:v>
      </x:c>
      <x:c r="K188" s="4" t="str">
        <x:v>EARTHQUAKE</x:v>
      </x:c>
      <x:c r="L188" s="14" t="n">
        <x:v>0.9758936166763306</x:v>
      </x:c>
    </x:row>
    <x:row r="189" ht="64" customHeight="1">
      <x:c r="A189" s="4" t="str">
        <x:v>KEB-00489</x:v>
      </x:c>
      <x:c r="B189" s="4" t="str">
        <x:v>via damkar_kabupaten_badung begini proses pemadaman kebakaran sebuah rumah milik warga di jalan padang luwih , desa dalung , kuta utara yang terjadi sore tadi ( 22/6 ) jam 18 wita . tim damkar badung mengerahkan lima</x:v>
      </x:c>
      <x:c r="C189" s="4" t="str">
        <x:v>FIRE</x:v>
      </x:c>
      <x:c r="D189" s="4" t="str">
        <x:v>FIRE</x:v>
      </x:c>
      <x:c r="E189" s="12" t="str">
        <x:v>SETUJU_USULAN</x:v>
      </x:c>
      <x:c r="F189" s="12" t="str"/>
      <x:c r="G189" s="12" t="str">
        <x:v>Narasi menyatakan kejadian kebakaran yang terjadi atau telah terjadi. Label mengikuti isi kejadian, termasuk penanganan dan dampak yang disebut. R1,R4.</x:v>
      </x:c>
      <x:c r="H189" s="4" t="str">
        <x:f>IF(E189="SETUJU_USULAN",D189,IF(E189="KOREKSI",F189,""))</x:f>
        <x:v>FIRE</x:v>
      </x:c>
      <x:c r="I189" s="4" t="str">
        <x:f>IF(E189="","BELUM_DIREVIEW",IF(E189="TUNDA","DITUNDA",IF(TRIM(Panduan!$B$5)="","ISI_REVIEWER",IF(AND(E189&lt;&gt;"SETUJU_USULAN",E189&lt;&gt;"KOREKSI"),"CEK_KEPUTUSAN",IF(AND(E189="SETUJU_USULAN",F189&lt;&gt;""),"HAPUS_KOREKSI",IF(H189="","ISI_KOREKSI",IF(NOT(OR(H189="FLOOD",H189="EARTHQUAKE",H189="FIRE",H189="ACCIDENT",H189="NON_EVENT")),"CEK_LABEL",IF(AND(E189="KOREKSI",TRIM(G189)=""),"ISI_CATATAN","REVIEW_TERCATAT"))))))))</x:f>
        <x:v>REVIEW_TERCATAT</x:v>
      </x:c>
      <x:c r="J189" s="4" t="str">
        <x:v>Label dataset dan prediksi baseline sama; makna MVP belum direview. Kesepakatan keduanya belum membuktikan label final.</x:v>
      </x:c>
      <x:c r="K189" s="4" t="str">
        <x:v>FIRE</x:v>
      </x:c>
      <x:c r="L189" s="14" t="n">
        <x:v>0.9759036302566528</x:v>
      </x:c>
    </x:row>
    <x:row r="190" ht="64" customHeight="1">
      <x:c r="A190" s="4" t="str">
        <x:v>KEB-00737</x:v>
      </x:c>
      <x:c r="B190" s="4" t="str">
        <x:v>yaamppun so sad cit : ( di riau siang nya hilang sinyal sampai malem , gegara ada kebakaran di telkomsel pusat nya : (</x:v>
      </x:c>
      <x:c r="C190" s="4" t="str">
        <x:v>NON_EVENT</x:v>
      </x:c>
      <x:c r="D190" s="4" t="str">
        <x:v>NON_EVENT</x:v>
      </x:c>
      <x:c r="E190" s="12" t="str">
        <x:v>KOREKSI</x:v>
      </x:c>
      <x:c r="F190" s="12" t="str">
        <x:v>FIRE</x:v>
      </x:c>
      <x:c r="G190" s="12" t="str">
        <x:v>Hilangnya sinyal dinyatakan akibat kebakaran di pusat Telkomsel. Ungkapan perasaan tetap memuat klaim kebakaran. R1,R4,R5.</x:v>
      </x:c>
      <x:c r="H190" s="4" t="str">
        <x:f>IF(E190="SETUJU_USULAN",D190,IF(E190="KOREKSI",F190,""))</x:f>
        <x:v>FIRE</x:v>
      </x:c>
      <x:c r="I190" s="4" t="str">
        <x:f>IF(E190="","BELUM_DIREVIEW",IF(E190="TUNDA","DITUNDA",IF(TRIM(Panduan!$B$5)="","ISI_REVIEWER",IF(AND(E190&lt;&gt;"SETUJU_USULAN",E190&lt;&gt;"KOREKSI"),"CEK_KEPUTUSAN",IF(AND(E190="SETUJU_USULAN",F190&lt;&gt;""),"HAPUS_KOREKSI",IF(H190="","ISI_KOREKSI",IF(NOT(OR(H190="FLOOD",H190="EARTHQUAKE",H190="FIRE",H190="ACCIDENT",H190="NON_EVENT")),"CEK_LABEL",IF(AND(E190="KOREKSI",TRIM(G190)=""),"ISI_CATATAN","REVIEW_TERCATAT"))))))))</x:f>
        <x:v>REVIEW_TERCATAT</x:v>
      </x:c>
      <x:c r="J190" s="4" t="str">
        <x:v>Label dataset dan prediksi baseline sama; makna MVP belum direview. Kesepakatan keduanya belum membuktikan label final.</x:v>
      </x:c>
      <x:c r="K190" s="4" t="str">
        <x:v>NON_EVENT</x:v>
      </x:c>
      <x:c r="L190" s="14" t="n">
        <x:v>0.9760145545005798</x:v>
      </x:c>
    </x:row>
    <x:row r="191" ht="64" customHeight="1">
      <x:c r="A191" s="4" t="str">
        <x:v>GEM-01207</x:v>
      </x:c>
      <x:c r="B191" s="4" t="str">
        <x:v>gempa magnitudo 3 2 guncang palu gempa bumi berkekuatan magnitudo 3 2 terjadi di</x:v>
      </x:c>
      <x:c r="C191" s="4" t="str">
        <x:v>EARTHQUAKE</x:v>
      </x:c>
      <x:c r="D191" s="4" t="str">
        <x:v>EARTHQUAKE</x:v>
      </x:c>
      <x:c r="E191" s="12" t="str">
        <x:v>SETUJU_USULAN</x:v>
      </x:c>
      <x:c r="F191" s="12" t="str"/>
      <x:c r="G191" s="12" t="str">
        <x:v>Narasi menyatakan kejadian gempa bumi yang terjadi atau telah terjadi. Label mengikuti isi kejadian, termasuk penanganan dan dampak yang disebut. R1,R4.</x:v>
      </x:c>
      <x:c r="H191" s="4" t="str">
        <x:f>IF(E191="SETUJU_USULAN",D191,IF(E191="KOREKSI",F191,""))</x:f>
        <x:v>EARTHQUAKE</x:v>
      </x:c>
      <x:c r="I191" s="4" t="str">
        <x:f>IF(E191="","BELUM_DIREVIEW",IF(E191="TUNDA","DITUNDA",IF(TRIM(Panduan!$B$5)="","ISI_REVIEWER",IF(AND(E191&lt;&gt;"SETUJU_USULAN",E191&lt;&gt;"KOREKSI"),"CEK_KEPUTUSAN",IF(AND(E191="SETUJU_USULAN",F191&lt;&gt;""),"HAPUS_KOREKSI",IF(H191="","ISI_KOREKSI",IF(NOT(OR(H191="FLOOD",H191="EARTHQUAKE",H191="FIRE",H191="ACCIDENT",H191="NON_EVENT")),"CEK_LABEL",IF(AND(E191="KOREKSI",TRIM(G191)=""),"ISI_CATATAN","REVIEW_TERCATAT"))))))))</x:f>
        <x:v>REVIEW_TERCATAT</x:v>
      </x:c>
      <x:c r="J191" s="4" t="str">
        <x:v>Label dataset dan prediksi baseline sama; makna MVP belum direview. Kesepakatan keduanya belum membuktikan label final.</x:v>
      </x:c>
      <x:c r="K191" s="4" t="str">
        <x:v>EARTHQUAKE</x:v>
      </x:c>
      <x:c r="L191" s="14" t="n">
        <x:v>0.9760253429412842</x:v>
      </x:c>
    </x:row>
    <x:row r="192" ht="66" customHeight="1">
      <x:c r="A192" s="4" t="str">
        <x:v>KEB-00942</x:v>
      </x:c>
      <x:c r="B192" s="4" t="str">
        <x:v>kalau buruh yg gampang di tunggangi politisi murahan , pasti kebakaran jembut ngebaca twitt si deni ? karna kemampuan otak nya mencerna ? buruh yg bisa nya di atur , di omelin bos , di sp , dan di pecat . habis itu ya , demo panas ke hujanan .</x:v>
      </x:c>
      <x:c r="C192" s="4" t="str">
        <x:v>NON_EVENT</x:v>
      </x:c>
      <x:c r="D192" s="4" t="str">
        <x:v>NON_EVENT</x:v>
      </x:c>
      <x:c r="E192" s="12" t="str">
        <x:v>SETUJU_USULAN</x:v>
      </x:c>
      <x:c r="F192" s="12" t="str"/>
      <x:c r="G192" s="12" t="str">
        <x:v>Kebakaran dipakai sebagai ejekan atau reaksi emosional, bukan kejadian api. R3.</x:v>
      </x:c>
      <x:c r="H192" s="4" t="str">
        <x:f>IF(E192="SETUJU_USULAN",D192,IF(E192="KOREKSI",F192,""))</x:f>
        <x:v>NON_EVENT</x:v>
      </x:c>
      <x:c r="I192" s="4" t="str">
        <x:f>IF(E192="","BELUM_DIREVIEW",IF(E192="TUNDA","DITUNDA",IF(TRIM(Panduan!$B$5)="","ISI_REVIEWER",IF(AND(E192&lt;&gt;"SETUJU_USULAN",E192&lt;&gt;"KOREKSI"),"CEK_KEPUTUSAN",IF(AND(E192="SETUJU_USULAN",F192&lt;&gt;""),"HAPUS_KOREKSI",IF(H192="","ISI_KOREKSI",IF(NOT(OR(H192="FLOOD",H192="EARTHQUAKE",H192="FIRE",H192="ACCIDENT",H192="NON_EVENT")),"CEK_LABEL",IF(AND(E192="KOREKSI",TRIM(G192)=""),"ISI_CATATAN","REVIEW_TERCATAT"))))))))</x:f>
        <x:v>REVIEW_TERCATAT</x:v>
      </x:c>
      <x:c r="J192" s="4" t="str">
        <x:v>Label dataset dan prediksi baseline sama; makna MVP belum direview. Kesepakatan keduanya belum membuktikan label final.</x:v>
      </x:c>
      <x:c r="K192" s="4" t="str">
        <x:v>NON_EVENT</x:v>
      </x:c>
      <x:c r="L192" s="14" t="n">
        <x:v>0.9761704802513123</x:v>
      </x:c>
    </x:row>
    <x:row r="193" ht="64" customHeight="1">
      <x:c r="A193" s="4" t="str">
        <x:v>GEM-01643</x:v>
      </x:c>
      <x:c r="B193" s="4" t="str">
        <x:v>gempa bumi 5 juli 2018- 7 0 ikut sebagai relawan dalam pendistribusian sembakialam rang di momen yang paling tidak bisa saya lupakan tahun ini adalah</x:v>
      </x:c>
      <x:c r="C193" s="4" t="str">
        <x:v>NON_EVENT</x:v>
      </x:c>
      <x:c r="D193" s="4" t="str">
        <x:v>NON_EVENT</x:v>
      </x:c>
      <x:c r="E193" s="12" t="str">
        <x:v>KOREKSI</x:v>
      </x:c>
      <x:c r="F193" s="12" t="str">
        <x:v>EARTHQUAKE</x:v>
      </x:c>
      <x:c r="G193" s="12" t="str">
        <x:v>Kenangan menjadi relawan merujuk gempa bumi bertanggal dalam sumber. Kejadian lampau tetap dinilai tanpa mengubah tanggalnya. R1,R5,R6.</x:v>
      </x:c>
      <x:c r="H193" s="4" t="str">
        <x:f>IF(E193="SETUJU_USULAN",D193,IF(E193="KOREKSI",F193,""))</x:f>
        <x:v>EARTHQUAKE</x:v>
      </x:c>
      <x:c r="I193" s="4" t="str">
        <x:f>IF(E193="","BELUM_DIREVIEW",IF(E193="TUNDA","DITUNDA",IF(TRIM(Panduan!$B$5)="","ISI_REVIEWER",IF(AND(E193&lt;&gt;"SETUJU_USULAN",E193&lt;&gt;"KOREKSI"),"CEK_KEPUTUSAN",IF(AND(E193="SETUJU_USULAN",F193&lt;&gt;""),"HAPUS_KOREKSI",IF(H193="","ISI_KOREKSI",IF(NOT(OR(H193="FLOOD",H193="EARTHQUAKE",H193="FIRE",H193="ACCIDENT",H193="NON_EVENT")),"CEK_LABEL",IF(AND(E193="KOREKSI",TRIM(G193)=""),"ISI_CATATAN","REVIEW_TERCATAT"))))))))</x:f>
        <x:v>REVIEW_TERCATAT</x:v>
      </x:c>
      <x:c r="J193" s="4" t="str">
        <x:v>Label dataset dan prediksi baseline sama; makna MVP belum direview. Kesepakatan keduanya belum membuktikan label final.</x:v>
      </x:c>
      <x:c r="K193" s="4" t="str">
        <x:v>NON_EVENT</x:v>
      </x:c>
      <x:c r="L193" s="14" t="n">
        <x:v>0.9762120842933655</x:v>
      </x:c>
    </x:row>
    <x:row r="194" ht="64" customHeight="1">
      <x:c r="A194" s="4" t="str">
        <x:v>BAN-01639</x:v>
      </x:c>
      <x:c r="B194" s="4" t="str">
        <x:v>saat susah dan dapat cobaan ( seperti banjir dan macet di tana abang ) gunakanlah waktu tersebut untuk mengingat dan berdoa pada sang pencipta pemprov memfasilitasi warga yang ingin lebih banyak berdoa dan istighfar</x:v>
      </x:c>
      <x:c r="C194" s="4" t="str">
        <x:v>NON_EVENT</x:v>
      </x:c>
      <x:c r="D194" s="4" t="str">
        <x:v>NON_EVENT</x:v>
      </x:c>
      <x:c r="E194" s="12" t="str">
        <x:v>KOREKSI</x:v>
      </x:c>
      <x:c r="F194" s="12" t="str">
        <x:v>FLOOD</x:v>
      </x:c>
      <x:c r="G194" s="12" t="str">
        <x:v>Nasihat berdoa menyebut banjir di Tanah Abang sebagai kondisi yang dihadapi. Nada sindiran tidak meniadakan rujukan banjir literal. R1,R5.</x:v>
      </x:c>
      <x:c r="H194" s="4" t="str">
        <x:f>IF(E194="SETUJU_USULAN",D194,IF(E194="KOREKSI",F194,""))</x:f>
        <x:v>FLOOD</x:v>
      </x:c>
      <x:c r="I194" s="4" t="str">
        <x:f>IF(E194="","BELUM_DIREVIEW",IF(E194="TUNDA","DITUNDA",IF(TRIM(Panduan!$B$5)="","ISI_REVIEWER",IF(AND(E194&lt;&gt;"SETUJU_USULAN",E194&lt;&gt;"KOREKSI"),"CEK_KEPUTUSAN",IF(AND(E194="SETUJU_USULAN",F194&lt;&gt;""),"HAPUS_KOREKSI",IF(H194="","ISI_KOREKSI",IF(NOT(OR(H194="FLOOD",H194="EARTHQUAKE",H194="FIRE",H194="ACCIDENT",H194="NON_EVENT")),"CEK_LABEL",IF(AND(E194="KOREKSI",TRIM(G194)=""),"ISI_CATATAN","REVIEW_TERCATAT"))))))))</x:f>
        <x:v>REVIEW_TERCATAT</x:v>
      </x:c>
      <x:c r="J194" s="4" t="str">
        <x:v>Label dataset dan prediksi baseline sama; makna MVP belum direview. Kesepakatan keduanya belum membuktikan label final.</x:v>
      </x:c>
      <x:c r="K194" s="4" t="str">
        <x:v>NON_EVENT</x:v>
      </x:c>
      <x:c r="L194" s="14" t="n">
        <x:v>0.9763457179069519</x:v>
      </x:c>
    </x:row>
    <x:row r="195" ht="64" customHeight="1">
      <x:c r="A195" s="4" t="str">
        <x:v>KEB-00714</x:v>
      </x:c>
      <x:c r="B195" s="4" t="str">
        <x:v>saya air sign , lalu sering tertarik dengan fire sign . kebakaran udah kalau gabisa di kendalikan oleh avatar masing masing .</x:v>
      </x:c>
      <x:c r="C195" s="4" t="str">
        <x:v>NON_EVENT</x:v>
      </x:c>
      <x:c r="D195" s="4" t="str">
        <x:v>NON_EVENT</x:v>
      </x:c>
      <x:c r="E195" s="12" t="str">
        <x:v>SETUJU_USULAN</x:v>
      </x:c>
      <x:c r="F195" s="12" t="str"/>
      <x:c r="G195" s="12" t="str">
        <x:v>Kebakaran dipakai dalam pembicaraan zodiak air sign dan fire sign, bukan peristiwa fisik. R3.</x:v>
      </x:c>
      <x:c r="H195" s="4" t="str">
        <x:f>IF(E195="SETUJU_USULAN",D195,IF(E195="KOREKSI",F195,""))</x:f>
        <x:v>NON_EVENT</x:v>
      </x:c>
      <x:c r="I195" s="4" t="str">
        <x:f>IF(E195="","BELUM_DIREVIEW",IF(E195="TUNDA","DITUNDA",IF(TRIM(Panduan!$B$5)="","ISI_REVIEWER",IF(AND(E195&lt;&gt;"SETUJU_USULAN",E195&lt;&gt;"KOREKSI"),"CEK_KEPUTUSAN",IF(AND(E195="SETUJU_USULAN",F195&lt;&gt;""),"HAPUS_KOREKSI",IF(H195="","ISI_KOREKSI",IF(NOT(OR(H195="FLOOD",H195="EARTHQUAKE",H195="FIRE",H195="ACCIDENT",H195="NON_EVENT")),"CEK_LABEL",IF(AND(E195="KOREKSI",TRIM(G195)=""),"ISI_CATATAN","REVIEW_TERCATAT"))))))))</x:f>
        <x:v>REVIEW_TERCATAT</x:v>
      </x:c>
      <x:c r="J195" s="4" t="str">
        <x:v>Label dataset dan prediksi baseline sama; makna MVP belum direview. Kesepakatan keduanya belum membuktikan label final.</x:v>
      </x:c>
      <x:c r="K195" s="4" t="str">
        <x:v>NON_EVENT</x:v>
      </x:c>
      <x:c r="L195" s="14" t="n">
        <x:v>0.9764660596847534</x:v>
      </x:c>
    </x:row>
    <x:row r="196" ht="66" customHeight="1">
      <x:c r="A196" s="4" t="str">
        <x:v>KEB-01008</x:v>
      </x:c>
      <x:c r="B196" s="4" t="str">
        <x:v>kemarin ikut sertifikasi pemadam kebakaran di kantor . tes kemenakernya online menggunakan zoom ada 2 sesi . jeda 1 sesi saya ijin ke toilet , pas balik gak sengaja liat komputer 1 peserta ada yg buka materi sambil zoom . akhir tes pengumuman bahwa anak tsb dapat nilai terbaik .</x:v>
      </x:c>
      <x:c r="C196" s="4" t="str">
        <x:v>NON_EVENT</x:v>
      </x:c>
      <x:c r="D196" s="4" t="str">
        <x:v>NON_EVENT</x:v>
      </x:c>
      <x:c r="E196" s="12" t="str">
        <x:v>SETUJU_USULAN</x:v>
      </x:c>
      <x:c r="F196" s="12" t="str"/>
      <x:c r="G196" s="12" t="str">
        <x:v>Narasi membahas sertifikasi pemadam dan ujian daring, tanpa kebakaran. R3.</x:v>
      </x:c>
      <x:c r="H196" s="4" t="str">
        <x:f>IF(E196="SETUJU_USULAN",D196,IF(E196="KOREKSI",F196,""))</x:f>
        <x:v>NON_EVENT</x:v>
      </x:c>
      <x:c r="I196" s="4" t="str">
        <x:f>IF(E196="","BELUM_DIREVIEW",IF(E196="TUNDA","DITUNDA",IF(TRIM(Panduan!$B$5)="","ISI_REVIEWER",IF(AND(E196&lt;&gt;"SETUJU_USULAN",E196&lt;&gt;"KOREKSI"),"CEK_KEPUTUSAN",IF(AND(E196="SETUJU_USULAN",F196&lt;&gt;""),"HAPUS_KOREKSI",IF(H196="","ISI_KOREKSI",IF(NOT(OR(H196="FLOOD",H196="EARTHQUAKE",H196="FIRE",H196="ACCIDENT",H196="NON_EVENT")),"CEK_LABEL",IF(AND(E196="KOREKSI",TRIM(G196)=""),"ISI_CATATAN","REVIEW_TERCATAT"))))))))</x:f>
        <x:v>REVIEW_TERCATAT</x:v>
      </x:c>
      <x:c r="J196" s="4" t="str">
        <x:v>Label dataset dan prediksi baseline sama; makna MVP belum direview. Kesepakatan keduanya belum membuktikan label final.</x:v>
      </x:c>
      <x:c r="K196" s="4" t="str">
        <x:v>NON_EVENT</x:v>
      </x:c>
      <x:c r="L196" s="14" t="n">
        <x:v>0.9769378900527954</x:v>
      </x:c>
    </x:row>
    <x:row r="197" ht="64" customHeight="1">
      <x:c r="A197" s="4" t="str">
        <x:v>GEM-01628</x:v>
      </x:c>
      <x:c r="B197" s="4" t="str">
        <x:v>nak tengok status terkini gempa bumi gunung berapi di indonesia boleh tengok sini ( paparan penuh sila guna chrome ) : ( fb asmady ahmad )</x:v>
      </x:c>
      <x:c r="C197" s="4" t="str">
        <x:v>NON_EVENT</x:v>
      </x:c>
      <x:c r="D197" s="4" t="str">
        <x:v>NON_EVENT</x:v>
      </x:c>
      <x:c r="E197" s="12" t="str">
        <x:v>SETUJU_USULAN</x:v>
      </x:c>
      <x:c r="F197" s="12" t="str"/>
      <x:c r="G197" s="12" t="str">
        <x:v>Ajakan melihat portal status gempa dan gunung api tidak menyatakan satu kejadian tertentu. R3.</x:v>
      </x:c>
      <x:c r="H197" s="4" t="str">
        <x:f>IF(E197="SETUJU_USULAN",D197,IF(E197="KOREKSI",F197,""))</x:f>
        <x:v>NON_EVENT</x:v>
      </x:c>
      <x:c r="I197" s="4" t="str">
        <x:f>IF(E197="","BELUM_DIREVIEW",IF(E197="TUNDA","DITUNDA",IF(TRIM(Panduan!$B$5)="","ISI_REVIEWER",IF(AND(E197&lt;&gt;"SETUJU_USULAN",E197&lt;&gt;"KOREKSI"),"CEK_KEPUTUSAN",IF(AND(E197="SETUJU_USULAN",F197&lt;&gt;""),"HAPUS_KOREKSI",IF(H197="","ISI_KOREKSI",IF(NOT(OR(H197="FLOOD",H197="EARTHQUAKE",H197="FIRE",H197="ACCIDENT",H197="NON_EVENT")),"CEK_LABEL",IF(AND(E197="KOREKSI",TRIM(G197)=""),"ISI_CATATAN","REVIEW_TERCATAT"))))))))</x:f>
        <x:v>REVIEW_TERCATAT</x:v>
      </x:c>
      <x:c r="J197" s="4" t="str">
        <x:v>Label dataset dan prediksi baseline sama; makna MVP belum direview. Kesepakatan keduanya belum membuktikan label final.</x:v>
      </x:c>
      <x:c r="K197" s="4" t="str">
        <x:v>NON_EVENT</x:v>
      </x:c>
      <x:c r="L197" s="14" t="n">
        <x:v>0.9770880937576294</x:v>
      </x:c>
    </x:row>
    <x:row r="198" ht="64" customHeight="1">
      <x:c r="A198" s="4" t="str">
        <x:v>BAN-01173</x:v>
      </x:c>
      <x:c r="B198" s="4" t="str">
        <x:v>hujan angin gempa longsor banjir dsb di akhir tahun mari semua waspada agar tetap sejahtera</x:v>
      </x:c>
      <x:c r="C198" s="4" t="str">
        <x:v>NON_EVENT</x:v>
      </x:c>
      <x:c r="D198" s="4" t="str">
        <x:v>NON_EVENT</x:v>
      </x:c>
      <x:c r="E198" s="12" t="str">
        <x:v>SETUJU_USULAN</x:v>
      </x:c>
      <x:c r="F198" s="12" t="str"/>
      <x:c r="G198" s="12" t="str">
        <x:v>Daftar ancaman akhir tahun dan imbauan waspada tidak melaporkan kejadian tertentu. R3.</x:v>
      </x:c>
      <x:c r="H198" s="4" t="str">
        <x:f>IF(E198="SETUJU_USULAN",D198,IF(E198="KOREKSI",F198,""))</x:f>
        <x:v>NON_EVENT</x:v>
      </x:c>
      <x:c r="I198" s="4" t="str">
        <x:f>IF(E198="","BELUM_DIREVIEW",IF(E198="TUNDA","DITUNDA",IF(TRIM(Panduan!$B$5)="","ISI_REVIEWER",IF(AND(E198&lt;&gt;"SETUJU_USULAN",E198&lt;&gt;"KOREKSI"),"CEK_KEPUTUSAN",IF(AND(E198="SETUJU_USULAN",F198&lt;&gt;""),"HAPUS_KOREKSI",IF(H198="","ISI_KOREKSI",IF(NOT(OR(H198="FLOOD",H198="EARTHQUAKE",H198="FIRE",H198="ACCIDENT",H198="NON_EVENT")),"CEK_LABEL",IF(AND(E198="KOREKSI",TRIM(G198)=""),"ISI_CATATAN","REVIEW_TERCATAT"))))))))</x:f>
        <x:v>REVIEW_TERCATAT</x:v>
      </x:c>
      <x:c r="J198" s="4" t="str">
        <x:v>Label dataset dan prediksi baseline sama; makna MVP belum direview. Kesepakatan keduanya belum membuktikan label final.</x:v>
      </x:c>
      <x:c r="K198" s="4" t="str">
        <x:v>NON_EVENT</x:v>
      </x:c>
      <x:c r="L198" s="14" t="n">
        <x:v>0.9773209691047668</x:v>
      </x:c>
    </x:row>
    <x:row r="199" ht="64" customHeight="1">
      <x:c r="A199" s="4" t="str">
        <x:v>GEM-01132</x:v>
      </x:c>
      <x:c r="B199" s="4" t="str">
        <x:v>gempa bumi 4 5 sr di jayapura papua hari ini tak ada peringatan tsunami - tribun timur</x:v>
      </x:c>
      <x:c r="C199" s="4" t="str">
        <x:v>EARTHQUAKE</x:v>
      </x:c>
      <x:c r="D199" s="4" t="str">
        <x:v>EARTHQUAKE</x:v>
      </x:c>
      <x:c r="E199" s="12" t="str">
        <x:v>SETUJU_USULAN</x:v>
      </x:c>
      <x:c r="F199" s="12" t="str"/>
      <x:c r="G199" s="12" t="str">
        <x:v>Narasi menyatakan kejadian gempa bumi yang terjadi atau telah terjadi. Label mengikuti isi kejadian, termasuk penanganan dan dampak yang disebut. R1,R4.</x:v>
      </x:c>
      <x:c r="H199" s="4" t="str">
        <x:f>IF(E199="SETUJU_USULAN",D199,IF(E199="KOREKSI",F199,""))</x:f>
        <x:v>EARTHQUAKE</x:v>
      </x:c>
      <x:c r="I199" s="4" t="str">
        <x:f>IF(E199="","BELUM_DIREVIEW",IF(E199="TUNDA","DITUNDA",IF(TRIM(Panduan!$B$5)="","ISI_REVIEWER",IF(AND(E199&lt;&gt;"SETUJU_USULAN",E199&lt;&gt;"KOREKSI"),"CEK_KEPUTUSAN",IF(AND(E199="SETUJU_USULAN",F199&lt;&gt;""),"HAPUS_KOREKSI",IF(H199="","ISI_KOREKSI",IF(NOT(OR(H199="FLOOD",H199="EARTHQUAKE",H199="FIRE",H199="ACCIDENT",H199="NON_EVENT")),"CEK_LABEL",IF(AND(E199="KOREKSI",TRIM(G199)=""),"ISI_CATATAN","REVIEW_TERCATAT"))))))))</x:f>
        <x:v>REVIEW_TERCATAT</x:v>
      </x:c>
      <x:c r="J199" s="4" t="str">
        <x:v>Label dataset dan prediksi baseline sama; makna MVP belum direview. Kesepakatan keduanya belum membuktikan label final.</x:v>
      </x:c>
      <x:c r="K199" s="4" t="str">
        <x:v>EARTHQUAKE</x:v>
      </x:c>
      <x:c r="L199" s="14" t="n">
        <x:v>0.9776596426963806</x:v>
      </x:c>
    </x:row>
    <x:row r="200" ht="64" customHeight="1">
      <x:c r="A200" s="4" t="str">
        <x:v>GEM-01178</x:v>
      </x:c>
      <x:c r="B200" s="4" t="str">
        <x:v>penyaluran logistik untuk warga yang terdampak gempa bumi di lombok</x:v>
      </x:c>
      <x:c r="C200" s="4" t="str">
        <x:v>NON_EVENT</x:v>
      </x:c>
      <x:c r="D200" s="4" t="str">
        <x:v>NON_EVENT</x:v>
      </x:c>
      <x:c r="E200" s="12" t="str">
        <x:v>KOREKSI</x:v>
      </x:c>
      <x:c r="F200" s="12" t="str">
        <x:v>EARTHQUAKE</x:v>
      </x:c>
      <x:c r="G200" s="12" t="str">
        <x:v>Penyaluran logistik ditujukan kepada warga terdampak gempa di Lombok. R1,R5.</x:v>
      </x:c>
      <x:c r="H200" s="4" t="str">
        <x:f>IF(E200="SETUJU_USULAN",D200,IF(E200="KOREKSI",F200,""))</x:f>
        <x:v>EARTHQUAKE</x:v>
      </x:c>
      <x:c r="I200" s="4" t="str">
        <x:f>IF(E200="","BELUM_DIREVIEW",IF(E200="TUNDA","DITUNDA",IF(TRIM(Panduan!$B$5)="","ISI_REVIEWER",IF(AND(E200&lt;&gt;"SETUJU_USULAN",E200&lt;&gt;"KOREKSI"),"CEK_KEPUTUSAN",IF(AND(E200="SETUJU_USULAN",F200&lt;&gt;""),"HAPUS_KOREKSI",IF(H200="","ISI_KOREKSI",IF(NOT(OR(H200="FLOOD",H200="EARTHQUAKE",H200="FIRE",H200="ACCIDENT",H200="NON_EVENT")),"CEK_LABEL",IF(AND(E200="KOREKSI",TRIM(G200)=""),"ISI_CATATAN","REVIEW_TERCATAT"))))))))</x:f>
        <x:v>REVIEW_TERCATAT</x:v>
      </x:c>
      <x:c r="J200" s="4" t="str">
        <x:v>Label dataset dan prediksi baseline sama; makna MVP belum direview. Kesepakatan keduanya belum membuktikan label final.</x:v>
      </x:c>
      <x:c r="K200" s="4" t="str">
        <x:v>NON_EVENT</x:v>
      </x:c>
      <x:c r="L200" s="14" t="n">
        <x:v>0.9776716828346252</x:v>
      </x:c>
    </x:row>
    <x:row r="201" ht="66" customHeight="1">
      <x:c r="A201" s="4" t="str">
        <x:v>BAN-01901</x:v>
      </x:c>
      <x:c r="B201" s="4" t="str">
        <x:v>meskipun air mulai surut namun warga dihimbau tetap waspada mengingat kondisi cuaca yang masih belum menentu dan berpotensi banjir kembali doakan agar bencana ini lekas usai ya ! doakan juga tim di lapangan agar terus diberi kesehatan</x:v>
      </x:c>
      <x:c r="C201" s="4" t="str">
        <x:v>NON_EVENT</x:v>
      </x:c>
      <x:c r="D201" s="4" t="str">
        <x:v>NON_EVENT</x:v>
      </x:c>
      <x:c r="E201" s="12" t="str">
        <x:v>KOREKSI</x:v>
      </x:c>
      <x:c r="F201" s="12" t="str">
        <x:v>FLOOD</x:v>
      </x:c>
      <x:c r="G201" s="12" t="str">
        <x:v>Air disebut mulai surut dan bencana diharapkan segera usai. Potensi banjir kembali mengikuti kondisi banjir yang sedang berakhir, bukan hanya peringatan umum. R1,R2,R4.</x:v>
      </x:c>
      <x:c r="H201" s="4" t="str">
        <x:f>IF(E201="SETUJU_USULAN",D201,IF(E201="KOREKSI",F201,""))</x:f>
        <x:v>FLOOD</x:v>
      </x:c>
      <x:c r="I201" s="4" t="str">
        <x:f>IF(E201="","BELUM_DIREVIEW",IF(E201="TUNDA","DITUNDA",IF(TRIM(Panduan!$B$5)="","ISI_REVIEWER",IF(AND(E201&lt;&gt;"SETUJU_USULAN",E201&lt;&gt;"KOREKSI"),"CEK_KEPUTUSAN",IF(AND(E201="SETUJU_USULAN",F201&lt;&gt;""),"HAPUS_KOREKSI",IF(H201="","ISI_KOREKSI",IF(NOT(OR(H201="FLOOD",H201="EARTHQUAKE",H201="FIRE",H201="ACCIDENT",H201="NON_EVENT")),"CEK_LABEL",IF(AND(E201="KOREKSI",TRIM(G201)=""),"ISI_CATATAN","REVIEW_TERCATAT"))))))))</x:f>
        <x:v>REVIEW_TERCATAT</x:v>
      </x:c>
      <x:c r="J201" s="4" t="str">
        <x:v>Label dataset dan prediksi baseline sama; makna MVP belum direview. Kesepakatan keduanya belum membuktikan label final.</x:v>
      </x:c>
      <x:c r="K201" s="4" t="str">
        <x:v>NON_EVENT</x:v>
      </x:c>
      <x:c r="L201" s="14" t="n">
        <x:v>0.9777026772499084</x:v>
      </x:c>
    </x:row>
    <x:row r="202" ht="64" customHeight="1">
      <x:c r="A202" s="4" t="str">
        <x:v>BAN-01273</x:v>
      </x:c>
      <x:c r="B202" s="4" t="str">
        <x:v>fpi poso bersihkan lumpur di rumah yang terkena banjir di kayamanya</x:v>
      </x:c>
      <x:c r="C202" s="4" t="str">
        <x:v>NON_EVENT</x:v>
      </x:c>
      <x:c r="D202" s="4" t="str">
        <x:v>NON_EVENT</x:v>
      </x:c>
      <x:c r="E202" s="12" t="str">
        <x:v>KOREKSI</x:v>
      </x:c>
      <x:c r="F202" s="12" t="str">
        <x:v>FLOOD</x:v>
      </x:c>
      <x:c r="G202" s="12" t="str">
        <x:v>Pembersihan lumpur dilakukan di rumah yang terkena banjir di Kayamanya. R1,R5.</x:v>
      </x:c>
      <x:c r="H202" s="4" t="str">
        <x:f>IF(E202="SETUJU_USULAN",D202,IF(E202="KOREKSI",F202,""))</x:f>
        <x:v>FLOOD</x:v>
      </x:c>
      <x:c r="I202" s="4" t="str">
        <x:f>IF(E202="","BELUM_DIREVIEW",IF(E202="TUNDA","DITUNDA",IF(TRIM(Panduan!$B$5)="","ISI_REVIEWER",IF(AND(E202&lt;&gt;"SETUJU_USULAN",E202&lt;&gt;"KOREKSI"),"CEK_KEPUTUSAN",IF(AND(E202="SETUJU_USULAN",F202&lt;&gt;""),"HAPUS_KOREKSI",IF(H202="","ISI_KOREKSI",IF(NOT(OR(H202="FLOOD",H202="EARTHQUAKE",H202="FIRE",H202="ACCIDENT",H202="NON_EVENT")),"CEK_LABEL",IF(AND(E202="KOREKSI",TRIM(G202)=""),"ISI_CATATAN","REVIEW_TERCATAT"))))))))</x:f>
        <x:v>REVIEW_TERCATAT</x:v>
      </x:c>
      <x:c r="J202" s="4" t="str">
        <x:v>Label dataset dan prediksi baseline sama; makna MVP belum direview. Kesepakatan keduanya belum membuktikan label final.</x:v>
      </x:c>
      <x:c r="K202" s="4" t="str">
        <x:v>NON_EVENT</x:v>
      </x:c>
      <x:c r="L202" s="14" t="n">
        <x:v>0.977719783782959</x:v>
      </x:c>
    </x:row>
    <x:row r="203" ht="64" customHeight="1">
      <x:c r="A203" s="4" t="str">
        <x:v>BAN-01098</x:v>
      </x:c>
      <x:c r="B203" s="4" t="str">
        <x:v>selamat pagi mata-mata musim hujan tiba sejumlah daerah terkena dampaknya seperti macet banjir pohon tumbang bahkan sampai longsor bagaimana pantauan di sekitarmu ? jangan lupa share infonya ke</x:v>
      </x:c>
      <x:c r="C203" s="4" t="str">
        <x:v>NON_EVENT</x:v>
      </x:c>
      <x:c r="D203" s="4" t="str">
        <x:v>NON_EVENT</x:v>
      </x:c>
      <x:c r="E203" s="12" t="str">
        <x:v>SETUJU_USULAN</x:v>
      </x:c>
      <x:c r="F203" s="12" t="str"/>
      <x:c r="G203" s="12" t="str">
        <x:v>Uraian dampak musim hujan dan pertanyaan pantauan bersifat umum, tanpa satu kejadian teridentifikasi. R3.</x:v>
      </x:c>
      <x:c r="H203" s="4" t="str">
        <x:f>IF(E203="SETUJU_USULAN",D203,IF(E203="KOREKSI",F203,""))</x:f>
        <x:v>NON_EVENT</x:v>
      </x:c>
      <x:c r="I203" s="4" t="str">
        <x:f>IF(E203="","BELUM_DIREVIEW",IF(E203="TUNDA","DITUNDA",IF(TRIM(Panduan!$B$5)="","ISI_REVIEWER",IF(AND(E203&lt;&gt;"SETUJU_USULAN",E203&lt;&gt;"KOREKSI"),"CEK_KEPUTUSAN",IF(AND(E203="SETUJU_USULAN",F203&lt;&gt;""),"HAPUS_KOREKSI",IF(H203="","ISI_KOREKSI",IF(NOT(OR(H203="FLOOD",H203="EARTHQUAKE",H203="FIRE",H203="ACCIDENT",H203="NON_EVENT")),"CEK_LABEL",IF(AND(E203="KOREKSI",TRIM(G203)=""),"ISI_CATATAN","REVIEW_TERCATAT"))))))))</x:f>
        <x:v>REVIEW_TERCATAT</x:v>
      </x:c>
      <x:c r="J203" s="4" t="str">
        <x:v>Label dataset dan prediksi baseline sama; makna MVP belum direview. Kesepakatan keduanya belum membuktikan label final.</x:v>
      </x:c>
      <x:c r="K203" s="4" t="str">
        <x:v>NON_EVENT</x:v>
      </x:c>
      <x:c r="L203" s="14" t="n">
        <x:v>0.9777765274047852</x:v>
      </x:c>
    </x:row>
    <x:row r="204" ht="64" customHeight="1">
      <x:c r="A204" s="4" t="str">
        <x:v>GEM-01476</x:v>
      </x:c>
      <x:c r="B204" s="4" t="str">
        <x:v>gempa bumi dengan magnitudo 5 2 terjadi di kepulauan mentawai sumatera barat gempa tersebut tidak berpotensi menimbulkan tsunami</x:v>
      </x:c>
      <x:c r="C204" s="4" t="str">
        <x:v>EARTHQUAKE</x:v>
      </x:c>
      <x:c r="D204" s="4" t="str">
        <x:v>EARTHQUAKE</x:v>
      </x:c>
      <x:c r="E204" s="12" t="str">
        <x:v>SETUJU_USULAN</x:v>
      </x:c>
      <x:c r="F204" s="12" t="str"/>
      <x:c r="G204" s="12" t="str">
        <x:v>Narasi menyatakan kejadian gempa bumi yang terjadi atau telah terjadi. Label mengikuti isi kejadian, termasuk penanganan dan dampak yang disebut. R1,R4.</x:v>
      </x:c>
      <x:c r="H204" s="4" t="str">
        <x:f>IF(E204="SETUJU_USULAN",D204,IF(E204="KOREKSI",F204,""))</x:f>
        <x:v>EARTHQUAKE</x:v>
      </x:c>
      <x:c r="I204" s="4" t="str">
        <x:f>IF(E204="","BELUM_DIREVIEW",IF(E204="TUNDA","DITUNDA",IF(TRIM(Panduan!$B$5)="","ISI_REVIEWER",IF(AND(E204&lt;&gt;"SETUJU_USULAN",E204&lt;&gt;"KOREKSI"),"CEK_KEPUTUSAN",IF(AND(E204="SETUJU_USULAN",F204&lt;&gt;""),"HAPUS_KOREKSI",IF(H204="","ISI_KOREKSI",IF(NOT(OR(H204="FLOOD",H204="EARTHQUAKE",H204="FIRE",H204="ACCIDENT",H204="NON_EVENT")),"CEK_LABEL",IF(AND(E204="KOREKSI",TRIM(G204)=""),"ISI_CATATAN","REVIEW_TERCATAT"))))))))</x:f>
        <x:v>REVIEW_TERCATAT</x:v>
      </x:c>
      <x:c r="J204" s="4" t="str">
        <x:v>Label dataset dan prediksi baseline sama; makna MVP belum direview. Kesepakatan keduanya belum membuktikan label final.</x:v>
      </x:c>
      <x:c r="K204" s="4" t="str">
        <x:v>EARTHQUAKE</x:v>
      </x:c>
      <x:c r="L204" s="14" t="n">
        <x:v>0.977889358997345</x:v>
      </x:c>
    </x:row>
    <x:row r="205" ht="64" customHeight="1">
      <x:c r="A205" s="4" t="str">
        <x:v>KEB-00773</x:v>
      </x:c>
      <x:c r="B205" s="4" t="str">
        <x:v>telah terjadi kebakaran di kp . leweng gede parahu , sukamulya balaraja sampai informasi ini di dapatkan masih belum di ketahui penyebab kebakaran nya , yang tau info nya bisa komen di kolam komentar dm via sobatnet</x:v>
      </x:c>
      <x:c r="C205" s="4" t="str">
        <x:v>FIRE</x:v>
      </x:c>
      <x:c r="D205" s="4" t="str">
        <x:v>FIRE</x:v>
      </x:c>
      <x:c r="E205" s="12" t="str">
        <x:v>SETUJU_USULAN</x:v>
      </x:c>
      <x:c r="F205" s="12" t="str"/>
      <x:c r="G205" s="12" t="str">
        <x:v>Narasi menyatakan kejadian kebakaran yang terjadi atau telah terjadi. Label mengikuti isi kejadian, termasuk penanganan dan dampak yang disebut. R1,R4.</x:v>
      </x:c>
      <x:c r="H205" s="4" t="str">
        <x:f>IF(E205="SETUJU_USULAN",D205,IF(E205="KOREKSI",F205,""))</x:f>
        <x:v>FIRE</x:v>
      </x:c>
      <x:c r="I205" s="4" t="str">
        <x:f>IF(E205="","BELUM_DIREVIEW",IF(E205="TUNDA","DITUNDA",IF(TRIM(Panduan!$B$5)="","ISI_REVIEWER",IF(AND(E205&lt;&gt;"SETUJU_USULAN",E205&lt;&gt;"KOREKSI"),"CEK_KEPUTUSAN",IF(AND(E205="SETUJU_USULAN",F205&lt;&gt;""),"HAPUS_KOREKSI",IF(H205="","ISI_KOREKSI",IF(NOT(OR(H205="FLOOD",H205="EARTHQUAKE",H205="FIRE",H205="ACCIDENT",H205="NON_EVENT")),"CEK_LABEL",IF(AND(E205="KOREKSI",TRIM(G205)=""),"ISI_CATATAN","REVIEW_TERCATAT"))))))))</x:f>
        <x:v>REVIEW_TERCATAT</x:v>
      </x:c>
      <x:c r="J205" s="4" t="str">
        <x:v>Label dataset dan prediksi baseline sama; makna MVP belum direview. Kesepakatan keduanya belum membuktikan label final.</x:v>
      </x:c>
      <x:c r="K205" s="4" t="str">
        <x:v>FIRE</x:v>
      </x:c>
      <x:c r="L205" s="14" t="n">
        <x:v>0.9780282378196716</x:v>
      </x:c>
    </x:row>
    <x:row r="206" ht="66" customHeight="1">
      <x:c r="A206" s="4" t="str">
        <x:v>BAN-01597</x:v>
      </x:c>
      <x:c r="B206" s="4" t="str">
        <x:v>sekolah mereka tenggelam pasir lihat jarak mereka berdiri dengan atap sekolah mereka setelah banjir bandang di papua ini sekolah mi al-ikhlas doyo bambar distrik waibu jayapura mari bantu mereka melalui nu sidoarjo peduli no rek 7010999000 bank muamalat an lazisnu sidoarjo</x:v>
      </x:c>
      <x:c r="C206" s="4" t="str">
        <x:v>NON_EVENT</x:v>
      </x:c>
      <x:c r="D206" s="4" t="str">
        <x:v>NON_EVENT</x:v>
      </x:c>
      <x:c r="E206" s="12" t="str">
        <x:v>KOREKSI</x:v>
      </x:c>
      <x:c r="F206" s="12" t="str">
        <x:v>FLOOD</x:v>
      </x:c>
      <x:c r="G206" s="12" t="str">
        <x:v>Sekolah di Doyo Bambar dinyatakan tertimbun pasir setelah banjir bandang Papua. Ajakan bantuan tetap memuat dampak kejadian konkret. R1,R5.</x:v>
      </x:c>
      <x:c r="H206" s="4" t="str">
        <x:f>IF(E206="SETUJU_USULAN",D206,IF(E206="KOREKSI",F206,""))</x:f>
        <x:v>FLOOD</x:v>
      </x:c>
      <x:c r="I206" s="4" t="str">
        <x:f>IF(E206="","BELUM_DIREVIEW",IF(E206="TUNDA","DITUNDA",IF(TRIM(Panduan!$B$5)="","ISI_REVIEWER",IF(AND(E206&lt;&gt;"SETUJU_USULAN",E206&lt;&gt;"KOREKSI"),"CEK_KEPUTUSAN",IF(AND(E206="SETUJU_USULAN",F206&lt;&gt;""),"HAPUS_KOREKSI",IF(H206="","ISI_KOREKSI",IF(NOT(OR(H206="FLOOD",H206="EARTHQUAKE",H206="FIRE",H206="ACCIDENT",H206="NON_EVENT")),"CEK_LABEL",IF(AND(E206="KOREKSI",TRIM(G206)=""),"ISI_CATATAN","REVIEW_TERCATAT"))))))))</x:f>
        <x:v>REVIEW_TERCATAT</x:v>
      </x:c>
      <x:c r="J206" s="4" t="str">
        <x:v>Label dataset dan prediksi baseline sama; makna MVP belum direview. Kesepakatan keduanya belum membuktikan label final.</x:v>
      </x:c>
      <x:c r="K206" s="4" t="str">
        <x:v>NON_EVENT</x:v>
      </x:c>
      <x:c r="L206" s="14" t="n">
        <x:v>0.9781591892242432</x:v>
      </x:c>
    </x:row>
    <x:row r="207" ht="66" customHeight="1">
      <x:c r="A207" s="4" t="str">
        <x:v>KEB-00746</x:v>
      </x:c>
      <x:c r="B207" s="4" t="str">
        <x:v>remaja bakar tahfiz dipenjara hingga dapat pengampunan agong [ metrotv ] : kuala lumpur : mahkamah tinggi kuala lumpur , hari ini , mensabitkan seorang remaja lelaki bersalah membunuh 23 individu dalam kebakaran di pusat tahfiz darul quran ittifaqiyah , kuala</x:v>
      </x:c>
      <x:c r="C207" s="4" t="str">
        <x:v>NON_EVENT</x:v>
      </x:c>
      <x:c r="D207" s="4" t="str">
        <x:v>NON_EVENT</x:v>
      </x:c>
      <x:c r="E207" s="12" t="str">
        <x:v>KOREKSI</x:v>
      </x:c>
      <x:c r="F207" s="12" t="str">
        <x:v>FIRE</x:v>
      </x:c>
      <x:c r="G207" s="12" t="str">
        <x:v>Putusan pengadilan merujuk 23 korban dalam kebakaran Pusat Tahfiz Darul Quran Ittifaqiyah. Konteks peradilan tidak menghapus kejadian. R1,R4,R5.</x:v>
      </x:c>
      <x:c r="H207" s="4" t="str">
        <x:f>IF(E207="SETUJU_USULAN",D207,IF(E207="KOREKSI",F207,""))</x:f>
        <x:v>FIRE</x:v>
      </x:c>
      <x:c r="I207" s="4" t="str">
        <x:f>IF(E207="","BELUM_DIREVIEW",IF(E207="TUNDA","DITUNDA",IF(TRIM(Panduan!$B$5)="","ISI_REVIEWER",IF(AND(E207&lt;&gt;"SETUJU_USULAN",E207&lt;&gt;"KOREKSI"),"CEK_KEPUTUSAN",IF(AND(E207="SETUJU_USULAN",F207&lt;&gt;""),"HAPUS_KOREKSI",IF(H207="","ISI_KOREKSI",IF(NOT(OR(H207="FLOOD",H207="EARTHQUAKE",H207="FIRE",H207="ACCIDENT",H207="NON_EVENT")),"CEK_LABEL",IF(AND(E207="KOREKSI",TRIM(G207)=""),"ISI_CATATAN","REVIEW_TERCATAT"))))))))</x:f>
        <x:v>REVIEW_TERCATAT</x:v>
      </x:c>
      <x:c r="J207" s="4" t="str">
        <x:v>Label dataset dan prediksi baseline sama; makna MVP belum direview. Kesepakatan keduanya belum membuktikan label final.</x:v>
      </x:c>
      <x:c r="K207" s="4" t="str">
        <x:v>NON_EVENT</x:v>
      </x:c>
      <x:c r="L207" s="14" t="n">
        <x:v>0.9782826900482178</x:v>
      </x:c>
    </x:row>
    <x:row r="208" ht="64" customHeight="1">
      <x:c r="A208" s="4" t="str">
        <x:v>GEM-01624</x:v>
      </x:c>
      <x:c r="B208" s="4" t="str">
        <x:v>gempa magnitudo 3 0 terjadi di lombok utara gempa bumi magnitudo 3 0 terjadi di</x:v>
      </x:c>
      <x:c r="C208" s="4" t="str">
        <x:v>EARTHQUAKE</x:v>
      </x:c>
      <x:c r="D208" s="4" t="str">
        <x:v>EARTHQUAKE</x:v>
      </x:c>
      <x:c r="E208" s="12" t="str">
        <x:v>SETUJU_USULAN</x:v>
      </x:c>
      <x:c r="F208" s="12" t="str"/>
      <x:c r="G208" s="12" t="str">
        <x:v>Narasi menyatakan kejadian gempa bumi yang terjadi atau telah terjadi. Label mengikuti isi kejadian, termasuk penanganan dan dampak yang disebut. R1,R4.</x:v>
      </x:c>
      <x:c r="H208" s="4" t="str">
        <x:f>IF(E208="SETUJU_USULAN",D208,IF(E208="KOREKSI",F208,""))</x:f>
        <x:v>EARTHQUAKE</x:v>
      </x:c>
      <x:c r="I208" s="4" t="str">
        <x:f>IF(E208="","BELUM_DIREVIEW",IF(E208="TUNDA","DITUNDA",IF(TRIM(Panduan!$B$5)="","ISI_REVIEWER",IF(AND(E208&lt;&gt;"SETUJU_USULAN",E208&lt;&gt;"KOREKSI"),"CEK_KEPUTUSAN",IF(AND(E208="SETUJU_USULAN",F208&lt;&gt;""),"HAPUS_KOREKSI",IF(H208="","ISI_KOREKSI",IF(NOT(OR(H208="FLOOD",H208="EARTHQUAKE",H208="FIRE",H208="ACCIDENT",H208="NON_EVENT")),"CEK_LABEL",IF(AND(E208="KOREKSI",TRIM(G208)=""),"ISI_CATATAN","REVIEW_TERCATAT"))))))))</x:f>
        <x:v>REVIEW_TERCATAT</x:v>
      </x:c>
      <x:c r="J208" s="4" t="str">
        <x:v>Label dataset dan prediksi baseline sama; makna MVP belum direview. Kesepakatan keduanya belum membuktikan label final.</x:v>
      </x:c>
      <x:c r="K208" s="4" t="str">
        <x:v>EARTHQUAKE</x:v>
      </x:c>
      <x:c r="L208" s="14" t="n">
        <x:v>0.97845858335495</x:v>
      </x:c>
    </x:row>
    <x:row r="209" ht="64" customHeight="1">
      <x:c r="A209" s="4" t="str">
        <x:v>BAN-01215</x:v>
      </x:c>
      <x:c r="B209" s="4" t="str">
        <x:v>jokowi bangun 2 buah bendungan u/ menampung air &amp; mengendalikan arus air sungai yang melewati dki supaya tidak terjadi banjir karena volume yang mengalir di sungai dapat terkendali</x:v>
      </x:c>
      <x:c r="C209" s="4" t="str">
        <x:v>NON_EVENT</x:v>
      </x:c>
      <x:c r="D209" s="4" t="str">
        <x:v>NON_EVENT</x:v>
      </x:c>
      <x:c r="E209" s="12" t="str">
        <x:v>SETUJU_USULAN</x:v>
      </x:c>
      <x:c r="F209" s="12" t="str"/>
      <x:c r="G209" s="12" t="str">
        <x:v>Bendungan dibangun supaya banjir tidak terjadi. Narasi menyatakan pencegahan. R3.</x:v>
      </x:c>
      <x:c r="H209" s="4" t="str">
        <x:f>IF(E209="SETUJU_USULAN",D209,IF(E209="KOREKSI",F209,""))</x:f>
        <x:v>NON_EVENT</x:v>
      </x:c>
      <x:c r="I209" s="4" t="str">
        <x:f>IF(E209="","BELUM_DIREVIEW",IF(E209="TUNDA","DITUNDA",IF(TRIM(Panduan!$B$5)="","ISI_REVIEWER",IF(AND(E209&lt;&gt;"SETUJU_USULAN",E209&lt;&gt;"KOREKSI"),"CEK_KEPUTUSAN",IF(AND(E209="SETUJU_USULAN",F209&lt;&gt;""),"HAPUS_KOREKSI",IF(H209="","ISI_KOREKSI",IF(NOT(OR(H209="FLOOD",H209="EARTHQUAKE",H209="FIRE",H209="ACCIDENT",H209="NON_EVENT")),"CEK_LABEL",IF(AND(E209="KOREKSI",TRIM(G209)=""),"ISI_CATATAN","REVIEW_TERCATAT"))))))))</x:f>
        <x:v>REVIEW_TERCATAT</x:v>
      </x:c>
      <x:c r="J209" s="4" t="str">
        <x:v>Label dataset dan prediksi baseline sama; makna MVP belum direview. Kesepakatan keduanya belum membuktikan label final.</x:v>
      </x:c>
      <x:c r="K209" s="4" t="str">
        <x:v>NON_EVENT</x:v>
      </x:c>
      <x:c r="L209" s="14" t="n">
        <x:v>0.9785411953926086</x:v>
      </x:c>
    </x:row>
    <x:row r="210" ht="66" customHeight="1">
      <x:c r="A210" s="4" t="str">
        <x:v>BAN-01154</x:v>
      </x:c>
      <x:c r="B210" s="4" t="str">
        <x:v>vihara di watugong waduk jatibarang dekat sampokong museum ronggowarsito kalibanteng musium mandala lihat tentang tni puri maerokoco marina banjir kanal barat ( video terlampir ) taman indonesia kayak dekat simpang5 atau waterboom raksasa yang lagi hits di kaligawe genuk</x:v>
      </x:c>
      <x:c r="C210" s="4" t="str">
        <x:v>NON_EVENT</x:v>
      </x:c>
      <x:c r="D210" s="4" t="str">
        <x:v>NON_EVENT</x:v>
      </x:c>
      <x:c r="E210" s="12" t="str">
        <x:v>SETUJU_USULAN</x:v>
      </x:c>
      <x:c r="F210" s="12" t="str"/>
      <x:c r="G210" s="12" t="str">
        <x:v>Banjir Kanal Barat disebut sebagai nama tempat dalam daftar tujuan, bukan kejadian banjir. R3.</x:v>
      </x:c>
      <x:c r="H210" s="4" t="str">
        <x:f>IF(E210="SETUJU_USULAN",D210,IF(E210="KOREKSI",F210,""))</x:f>
        <x:v>NON_EVENT</x:v>
      </x:c>
      <x:c r="I210" s="4" t="str">
        <x:f>IF(E210="","BELUM_DIREVIEW",IF(E210="TUNDA","DITUNDA",IF(TRIM(Panduan!$B$5)="","ISI_REVIEWER",IF(AND(E210&lt;&gt;"SETUJU_USULAN",E210&lt;&gt;"KOREKSI"),"CEK_KEPUTUSAN",IF(AND(E210="SETUJU_USULAN",F210&lt;&gt;""),"HAPUS_KOREKSI",IF(H210="","ISI_KOREKSI",IF(NOT(OR(H210="FLOOD",H210="EARTHQUAKE",H210="FIRE",H210="ACCIDENT",H210="NON_EVENT")),"CEK_LABEL",IF(AND(E210="KOREKSI",TRIM(G210)=""),"ISI_CATATAN","REVIEW_TERCATAT"))))))))</x:f>
        <x:v>REVIEW_TERCATAT</x:v>
      </x:c>
      <x:c r="J210" s="4" t="str">
        <x:v>Label dataset dan prediksi baseline sama; makna MVP belum direview. Kesepakatan keduanya belum membuktikan label final.</x:v>
      </x:c>
      <x:c r="K210" s="4" t="str">
        <x:v>NON_EVENT</x:v>
      </x:c>
      <x:c r="L210" s="14" t="n">
        <x:v>0.9785680174827576</x:v>
      </x:c>
    </x:row>
    <x:row r="211" ht="64" customHeight="1">
      <x:c r="A211" s="4" t="str">
        <x:v>GEM-01534</x:v>
      </x:c>
      <x:c r="B211" s="4" t="str">
        <x:v>gempa bumi dengan magnitudo ( m ) 3 7 mengguncang mamasa sulawesi barat pusat gempa berada di darat di sekitar kecamatan tabang</x:v>
      </x:c>
      <x:c r="C211" s="4" t="str">
        <x:v>EARTHQUAKE</x:v>
      </x:c>
      <x:c r="D211" s="4" t="str">
        <x:v>EARTHQUAKE</x:v>
      </x:c>
      <x:c r="E211" s="12" t="str">
        <x:v>SETUJU_USULAN</x:v>
      </x:c>
      <x:c r="F211" s="12" t="str"/>
      <x:c r="G211" s="12" t="str">
        <x:v>Narasi menyatakan kejadian gempa bumi yang terjadi atau telah terjadi. Label mengikuti isi kejadian, termasuk penanganan dan dampak yang disebut. R1,R4.</x:v>
      </x:c>
      <x:c r="H211" s="4" t="str">
        <x:f>IF(E211="SETUJU_USULAN",D211,IF(E211="KOREKSI",F211,""))</x:f>
        <x:v>EARTHQUAKE</x:v>
      </x:c>
      <x:c r="I211" s="4" t="str">
        <x:f>IF(E211="","BELUM_DIREVIEW",IF(E211="TUNDA","DITUNDA",IF(TRIM(Panduan!$B$5)="","ISI_REVIEWER",IF(AND(E211&lt;&gt;"SETUJU_USULAN",E211&lt;&gt;"KOREKSI"),"CEK_KEPUTUSAN",IF(AND(E211="SETUJU_USULAN",F211&lt;&gt;""),"HAPUS_KOREKSI",IF(H211="","ISI_KOREKSI",IF(NOT(OR(H211="FLOOD",H211="EARTHQUAKE",H211="FIRE",H211="ACCIDENT",H211="NON_EVENT")),"CEK_LABEL",IF(AND(E211="KOREKSI",TRIM(G211)=""),"ISI_CATATAN","REVIEW_TERCATAT"))))))))</x:f>
        <x:v>REVIEW_TERCATAT</x:v>
      </x:c>
      <x:c r="J211" s="4" t="str">
        <x:v>Label dataset dan prediksi baseline sama; makna MVP belum direview. Kesepakatan keduanya belum membuktikan label final.</x:v>
      </x:c>
      <x:c r="K211" s="4" t="str">
        <x:v>EARTHQUAKE</x:v>
      </x:c>
      <x:c r="L211" s="14" t="n">
        <x:v>0.9786639213562012</x:v>
      </x:c>
    </x:row>
    <x:row r="212" ht="64" customHeight="1">
      <x:c r="A212" s="4" t="str">
        <x:v>KEB-00561</x:v>
      </x:c>
      <x:c r="B212" s="4" t="str">
        <x:v>bupati gelar apel siaga hadapi kebakaran hutan dan lahan di kuningan</x:v>
      </x:c>
      <x:c r="C212" s="4" t="str">
        <x:v>NON_EVENT</x:v>
      </x:c>
      <x:c r="D212" s="4" t="str">
        <x:v>NON_EVENT</x:v>
      </x:c>
      <x:c r="E212" s="12" t="str">
        <x:v>SETUJU_USULAN</x:v>
      </x:c>
      <x:c r="F212" s="12" t="str"/>
      <x:c r="G212" s="12" t="str">
        <x:v>Apel siaga menghadapi karhutla merupakan kesiapsiagaan, tanpa klaim kebakaran terjadi. R3.</x:v>
      </x:c>
      <x:c r="H212" s="4" t="str">
        <x:f>IF(E212="SETUJU_USULAN",D212,IF(E212="KOREKSI",F212,""))</x:f>
        <x:v>NON_EVENT</x:v>
      </x:c>
      <x:c r="I212" s="4" t="str">
        <x:f>IF(E212="","BELUM_DIREVIEW",IF(E212="TUNDA","DITUNDA",IF(TRIM(Panduan!$B$5)="","ISI_REVIEWER",IF(AND(E212&lt;&gt;"SETUJU_USULAN",E212&lt;&gt;"KOREKSI"),"CEK_KEPUTUSAN",IF(AND(E212="SETUJU_USULAN",F212&lt;&gt;""),"HAPUS_KOREKSI",IF(H212="","ISI_KOREKSI",IF(NOT(OR(H212="FLOOD",H212="EARTHQUAKE",H212="FIRE",H212="ACCIDENT",H212="NON_EVENT")),"CEK_LABEL",IF(AND(E212="KOREKSI",TRIM(G212)=""),"ISI_CATATAN","REVIEW_TERCATAT"))))))))</x:f>
        <x:v>REVIEW_TERCATAT</x:v>
      </x:c>
      <x:c r="J212" s="4" t="str">
        <x:v>Label dataset dan prediksi baseline sama; makna MVP belum direview. Kesepakatan keduanya belum membuktikan label final.</x:v>
      </x:c>
      <x:c r="K212" s="4" t="str">
        <x:v>NON_EVENT</x:v>
      </x:c>
      <x:c r="L212" s="14" t="n">
        <x:v>0.9787315130233765</x:v>
      </x:c>
    </x:row>
    <x:row r="213" ht="64" customHeight="1">
      <x:c r="A213" s="4" t="str">
        <x:v>KEB-00885</x:v>
      </x:c>
      <x:c r="B213" s="4" t="str">
        <x:v>kebakaran hutan dan lahan di berbagai negara tahun 2020 diprediksi jadi yang terburuk selama 18 tahun terakhir , bagaimana diindonesia ?</x:v>
      </x:c>
      <x:c r="C213" s="4" t="str">
        <x:v>NON_EVENT</x:v>
      </x:c>
      <x:c r="D213" s="4" t="str">
        <x:v>NON_EVENT</x:v>
      </x:c>
      <x:c r="E213" s="12" t="str">
        <x:v>SETUJU_USULAN</x:v>
      </x:c>
      <x:c r="F213" s="12" t="str"/>
      <x:c r="G213" s="12" t="str">
        <x:v>Prediksi tingkat kebakaran global sepanjang 2020 merupakan rangkuman dan proyeksi umum. R3.</x:v>
      </x:c>
      <x:c r="H213" s="4" t="str">
        <x:f>IF(E213="SETUJU_USULAN",D213,IF(E213="KOREKSI",F213,""))</x:f>
        <x:v>NON_EVENT</x:v>
      </x:c>
      <x:c r="I213" s="4" t="str">
        <x:f>IF(E213="","BELUM_DIREVIEW",IF(E213="TUNDA","DITUNDA",IF(TRIM(Panduan!$B$5)="","ISI_REVIEWER",IF(AND(E213&lt;&gt;"SETUJU_USULAN",E213&lt;&gt;"KOREKSI"),"CEK_KEPUTUSAN",IF(AND(E213="SETUJU_USULAN",F213&lt;&gt;""),"HAPUS_KOREKSI",IF(H213="","ISI_KOREKSI",IF(NOT(OR(H213="FLOOD",H213="EARTHQUAKE",H213="FIRE",H213="ACCIDENT",H213="NON_EVENT")),"CEK_LABEL",IF(AND(E213="KOREKSI",TRIM(G213)=""),"ISI_CATATAN","REVIEW_TERCATAT"))))))))</x:f>
        <x:v>REVIEW_TERCATAT</x:v>
      </x:c>
      <x:c r="J213" s="4" t="str">
        <x:v>Label dataset dan prediksi baseline sama; makna MVP belum direview. Kesepakatan keduanya belum membuktikan label final.</x:v>
      </x:c>
      <x:c r="K213" s="4" t="str">
        <x:v>NON_EVENT</x:v>
      </x:c>
      <x:c r="L213" s="14" t="n">
        <x:v>0.9787997007369995</x:v>
      </x:c>
    </x:row>
    <x:row r="214" ht="64" customHeight="1">
      <x:c r="A214" s="4" t="str">
        <x:v>GEM-01414</x:v>
      </x:c>
      <x:c r="B214" s="4" t="str">
        <x:v>pusat gempa bumi berada di laut 275 kilometer timur laut maluku barat daya</x:v>
      </x:c>
      <x:c r="C214" s="4" t="str">
        <x:v>EARTHQUAKE</x:v>
      </x:c>
      <x:c r="D214" s="4" t="str">
        <x:v>EARTHQUAKE</x:v>
      </x:c>
      <x:c r="E214" s="12" t="str">
        <x:v>SETUJU_USULAN</x:v>
      </x:c>
      <x:c r="F214" s="12" t="str"/>
      <x:c r="G214" s="12" t="str">
        <x:v>Narasi menyatakan kejadian gempa bumi yang terjadi atau telah terjadi. Label mengikuti isi kejadian, termasuk penanganan dan dampak yang disebut. R1,R4.</x:v>
      </x:c>
      <x:c r="H214" s="4" t="str">
        <x:f>IF(E214="SETUJU_USULAN",D214,IF(E214="KOREKSI",F214,""))</x:f>
        <x:v>EARTHQUAKE</x:v>
      </x:c>
      <x:c r="I214" s="4" t="str">
        <x:f>IF(E214="","BELUM_DIREVIEW",IF(E214="TUNDA","DITUNDA",IF(TRIM(Panduan!$B$5)="","ISI_REVIEWER",IF(AND(E214&lt;&gt;"SETUJU_USULAN",E214&lt;&gt;"KOREKSI"),"CEK_KEPUTUSAN",IF(AND(E214="SETUJU_USULAN",F214&lt;&gt;""),"HAPUS_KOREKSI",IF(H214="","ISI_KOREKSI",IF(NOT(OR(H214="FLOOD",H214="EARTHQUAKE",H214="FIRE",H214="ACCIDENT",H214="NON_EVENT")),"CEK_LABEL",IF(AND(E214="KOREKSI",TRIM(G214)=""),"ISI_CATATAN","REVIEW_TERCATAT"))))))))</x:f>
        <x:v>REVIEW_TERCATAT</x:v>
      </x:c>
      <x:c r="J214" s="4" t="str">
        <x:v>Label dataset dan prediksi baseline sama; makna MVP belum direview. Kesepakatan keduanya belum membuktikan label final.</x:v>
      </x:c>
      <x:c r="K214" s="4" t="str">
        <x:v>EARTHQUAKE</x:v>
      </x:c>
      <x:c r="L214" s="14" t="n">
        <x:v>0.979081392288208</x:v>
      </x:c>
    </x:row>
    <x:row r="215" ht="66" customHeight="1">
      <x:c r="A215" s="4" t="str">
        <x:v>KEC-01246</x:v>
      </x:c>
      <x:c r="B215" s="4" t="str">
        <x:v>penelitian aaa foundation for traffic safety menunjukkan bahwa visual distracted driving ( semisal melihat obyek selain jalan ) berkontribusi terhadap 80 % kecelakaan di tol seyogyanya tol steril dari display2 selain rambu lalu lintas dan petunjuk arah</x:v>
      </x:c>
      <x:c r="C215" s="4" t="str">
        <x:v>NON_EVENT</x:v>
      </x:c>
      <x:c r="D215" s="4" t="str">
        <x:v>NON_EVENT</x:v>
      </x:c>
      <x:c r="E215" s="12" t="str">
        <x:v>SETUJU_USULAN</x:v>
      </x:c>
      <x:c r="F215" s="12" t="str"/>
      <x:c r="G215" s="12" t="str">
        <x:v>Persentase penyebab kecelakaan dari penelitian merupakan statistik umum, bukan satu kecelakaan. R3.</x:v>
      </x:c>
      <x:c r="H215" s="4" t="str">
        <x:f>IF(E215="SETUJU_USULAN",D215,IF(E215="KOREKSI",F215,""))</x:f>
        <x:v>NON_EVENT</x:v>
      </x:c>
      <x:c r="I215" s="4" t="str">
        <x:f>IF(E215="","BELUM_DIREVIEW",IF(E215="TUNDA","DITUNDA",IF(TRIM(Panduan!$B$5)="","ISI_REVIEWER",IF(AND(E215&lt;&gt;"SETUJU_USULAN",E215&lt;&gt;"KOREKSI"),"CEK_KEPUTUSAN",IF(AND(E215="SETUJU_USULAN",F215&lt;&gt;""),"HAPUS_KOREKSI",IF(H215="","ISI_KOREKSI",IF(NOT(OR(H215="FLOOD",H215="EARTHQUAKE",H215="FIRE",H215="ACCIDENT",H215="NON_EVENT")),"CEK_LABEL",IF(AND(E215="KOREKSI",TRIM(G215)=""),"ISI_CATATAN","REVIEW_TERCATAT"))))))))</x:f>
        <x:v>REVIEW_TERCATAT</x:v>
      </x:c>
      <x:c r="J215" s="4" t="str">
        <x:v>Label dataset dan prediksi baseline sama; makna MVP belum direview. Kesepakatan keduanya belum membuktikan label final.</x:v>
      </x:c>
      <x:c r="K215" s="4" t="str">
        <x:v>NON_EVENT</x:v>
      </x:c>
      <x:c r="L215" s="14" t="n">
        <x:v>0.9791467785835266</x:v>
      </x:c>
    </x:row>
    <x:row r="216" ht="64" customHeight="1">
      <x:c r="A216" s="4" t="str">
        <x:v>GEM-01508</x:v>
      </x:c>
      <x:c r="B216" s="4" t="str">
        <x:v>gempa bumi guncang 2 daerah di indonesia 4 2 sr di tasikmalaya bmkg : terasa di pangandaran : gempa bumi guncang 2 daerah di indonesia 4 2 sr di tasikmalaya bmkg : terasa di pangandaran</x:v>
      </x:c>
      <x:c r="C216" s="4" t="str">
        <x:v>EARTHQUAKE</x:v>
      </x:c>
      <x:c r="D216" s="4" t="str">
        <x:v>EARTHQUAKE</x:v>
      </x:c>
      <x:c r="E216" s="12" t="str">
        <x:v>SETUJU_USULAN</x:v>
      </x:c>
      <x:c r="F216" s="12" t="str"/>
      <x:c r="G216" s="12" t="str">
        <x:v>Narasi menyatakan kejadian gempa bumi yang terjadi atau telah terjadi. Label mengikuti isi kejadian, termasuk penanganan dan dampak yang disebut. R1,R4.</x:v>
      </x:c>
      <x:c r="H216" s="4" t="str">
        <x:f>IF(E216="SETUJU_USULAN",D216,IF(E216="KOREKSI",F216,""))</x:f>
        <x:v>EARTHQUAKE</x:v>
      </x:c>
      <x:c r="I216" s="4" t="str">
        <x:f>IF(E216="","BELUM_DIREVIEW",IF(E216="TUNDA","DITUNDA",IF(TRIM(Panduan!$B$5)="","ISI_REVIEWER",IF(AND(E216&lt;&gt;"SETUJU_USULAN",E216&lt;&gt;"KOREKSI"),"CEK_KEPUTUSAN",IF(AND(E216="SETUJU_USULAN",F216&lt;&gt;""),"HAPUS_KOREKSI",IF(H216="","ISI_KOREKSI",IF(NOT(OR(H216="FLOOD",H216="EARTHQUAKE",H216="FIRE",H216="ACCIDENT",H216="NON_EVENT")),"CEK_LABEL",IF(AND(E216="KOREKSI",TRIM(G216)=""),"ISI_CATATAN","REVIEW_TERCATAT"))))))))</x:f>
        <x:v>REVIEW_TERCATAT</x:v>
      </x:c>
      <x:c r="J216" s="4" t="str">
        <x:v>Label dataset dan prediksi baseline sama; makna MVP belum direview. Kesepakatan keduanya belum membuktikan label final.</x:v>
      </x:c>
      <x:c r="K216" s="4" t="str">
        <x:v>EARTHQUAKE</x:v>
      </x:c>
      <x:c r="L216" s="14" t="n">
        <x:v>0.979500412940979</x:v>
      </x:c>
    </x:row>
    <x:row r="217" ht="64" customHeight="1">
      <x:c r="A217" s="4" t="str">
        <x:v>GEM-01265</x:v>
      </x:c>
      <x:c r="B217" s="4" t="str">
        <x:v>gempa bumi hari ini 3 8 sr guncang luwu timur sulsel 4 8 sr di poso terkait tsunami</x:v>
      </x:c>
      <x:c r="C217" s="4" t="str">
        <x:v>EARTHQUAKE</x:v>
      </x:c>
      <x:c r="D217" s="4" t="str">
        <x:v>EARTHQUAKE</x:v>
      </x:c>
      <x:c r="E217" s="12" t="str">
        <x:v>SETUJU_USULAN</x:v>
      </x:c>
      <x:c r="F217" s="12" t="str"/>
      <x:c r="G217" s="12" t="str">
        <x:v>Narasi menyatakan kejadian gempa bumi yang terjadi atau telah terjadi. Label mengikuti isi kejadian, termasuk penanganan dan dampak yang disebut. R1,R4.</x:v>
      </x:c>
      <x:c r="H217" s="4" t="str">
        <x:f>IF(E217="SETUJU_USULAN",D217,IF(E217="KOREKSI",F217,""))</x:f>
        <x:v>EARTHQUAKE</x:v>
      </x:c>
      <x:c r="I217" s="4" t="str">
        <x:f>IF(E217="","BELUM_DIREVIEW",IF(E217="TUNDA","DITUNDA",IF(TRIM(Panduan!$B$5)="","ISI_REVIEWER",IF(AND(E217&lt;&gt;"SETUJU_USULAN",E217&lt;&gt;"KOREKSI"),"CEK_KEPUTUSAN",IF(AND(E217="SETUJU_USULAN",F217&lt;&gt;""),"HAPUS_KOREKSI",IF(H217="","ISI_KOREKSI",IF(NOT(OR(H217="FLOOD",H217="EARTHQUAKE",H217="FIRE",H217="ACCIDENT",H217="NON_EVENT")),"CEK_LABEL",IF(AND(E217="KOREKSI",TRIM(G217)=""),"ISI_CATATAN","REVIEW_TERCATAT"))))))))</x:f>
        <x:v>REVIEW_TERCATAT</x:v>
      </x:c>
      <x:c r="J217" s="4" t="str">
        <x:v>Label dataset dan prediksi baseline sama; makna MVP belum direview. Kesepakatan keduanya belum membuktikan label final.</x:v>
      </x:c>
      <x:c r="K217" s="4" t="str">
        <x:v>EARTHQUAKE</x:v>
      </x:c>
      <x:c r="L217" s="14" t="n">
        <x:v>0.979566752910614</x:v>
      </x:c>
    </x:row>
    <x:row r="218" ht="64" customHeight="1">
      <x:c r="A218" s="4" t="str">
        <x:v>BAN-01628</x:v>
      </x:c>
      <x:c r="B218" s="4" t="str">
        <x:v>cegah banjir bandang jokowi akan bangun tanggul di sentani</x:v>
      </x:c>
      <x:c r="C218" s="4" t="str">
        <x:v>NON_EVENT</x:v>
      </x:c>
      <x:c r="D218" s="4" t="str">
        <x:v>NON_EVENT</x:v>
      </x:c>
      <x:c r="E218" s="12" t="str">
        <x:v>SETUJU_USULAN</x:v>
      </x:c>
      <x:c r="F218" s="12" t="str"/>
      <x:c r="G218" s="12" t="str">
        <x:v>Pembangunan tanggul disebut untuk mencegah banjir bandang. Tidak ada klaim kejadian dalam kalimat ini. R3.</x:v>
      </x:c>
      <x:c r="H218" s="4" t="str">
        <x:f>IF(E218="SETUJU_USULAN",D218,IF(E218="KOREKSI",F218,""))</x:f>
        <x:v>NON_EVENT</x:v>
      </x:c>
      <x:c r="I218" s="4" t="str">
        <x:f>IF(E218="","BELUM_DIREVIEW",IF(E218="TUNDA","DITUNDA",IF(TRIM(Panduan!$B$5)="","ISI_REVIEWER",IF(AND(E218&lt;&gt;"SETUJU_USULAN",E218&lt;&gt;"KOREKSI"),"CEK_KEPUTUSAN",IF(AND(E218="SETUJU_USULAN",F218&lt;&gt;""),"HAPUS_KOREKSI",IF(H218="","ISI_KOREKSI",IF(NOT(OR(H218="FLOOD",H218="EARTHQUAKE",H218="FIRE",H218="ACCIDENT",H218="NON_EVENT")),"CEK_LABEL",IF(AND(E218="KOREKSI",TRIM(G218)=""),"ISI_CATATAN","REVIEW_TERCATAT"))))))))</x:f>
        <x:v>REVIEW_TERCATAT</x:v>
      </x:c>
      <x:c r="J218" s="4" t="str">
        <x:v>Label dataset dan prediksi baseline sama; makna MVP belum direview. Kesepakatan keduanya belum membuktikan label final.</x:v>
      </x:c>
      <x:c r="K218" s="4" t="str">
        <x:v>NON_EVENT</x:v>
      </x:c>
      <x:c r="L218" s="14" t="n">
        <x:v>0.9796081781387329</x:v>
      </x:c>
    </x:row>
    <x:row r="219" ht="64" customHeight="1">
      <x:c r="A219" s="4" t="str">
        <x:v>GEM-01285</x:v>
      </x:c>
      <x:c r="B219" s="4" t="str">
        <x:v>kejadian gempa bumi di selatan sumatera indonesia [ 4 nov 2018 ]</x:v>
      </x:c>
      <x:c r="C219" s="4" t="str">
        <x:v>EARTHQUAKE</x:v>
      </x:c>
      <x:c r="D219" s="4" t="str">
        <x:v>EARTHQUAKE</x:v>
      </x:c>
      <x:c r="E219" s="12" t="str">
        <x:v>SETUJU_USULAN</x:v>
      </x:c>
      <x:c r="F219" s="12" t="str"/>
      <x:c r="G219" s="12" t="str">
        <x:v>Narasi menyatakan kejadian gempa bumi yang terjadi atau telah terjadi. Label mengikuti isi kejadian, termasuk penanganan dan dampak yang disebut. R1,R4.</x:v>
      </x:c>
      <x:c r="H219" s="4" t="str">
        <x:f>IF(E219="SETUJU_USULAN",D219,IF(E219="KOREKSI",F219,""))</x:f>
        <x:v>EARTHQUAKE</x:v>
      </x:c>
      <x:c r="I219" s="4" t="str">
        <x:f>IF(E219="","BELUM_DIREVIEW",IF(E219="TUNDA","DITUNDA",IF(TRIM(Panduan!$B$5)="","ISI_REVIEWER",IF(AND(E219&lt;&gt;"SETUJU_USULAN",E219&lt;&gt;"KOREKSI"),"CEK_KEPUTUSAN",IF(AND(E219="SETUJU_USULAN",F219&lt;&gt;""),"HAPUS_KOREKSI",IF(H219="","ISI_KOREKSI",IF(NOT(OR(H219="FLOOD",H219="EARTHQUAKE",H219="FIRE",H219="ACCIDENT",H219="NON_EVENT")),"CEK_LABEL",IF(AND(E219="KOREKSI",TRIM(G219)=""),"ISI_CATATAN","REVIEW_TERCATAT"))))))))</x:f>
        <x:v>REVIEW_TERCATAT</x:v>
      </x:c>
      <x:c r="J219" s="4" t="str">
        <x:v>Label dataset dan prediksi baseline sama; makna MVP belum direview. Kesepakatan keduanya belum membuktikan label final.</x:v>
      </x:c>
      <x:c r="K219" s="4" t="str">
        <x:v>EARTHQUAKE</x:v>
      </x:c>
      <x:c r="L219" s="14" t="n">
        <x:v>0.9796524047851562</x:v>
      </x:c>
    </x:row>
    <x:row r="220" ht="66" customHeight="1">
      <x:c r="A220" s="4" t="str">
        <x:v>BAN-01216</x:v>
      </x:c>
      <x:c r="B220" s="4" t="str">
        <x:v>di bogor sedang dibangun dua bendungan untuk ngendalikan banjir jakarta bendungan sukamahi dan ciawi dari situ dialirkan bertahap ke katulampa untuk diteruskan ke bkt banjir di dki berkurang buat pak enggak ada yang sulit jrengg saja yang oleh rezim lain enggak terpikirkan</x:v>
      </x:c>
      <x:c r="C220" s="4" t="str">
        <x:v>NON_EVENT</x:v>
      </x:c>
      <x:c r="D220" s="4" t="str">
        <x:v>NON_EVENT</x:v>
      </x:c>
      <x:c r="E220" s="12" t="str">
        <x:v>SETUJU_USULAN</x:v>
      </x:c>
      <x:c r="F220" s="12" t="str"/>
      <x:c r="G220" s="12" t="str">
        <x:v>Pembahasan bendungan dan pengendalian banjir merupakan kebijakan umum, tanpa episode banjir tertentu. R3.</x:v>
      </x:c>
      <x:c r="H220" s="4" t="str">
        <x:f>IF(E220="SETUJU_USULAN",D220,IF(E220="KOREKSI",F220,""))</x:f>
        <x:v>NON_EVENT</x:v>
      </x:c>
      <x:c r="I220" s="4" t="str">
        <x:f>IF(E220="","BELUM_DIREVIEW",IF(E220="TUNDA","DITUNDA",IF(TRIM(Panduan!$B$5)="","ISI_REVIEWER",IF(AND(E220&lt;&gt;"SETUJU_USULAN",E220&lt;&gt;"KOREKSI"),"CEK_KEPUTUSAN",IF(AND(E220="SETUJU_USULAN",F220&lt;&gt;""),"HAPUS_KOREKSI",IF(H220="","ISI_KOREKSI",IF(NOT(OR(H220="FLOOD",H220="EARTHQUAKE",H220="FIRE",H220="ACCIDENT",H220="NON_EVENT")),"CEK_LABEL",IF(AND(E220="KOREKSI",TRIM(G220)=""),"ISI_CATATAN","REVIEW_TERCATAT"))))))))</x:f>
        <x:v>REVIEW_TERCATAT</x:v>
      </x:c>
      <x:c r="J220" s="4" t="str">
        <x:v>Label dataset dan prediksi baseline sama; makna MVP belum direview. Kesepakatan keduanya belum membuktikan label final.</x:v>
      </x:c>
      <x:c r="K220" s="4" t="str">
        <x:v>NON_EVENT</x:v>
      </x:c>
      <x:c r="L220" s="14" t="n">
        <x:v>0.9798048734664917</x:v>
      </x:c>
    </x:row>
    <x:row r="221" ht="66" customHeight="1">
      <x:c r="A221" s="4" t="str">
        <x:v>GEM-01591</x:v>
      </x:c>
      <x:c r="B221" s="4" t="str">
        <x:v>gempa bumi bermagnitud 61 pada skala richter menggoncang wilayah papua barat di indonesia menurut badan meteorologi klimatologi dan geofisika indonesia ( bmkg ) gempa itu terjadi pukul 0:10:03 pagi waktu indonesia barat berpusat di 55km di tenggara manokwarisel papua barat</x:v>
      </x:c>
      <x:c r="C221" s="4" t="str">
        <x:v>EARTHQUAKE</x:v>
      </x:c>
      <x:c r="D221" s="4" t="str">
        <x:v>EARTHQUAKE</x:v>
      </x:c>
      <x:c r="E221" s="12" t="str">
        <x:v>SETUJU_USULAN</x:v>
      </x:c>
      <x:c r="F221" s="12" t="str"/>
      <x:c r="G221" s="12" t="str">
        <x:v>Narasi menyatakan kejadian gempa bumi yang terjadi atau telah terjadi. Label mengikuti isi kejadian, termasuk penanganan dan dampak yang disebut. R1,R4.</x:v>
      </x:c>
      <x:c r="H221" s="4" t="str">
        <x:f>IF(E221="SETUJU_USULAN",D221,IF(E221="KOREKSI",F221,""))</x:f>
        <x:v>EARTHQUAKE</x:v>
      </x:c>
      <x:c r="I221" s="4" t="str">
        <x:f>IF(E221="","BELUM_DIREVIEW",IF(E221="TUNDA","DITUNDA",IF(TRIM(Panduan!$B$5)="","ISI_REVIEWER",IF(AND(E221&lt;&gt;"SETUJU_USULAN",E221&lt;&gt;"KOREKSI"),"CEK_KEPUTUSAN",IF(AND(E221="SETUJU_USULAN",F221&lt;&gt;""),"HAPUS_KOREKSI",IF(H221="","ISI_KOREKSI",IF(NOT(OR(H221="FLOOD",H221="EARTHQUAKE",H221="FIRE",H221="ACCIDENT",H221="NON_EVENT")),"CEK_LABEL",IF(AND(E221="KOREKSI",TRIM(G221)=""),"ISI_CATATAN","REVIEW_TERCATAT"))))))))</x:f>
        <x:v>REVIEW_TERCATAT</x:v>
      </x:c>
      <x:c r="J221" s="4" t="str">
        <x:v>Label dataset dan prediksi baseline sama; makna MVP belum direview. Kesepakatan keduanya belum membuktikan label final.</x:v>
      </x:c>
      <x:c r="K221" s="4" t="str">
        <x:v>EARTHQUAKE</x:v>
      </x:c>
      <x:c r="L221" s="14" t="n">
        <x:v>0.9798243045806885</x:v>
      </x:c>
    </x:row>
    <x:row r="222" ht="64" customHeight="1">
      <x:c r="A222" s="4" t="str">
        <x:v>BAN-01644</x:v>
      </x:c>
      <x:c r="B222" s="4" t="str">
        <x:v>banjir sudah separah ini di jakarta gubernurnya juga masih santun dan masih sabar belum mencuit soal penderitaan warga pertanyaan saya : mengapa jadi tidak sekritis zaman gubernur ? apakah aa sudah lelah ?</x:v>
      </x:c>
      <x:c r="C222" s="4" t="str">
        <x:v>NON_EVENT</x:v>
      </x:c>
      <x:c r="D222" s="4" t="str">
        <x:v>NON_EVENT</x:v>
      </x:c>
      <x:c r="E222" s="12" t="str">
        <x:v>KOREKSI</x:v>
      </x:c>
      <x:c r="F222" s="12" t="str">
        <x:v>FLOOD</x:v>
      </x:c>
      <x:c r="G222" s="12" t="str">
        <x:v>Banjir di Jakarta dinyatakan sudah parah dan menyengsarakan warga. Kritik terhadap gubernur tidak menghapus klaim kejadian. R1,R5.</x:v>
      </x:c>
      <x:c r="H222" s="4" t="str">
        <x:f>IF(E222="SETUJU_USULAN",D222,IF(E222="KOREKSI",F222,""))</x:f>
        <x:v>FLOOD</x:v>
      </x:c>
      <x:c r="I222" s="4" t="str">
        <x:f>IF(E222="","BELUM_DIREVIEW",IF(E222="TUNDA","DITUNDA",IF(TRIM(Panduan!$B$5)="","ISI_REVIEWER",IF(AND(E222&lt;&gt;"SETUJU_USULAN",E222&lt;&gt;"KOREKSI"),"CEK_KEPUTUSAN",IF(AND(E222="SETUJU_USULAN",F222&lt;&gt;""),"HAPUS_KOREKSI",IF(H222="","ISI_KOREKSI",IF(NOT(OR(H222="FLOOD",H222="EARTHQUAKE",H222="FIRE",H222="ACCIDENT",H222="NON_EVENT")),"CEK_LABEL",IF(AND(E222="KOREKSI",TRIM(G222)=""),"ISI_CATATAN","REVIEW_TERCATAT"))))))))</x:f>
        <x:v>REVIEW_TERCATAT</x:v>
      </x:c>
      <x:c r="J222" s="4" t="str">
        <x:v>Label dataset dan prediksi baseline sama; makna MVP belum direview. Kesepakatan keduanya belum membuktikan label final.</x:v>
      </x:c>
      <x:c r="K222" s="4" t="str">
        <x:v>NON_EVENT</x:v>
      </x:c>
      <x:c r="L222" s="14" t="n">
        <x:v>0.9798708558082581</x:v>
      </x:c>
    </x:row>
    <x:row r="223" ht="64" customHeight="1">
      <x:c r="A223" s="4" t="str">
        <x:v>GEM-01612</x:v>
      </x:c>
      <x:c r="B223" s="4" t="str">
        <x:v>gempa bumi dengan kekuatan 71 pada skala richter melanda wilayah governor generoso dan davao oriental di mindanao selatan filipina hari ini via sinaronline</x:v>
      </x:c>
      <x:c r="C223" s="4" t="str">
        <x:v>EARTHQUAKE</x:v>
      </x:c>
      <x:c r="D223" s="4" t="str">
        <x:v>EARTHQUAKE</x:v>
      </x:c>
      <x:c r="E223" s="12" t="str">
        <x:v>SETUJU_USULAN</x:v>
      </x:c>
      <x:c r="F223" s="12" t="str"/>
      <x:c r="G223" s="12" t="str">
        <x:v>Narasi menyatakan kejadian gempa bumi yang terjadi atau telah terjadi. Label mengikuti isi kejadian, termasuk penanganan dan dampak yang disebut. R1,R4.</x:v>
      </x:c>
      <x:c r="H223" s="4" t="str">
        <x:f>IF(E223="SETUJU_USULAN",D223,IF(E223="KOREKSI",F223,""))</x:f>
        <x:v>EARTHQUAKE</x:v>
      </x:c>
      <x:c r="I223" s="4" t="str">
        <x:f>IF(E223="","BELUM_DIREVIEW",IF(E223="TUNDA","DITUNDA",IF(TRIM(Panduan!$B$5)="","ISI_REVIEWER",IF(AND(E223&lt;&gt;"SETUJU_USULAN",E223&lt;&gt;"KOREKSI"),"CEK_KEPUTUSAN",IF(AND(E223="SETUJU_USULAN",F223&lt;&gt;""),"HAPUS_KOREKSI",IF(H223="","ISI_KOREKSI",IF(NOT(OR(H223="FLOOD",H223="EARTHQUAKE",H223="FIRE",H223="ACCIDENT",H223="NON_EVENT")),"CEK_LABEL",IF(AND(E223="KOREKSI",TRIM(G223)=""),"ISI_CATATAN","REVIEW_TERCATAT"))))))))</x:f>
        <x:v>REVIEW_TERCATAT</x:v>
      </x:c>
      <x:c r="J223" s="4" t="str">
        <x:v>Label dataset dan prediksi baseline sama; makna MVP belum direview. Kesepakatan keduanya belum membuktikan label final.</x:v>
      </x:c>
      <x:c r="K223" s="4" t="str">
        <x:v>EARTHQUAKE</x:v>
      </x:c>
      <x:c r="L223" s="14" t="n">
        <x:v>0.9799497723579407</x:v>
      </x:c>
    </x:row>
    <x:row r="224" ht="64" customHeight="1">
      <x:c r="A224" s="4" t="str">
        <x:v>BAN-01707</x:v>
      </x:c>
      <x:c r="B224" s="4" t="str">
        <x:v>lawatan tapak bersama yb teratai ahli majlis mpaj dan ke lokasi punca kejadian banjir lumpur di ampang</x:v>
      </x:c>
      <x:c r="C224" s="4" t="str">
        <x:v>NON_EVENT</x:v>
      </x:c>
      <x:c r="D224" s="4" t="str">
        <x:v>NON_EVENT</x:v>
      </x:c>
      <x:c r="E224" s="12" t="str">
        <x:v>KOREKSI</x:v>
      </x:c>
      <x:c r="F224" s="12" t="str">
        <x:v>FLOOD</x:v>
      </x:c>
      <x:c r="G224" s="12" t="str">
        <x:v>Lawatan dilakukan ke lokasi penyebab kejadian banjir lumpur di Ampang. Kunjungan merujuk kejadian tertentu. R1,R5.</x:v>
      </x:c>
      <x:c r="H224" s="4" t="str">
        <x:f>IF(E224="SETUJU_USULAN",D224,IF(E224="KOREKSI",F224,""))</x:f>
        <x:v>FLOOD</x:v>
      </x:c>
      <x:c r="I224" s="4" t="str">
        <x:f>IF(E224="","BELUM_DIREVIEW",IF(E224="TUNDA","DITUNDA",IF(TRIM(Panduan!$B$5)="","ISI_REVIEWER",IF(AND(E224&lt;&gt;"SETUJU_USULAN",E224&lt;&gt;"KOREKSI"),"CEK_KEPUTUSAN",IF(AND(E224="SETUJU_USULAN",F224&lt;&gt;""),"HAPUS_KOREKSI",IF(H224="","ISI_KOREKSI",IF(NOT(OR(H224="FLOOD",H224="EARTHQUAKE",H224="FIRE",H224="ACCIDENT",H224="NON_EVENT")),"CEK_LABEL",IF(AND(E224="KOREKSI",TRIM(G224)=""),"ISI_CATATAN","REVIEW_TERCATAT"))))))))</x:f>
        <x:v>REVIEW_TERCATAT</x:v>
      </x:c>
      <x:c r="J224" s="4" t="str">
        <x:v>Label dataset dan prediksi baseline sama; makna MVP belum direview. Kesepakatan keduanya belum membuktikan label final.</x:v>
      </x:c>
      <x:c r="K224" s="4" t="str">
        <x:v>NON_EVENT</x:v>
      </x:c>
      <x:c r="L224" s="14" t="n">
        <x:v>0.9799984097480774</x:v>
      </x:c>
    </x:row>
    <x:row r="225" ht="64" customHeight="1">
      <x:c r="A225" s="4" t="str">
        <x:v>GEM-01442</x:v>
      </x:c>
      <x:c r="B225" s="4" t="str">
        <x:v>sih bapak dengan sigap selamatkan anak balitanya saat gempa bumi 70 sr di anchorage alaska 30/11/2018 ( viralhog youtube 1/12/2018 )</x:v>
      </x:c>
      <x:c r="C225" s="4" t="str">
        <x:v>NON_EVENT</x:v>
      </x:c>
      <x:c r="D225" s="4" t="str">
        <x:v>NON_EVENT</x:v>
      </x:c>
      <x:c r="E225" s="12" t="str">
        <x:v>KOREKSI</x:v>
      </x:c>
      <x:c r="F225" s="12" t="str">
        <x:v>EARTHQUAKE</x:v>
      </x:c>
      <x:c r="G225" s="12" t="str">
        <x:v>Teks menyatakan penyelamatan balita saat gempa Anchorage, Alaska pada 30/11/2018. Lokasi luar negeri dan konteks video tidak menghapus klaim teks. R1,R4,R5,R6.</x:v>
      </x:c>
      <x:c r="H225" s="4" t="str">
        <x:f>IF(E225="SETUJU_USULAN",D225,IF(E225="KOREKSI",F225,""))</x:f>
        <x:v>EARTHQUAKE</x:v>
      </x:c>
      <x:c r="I225" s="4" t="str">
        <x:f>IF(E225="","BELUM_DIREVIEW",IF(E225="TUNDA","DITUNDA",IF(TRIM(Panduan!$B$5)="","ISI_REVIEWER",IF(AND(E225&lt;&gt;"SETUJU_USULAN",E225&lt;&gt;"KOREKSI"),"CEK_KEPUTUSAN",IF(AND(E225="SETUJU_USULAN",F225&lt;&gt;""),"HAPUS_KOREKSI",IF(H225="","ISI_KOREKSI",IF(NOT(OR(H225="FLOOD",H225="EARTHQUAKE",H225="FIRE",H225="ACCIDENT",H225="NON_EVENT")),"CEK_LABEL",IF(AND(E225="KOREKSI",TRIM(G225)=""),"ISI_CATATAN","REVIEW_TERCATAT"))))))))</x:f>
        <x:v>REVIEW_TERCATAT</x:v>
      </x:c>
      <x:c r="J225" s="4" t="str">
        <x:v>Label dataset dan prediksi baseline sama; makna MVP belum direview. Kesepakatan keduanya belum membuktikan label final.</x:v>
      </x:c>
      <x:c r="K225" s="4" t="str">
        <x:v>NON_EVENT</x:v>
      </x:c>
      <x:c r="L225" s="14" t="n">
        <x:v>0.9800220131874084</x:v>
      </x:c>
    </x:row>
    <x:row r="226" ht="64" customHeight="1">
      <x:c r="A226" s="4" t="str">
        <x:v>BAN-01571</x:v>
      </x:c>
      <x:c r="B226" s="4" t="str">
        <x:v>yang di pikirin pas tbtb turun hujan : - jalanan macet - banjir - basah kuyup - kenangan - baju favorit yang seminggu di pakai 8 kali belum di angkat</x:v>
      </x:c>
      <x:c r="C226" s="4" t="str">
        <x:v>NON_EVENT</x:v>
      </x:c>
      <x:c r="D226" s="4" t="str">
        <x:v>NON_EVENT</x:v>
      </x:c>
      <x:c r="E226" s="12" t="str">
        <x:v>SETUJU_USULAN</x:v>
      </x:c>
      <x:c r="F226" s="12" t="str"/>
      <x:c r="G226" s="12" t="str">
        <x:v>Daftar hal yang dipikirkan saat hujan menyebut banjir sebagai kemungkinan, bukan laporan kejadian. R3.</x:v>
      </x:c>
      <x:c r="H226" s="4" t="str">
        <x:f>IF(E226="SETUJU_USULAN",D226,IF(E226="KOREKSI",F226,""))</x:f>
        <x:v>NON_EVENT</x:v>
      </x:c>
      <x:c r="I226" s="4" t="str">
        <x:f>IF(E226="","BELUM_DIREVIEW",IF(E226="TUNDA","DITUNDA",IF(TRIM(Panduan!$B$5)="","ISI_REVIEWER",IF(AND(E226&lt;&gt;"SETUJU_USULAN",E226&lt;&gt;"KOREKSI"),"CEK_KEPUTUSAN",IF(AND(E226="SETUJU_USULAN",F226&lt;&gt;""),"HAPUS_KOREKSI",IF(H226="","ISI_KOREKSI",IF(NOT(OR(H226="FLOOD",H226="EARTHQUAKE",H226="FIRE",H226="ACCIDENT",H226="NON_EVENT")),"CEK_LABEL",IF(AND(E226="KOREKSI",TRIM(G226)=""),"ISI_CATATAN","REVIEW_TERCATAT"))))))))</x:f>
        <x:v>REVIEW_TERCATAT</x:v>
      </x:c>
      <x:c r="J226" s="4" t="str">
        <x:v>Label dataset dan prediksi baseline sama; makna MVP belum direview. Kesepakatan keduanya belum membuktikan label final.</x:v>
      </x:c>
      <x:c r="K226" s="4" t="str">
        <x:v>NON_EVENT</x:v>
      </x:c>
      <x:c r="L226" s="14" t="n">
        <x:v>0.9801405072212219</x:v>
      </x:c>
    </x:row>
    <x:row r="227" ht="66" customHeight="1">
      <x:c r="A227" s="4" t="str">
        <x:v>GEM-01388</x:v>
      </x:c>
      <x:c r="B227" s="4" t="str">
        <x:v>ii- sistem pengangkutan terputus - pergerakan tektonik boleh menyebabkn sistem pengangkutan seperti jalan raya terputus akibat menerima gegaran gempa bumi contohnya gempa bumi yang berlaku di sulawesi telah merosakkn struktur jalan raya &amp; berlaku rekahan</x:v>
      </x:c>
      <x:c r="C227" s="4" t="str">
        <x:v>NON_EVENT</x:v>
      </x:c>
      <x:c r="D227" s="4" t="str">
        <x:v>NON_EVENT</x:v>
      </x:c>
      <x:c r="E227" s="12" t="str">
        <x:v>KOREKSI</x:v>
      </x:c>
      <x:c r="F227" s="12" t="str">
        <x:v>EARTHQUAKE</x:v>
      </x:c>
      <x:c r="G227" s="12" t="str">
        <x:v>Penjelasan pendidikan menyertakan contoh gempa yang berlaku di Sulawesi dan merusak jalan. Klaim kejadian konkret di dalam contoh tetap dinilai. R1,R5.</x:v>
      </x:c>
      <x:c r="H227" s="4" t="str">
        <x:f>IF(E227="SETUJU_USULAN",D227,IF(E227="KOREKSI",F227,""))</x:f>
        <x:v>EARTHQUAKE</x:v>
      </x:c>
      <x:c r="I227" s="4" t="str">
        <x:f>IF(E227="","BELUM_DIREVIEW",IF(E227="TUNDA","DITUNDA",IF(TRIM(Panduan!$B$5)="","ISI_REVIEWER",IF(AND(E227&lt;&gt;"SETUJU_USULAN",E227&lt;&gt;"KOREKSI"),"CEK_KEPUTUSAN",IF(AND(E227="SETUJU_USULAN",F227&lt;&gt;""),"HAPUS_KOREKSI",IF(H227="","ISI_KOREKSI",IF(NOT(OR(H227="FLOOD",H227="EARTHQUAKE",H227="FIRE",H227="ACCIDENT",H227="NON_EVENT")),"CEK_LABEL",IF(AND(E227="KOREKSI",TRIM(G227)=""),"ISI_CATATAN","REVIEW_TERCATAT"))))))))</x:f>
        <x:v>REVIEW_TERCATAT</x:v>
      </x:c>
      <x:c r="J227" s="4" t="str">
        <x:v>Label dataset dan prediksi baseline sama; makna MVP belum direview. Kesepakatan keduanya belum membuktikan label final.</x:v>
      </x:c>
      <x:c r="K227" s="4" t="str">
        <x:v>NON_EVENT</x:v>
      </x:c>
      <x:c r="L227" s="14" t="n">
        <x:v>0.9801670908927917</x:v>
      </x:c>
    </x:row>
    <x:row r="228" ht="64" customHeight="1">
      <x:c r="A228" s="4" t="str">
        <x:v>GEM-01642</x:v>
      </x:c>
      <x:c r="B228" s="4" t="str">
        <x:v>gempa bumi magnitudo ( m ) 5 terjadi di ntt pusat gempa berada di laut 238 kilometer dari pulau sumba tidak berpotensi tsunami `` kata badan meteorologi klimatologi dan geofisika ( bmkg ) dalam keterangan kamis ( 3/1/2019 )</x:v>
      </x:c>
      <x:c r="C228" s="4" t="str">
        <x:v>EARTHQUAKE</x:v>
      </x:c>
      <x:c r="D228" s="4" t="str">
        <x:v>EARTHQUAKE</x:v>
      </x:c>
      <x:c r="E228" s="12" t="str">
        <x:v>SETUJU_USULAN</x:v>
      </x:c>
      <x:c r="F228" s="12" t="str"/>
      <x:c r="G228" s="12" t="str">
        <x:v>Narasi menyatakan kejadian gempa bumi yang terjadi atau telah terjadi. Label mengikuti isi kejadian, termasuk penanganan dan dampak yang disebut. R1,R4.</x:v>
      </x:c>
      <x:c r="H228" s="4" t="str">
        <x:f>IF(E228="SETUJU_USULAN",D228,IF(E228="KOREKSI",F228,""))</x:f>
        <x:v>EARTHQUAKE</x:v>
      </x:c>
      <x:c r="I228" s="4" t="str">
        <x:f>IF(E228="","BELUM_DIREVIEW",IF(E228="TUNDA","DITUNDA",IF(TRIM(Panduan!$B$5)="","ISI_REVIEWER",IF(AND(E228&lt;&gt;"SETUJU_USULAN",E228&lt;&gt;"KOREKSI"),"CEK_KEPUTUSAN",IF(AND(E228="SETUJU_USULAN",F228&lt;&gt;""),"HAPUS_KOREKSI",IF(H228="","ISI_KOREKSI",IF(NOT(OR(H228="FLOOD",H228="EARTHQUAKE",H228="FIRE",H228="ACCIDENT",H228="NON_EVENT")),"CEK_LABEL",IF(AND(E228="KOREKSI",TRIM(G228)=""),"ISI_CATATAN","REVIEW_TERCATAT"))))))))</x:f>
        <x:v>REVIEW_TERCATAT</x:v>
      </x:c>
      <x:c r="J228" s="4" t="str">
        <x:v>Label dataset dan prediksi baseline sama; makna MVP belum direview. Kesepakatan keduanya belum membuktikan label final.</x:v>
      </x:c>
      <x:c r="K228" s="4" t="str">
        <x:v>EARTHQUAKE</x:v>
      </x:c>
      <x:c r="L228" s="14" t="n">
        <x:v>0.9802249073982239</x:v>
      </x:c>
    </x:row>
    <x:row r="229" ht="66" customHeight="1">
      <x:c r="A229" s="4" t="str">
        <x:v>BAN-01181</x:v>
      </x:c>
      <x:c r="B229" s="4" t="str">
        <x:v>dan bila terjadi banjir di hulu air sungai tiba-tiba meluap ; manusia yang sudah terlanjur di tengah pasti tergelincir kawatnya pun putus orang tersebut mati kau tak tahu itu karena begitu kau bisa tahu kau sudah putri presiden sebelumnya pun hidupmu bukan di desa</x:v>
      </x:c>
      <x:c r="C229" s="4" t="str">
        <x:v>NON_EVENT</x:v>
      </x:c>
      <x:c r="D229" s="4" t="str">
        <x:v>NON_EVENT</x:v>
      </x:c>
      <x:c r="E229" s="12" t="str">
        <x:v>SETUJU_USULAN</x:v>
      </x:c>
      <x:c r="F229" s="12" t="str"/>
      <x:c r="G229" s="12" t="str">
        <x:v>Banjir diperkenalkan dengan bila terjadi sebagai skenario bersyarat. R3.</x:v>
      </x:c>
      <x:c r="H229" s="4" t="str">
        <x:f>IF(E229="SETUJU_USULAN",D229,IF(E229="KOREKSI",F229,""))</x:f>
        <x:v>NON_EVENT</x:v>
      </x:c>
      <x:c r="I229" s="4" t="str">
        <x:f>IF(E229="","BELUM_DIREVIEW",IF(E229="TUNDA","DITUNDA",IF(TRIM(Panduan!$B$5)="","ISI_REVIEWER",IF(AND(E229&lt;&gt;"SETUJU_USULAN",E229&lt;&gt;"KOREKSI"),"CEK_KEPUTUSAN",IF(AND(E229="SETUJU_USULAN",F229&lt;&gt;""),"HAPUS_KOREKSI",IF(H229="","ISI_KOREKSI",IF(NOT(OR(H229="FLOOD",H229="EARTHQUAKE",H229="FIRE",H229="ACCIDENT",H229="NON_EVENT")),"CEK_LABEL",IF(AND(E229="KOREKSI",TRIM(G229)=""),"ISI_CATATAN","REVIEW_TERCATAT"))))))))</x:f>
        <x:v>REVIEW_TERCATAT</x:v>
      </x:c>
      <x:c r="J229" s="4" t="str">
        <x:v>Label dataset dan prediksi baseline sama; makna MVP belum direview. Kesepakatan keduanya belum membuktikan label final.</x:v>
      </x:c>
      <x:c r="K229" s="4" t="str">
        <x:v>NON_EVENT</x:v>
      </x:c>
      <x:c r="L229" s="14" t="n">
        <x:v>0.980263888835907</x:v>
      </x:c>
    </x:row>
    <x:row r="230" ht="64" customHeight="1">
      <x:c r="A230" s="4" t="str">
        <x:v>GEM-01583</x:v>
      </x:c>
      <x:c r="B230" s="4" t="str">
        <x:v>hari ini terjadi dua gempa bumi di indonesia kedua gempa ini mengguncang mamasa dan lombok</x:v>
      </x:c>
      <x:c r="C230" s="4" t="str">
        <x:v>EARTHQUAKE</x:v>
      </x:c>
      <x:c r="D230" s="4" t="str">
        <x:v>EARTHQUAKE</x:v>
      </x:c>
      <x:c r="E230" s="12" t="str">
        <x:v>SETUJU_USULAN</x:v>
      </x:c>
      <x:c r="F230" s="12" t="str"/>
      <x:c r="G230" s="12" t="str">
        <x:v>Narasi menyatakan kejadian gempa bumi yang terjadi atau telah terjadi. Label mengikuti isi kejadian, termasuk penanganan dan dampak yang disebut. R1,R4.</x:v>
      </x:c>
      <x:c r="H230" s="4" t="str">
        <x:f>IF(E230="SETUJU_USULAN",D230,IF(E230="KOREKSI",F230,""))</x:f>
        <x:v>EARTHQUAKE</x:v>
      </x:c>
      <x:c r="I230" s="4" t="str">
        <x:f>IF(E230="","BELUM_DIREVIEW",IF(E230="TUNDA","DITUNDA",IF(TRIM(Panduan!$B$5)="","ISI_REVIEWER",IF(AND(E230&lt;&gt;"SETUJU_USULAN",E230&lt;&gt;"KOREKSI"),"CEK_KEPUTUSAN",IF(AND(E230="SETUJU_USULAN",F230&lt;&gt;""),"HAPUS_KOREKSI",IF(H230="","ISI_KOREKSI",IF(NOT(OR(H230="FLOOD",H230="EARTHQUAKE",H230="FIRE",H230="ACCIDENT",H230="NON_EVENT")),"CEK_LABEL",IF(AND(E230="KOREKSI",TRIM(G230)=""),"ISI_CATATAN","REVIEW_TERCATAT"))))))))</x:f>
        <x:v>REVIEW_TERCATAT</x:v>
      </x:c>
      <x:c r="J230" s="4" t="str">
        <x:v>Label dataset dan prediksi baseline sama; makna MVP belum direview. Kesepakatan keduanya belum membuktikan label final.</x:v>
      </x:c>
      <x:c r="K230" s="4" t="str">
        <x:v>EARTHQUAKE</x:v>
      </x:c>
      <x:c r="L230" s="14" t="n">
        <x:v>0.980388879776001</x:v>
      </x:c>
    </x:row>
    <x:row r="231" ht="66" customHeight="1">
      <x:c r="A231" s="4" t="str">
        <x:v>GEM-01252</x:v>
      </x:c>
      <x:c r="B231" s="4" t="str">
        <x:v>gempa magnitudo 3 2 terjadi di sukabumi foto : ilustrasi gempa bumi magnitudo 3 2 terjadi sukabumi jawa barat pusat gempa berada di darat berdasarkan informasi dari situs resmi badan meteorologi klimatologi dan geofisika ( bmkg ) gempa terjadi pada p</x:v>
      </x:c>
      <x:c r="C231" s="4" t="str">
        <x:v>EARTHQUAKE</x:v>
      </x:c>
      <x:c r="D231" s="4" t="str">
        <x:v>EARTHQUAKE</x:v>
      </x:c>
      <x:c r="E231" s="12" t="str">
        <x:v>SETUJU_USULAN</x:v>
      </x:c>
      <x:c r="F231" s="12" t="str"/>
      <x:c r="G231" s="12" t="str">
        <x:v>Narasi menyatakan kejadian gempa bumi yang terjadi atau telah terjadi. Label mengikuti isi kejadian, termasuk penanganan dan dampak yang disebut. R1,R4.</x:v>
      </x:c>
      <x:c r="H231" s="4" t="str">
        <x:f>IF(E231="SETUJU_USULAN",D231,IF(E231="KOREKSI",F231,""))</x:f>
        <x:v>EARTHQUAKE</x:v>
      </x:c>
      <x:c r="I231" s="4" t="str">
        <x:f>IF(E231="","BELUM_DIREVIEW",IF(E231="TUNDA","DITUNDA",IF(TRIM(Panduan!$B$5)="","ISI_REVIEWER",IF(AND(E231&lt;&gt;"SETUJU_USULAN",E231&lt;&gt;"KOREKSI"),"CEK_KEPUTUSAN",IF(AND(E231="SETUJU_USULAN",F231&lt;&gt;""),"HAPUS_KOREKSI",IF(H231="","ISI_KOREKSI",IF(NOT(OR(H231="FLOOD",H231="EARTHQUAKE",H231="FIRE",H231="ACCIDENT",H231="NON_EVENT")),"CEK_LABEL",IF(AND(E231="KOREKSI",TRIM(G231)=""),"ISI_CATATAN","REVIEW_TERCATAT"))))))))</x:f>
        <x:v>REVIEW_TERCATAT</x:v>
      </x:c>
      <x:c r="J231" s="4" t="str">
        <x:v>Label dataset dan prediksi baseline sama; makna MVP belum direview. Kesepakatan keduanya belum membuktikan label final.</x:v>
      </x:c>
      <x:c r="K231" s="4" t="str">
        <x:v>EARTHQUAKE</x:v>
      </x:c>
      <x:c r="L231" s="14" t="n">
        <x:v>0.9805210828781128</x:v>
      </x:c>
    </x:row>
    <x:row r="232" ht="66" customHeight="1">
      <x:c r="A232" s="4" t="str">
        <x:v>KEB-01062</x:v>
      </x:c>
      <x:c r="B232" s="4" t="str">
        <x:v>ingin beli mobil listrik tapi takut kesetrum . ingin beli mansion apartemen tembus ke awan tapi takut tidak bisa turun kalau terjadi kebakaran atau kalau ada serangan alien . ingin beli rumah di palm island takut kelelep kena tsunami</x:v>
      </x:c>
      <x:c r="C232" s="4" t="str">
        <x:v>NON_EVENT</x:v>
      </x:c>
      <x:c r="D232" s="4" t="str">
        <x:v>NON_EVENT</x:v>
      </x:c>
      <x:c r="E232" s="12" t="str">
        <x:v>SETUJU_USULAN</x:v>
      </x:c>
      <x:c r="F232" s="12" t="str"/>
      <x:c r="G232" s="12" t="str">
        <x:v>Kebakaran disebut sebagai kekhawatiran hipotetis bila membeli tempat tinggal, bukan kejadian. R3.</x:v>
      </x:c>
      <x:c r="H232" s="4" t="str">
        <x:f>IF(E232="SETUJU_USULAN",D232,IF(E232="KOREKSI",F232,""))</x:f>
        <x:v>NON_EVENT</x:v>
      </x:c>
      <x:c r="I232" s="4" t="str">
        <x:f>IF(E232="","BELUM_DIREVIEW",IF(E232="TUNDA","DITUNDA",IF(TRIM(Panduan!$B$5)="","ISI_REVIEWER",IF(AND(E232&lt;&gt;"SETUJU_USULAN",E232&lt;&gt;"KOREKSI"),"CEK_KEPUTUSAN",IF(AND(E232="SETUJU_USULAN",F232&lt;&gt;""),"HAPUS_KOREKSI",IF(H232="","ISI_KOREKSI",IF(NOT(OR(H232="FLOOD",H232="EARTHQUAKE",H232="FIRE",H232="ACCIDENT",H232="NON_EVENT")),"CEK_LABEL",IF(AND(E232="KOREKSI",TRIM(G232)=""),"ISI_CATATAN","REVIEW_TERCATAT"))))))))</x:f>
        <x:v>REVIEW_TERCATAT</x:v>
      </x:c>
      <x:c r="J232" s="4" t="str">
        <x:v>Label dataset dan prediksi baseline sama; makna MVP belum direview. Kesepakatan keduanya belum membuktikan label final.</x:v>
      </x:c>
      <x:c r="K232" s="4" t="str">
        <x:v>NON_EVENT</x:v>
      </x:c>
      <x:c r="L232" s="14" t="n">
        <x:v>0.9807994365692139</x:v>
      </x:c>
    </x:row>
    <x:row r="233" ht="66" customHeight="1">
      <x:c r="A233" s="4" t="str">
        <x:v>GEM-01649</x:v>
      </x:c>
      <x:c r="B233" s="4" t="str">
        <x:v>gempa terjadi di maluku utara kali ini bermagnitudo 4 4 jakarta | realitas - gempa bumi kembali tercatat terjadi di maluku utara kali ini gempa yang terjadi bermagnitudo 4 4 dilihat detikcom dari situs bmkg sabtu ( 5/1/2019 ) gempa itu terjadi pada pukul 12:02 wib pusat enggak</x:v>
      </x:c>
      <x:c r="C233" s="4" t="str">
        <x:v>EARTHQUAKE</x:v>
      </x:c>
      <x:c r="D233" s="4" t="str">
        <x:v>EARTHQUAKE</x:v>
      </x:c>
      <x:c r="E233" s="12" t="str">
        <x:v>SETUJU_USULAN</x:v>
      </x:c>
      <x:c r="F233" s="12" t="str"/>
      <x:c r="G233" s="12" t="str">
        <x:v>Narasi menyatakan kejadian gempa bumi yang terjadi atau telah terjadi. Label mengikuti isi kejadian, termasuk penanganan dan dampak yang disebut. R1,R4.</x:v>
      </x:c>
      <x:c r="H233" s="4" t="str">
        <x:f>IF(E233="SETUJU_USULAN",D233,IF(E233="KOREKSI",F233,""))</x:f>
        <x:v>EARTHQUAKE</x:v>
      </x:c>
      <x:c r="I233" s="4" t="str">
        <x:f>IF(E233="","BELUM_DIREVIEW",IF(E233="TUNDA","DITUNDA",IF(TRIM(Panduan!$B$5)="","ISI_REVIEWER",IF(AND(E233&lt;&gt;"SETUJU_USULAN",E233&lt;&gt;"KOREKSI"),"CEK_KEPUTUSAN",IF(AND(E233="SETUJU_USULAN",F233&lt;&gt;""),"HAPUS_KOREKSI",IF(H233="","ISI_KOREKSI",IF(NOT(OR(H233="FLOOD",H233="EARTHQUAKE",H233="FIRE",H233="ACCIDENT",H233="NON_EVENT")),"CEK_LABEL",IF(AND(E233="KOREKSI",TRIM(G233)=""),"ISI_CATATAN","REVIEW_TERCATAT"))))))))</x:f>
        <x:v>REVIEW_TERCATAT</x:v>
      </x:c>
      <x:c r="J233" s="4" t="str">
        <x:v>Label dataset dan prediksi baseline sama; makna MVP belum direview. Kesepakatan keduanya belum membuktikan label final.</x:v>
      </x:c>
      <x:c r="K233" s="4" t="str">
        <x:v>EARTHQUAKE</x:v>
      </x:c>
      <x:c r="L233" s="14" t="n">
        <x:v>0.9809532761573792</x:v>
      </x:c>
    </x:row>
    <x:row r="234" ht="66" customHeight="1">
      <x:c r="A234" s="4" t="str">
        <x:v>BAN-01795</x:v>
      </x:c>
      <x:c r="B234" s="4" t="str">
        <x:v>kapolda bengkulu brigjen pol drs supratman mengadakan acara buka puasa bersama serta salat tarawih berjamaah dengan para pengungsi korban bencana banjir dan tanah longsor di desa genting kecamatan bang haji bengkulu tengah minggu ( 12/5 )</x:v>
      </x:c>
      <x:c r="C234" s="4" t="str">
        <x:v>NON_EVENT</x:v>
      </x:c>
      <x:c r="D234" s="4" t="str">
        <x:v>NON_EVENT</x:v>
      </x:c>
      <x:c r="E234" s="12" t="str">
        <x:v>KOREKSI</x:v>
      </x:c>
      <x:c r="F234" s="12" t="str">
        <x:v>FLOOD</x:v>
      </x:c>
      <x:c r="G234" s="12" t="str">
        <x:v>Acara bersama pengungsi secara eksplisit merujuk korban banjir Desa Genting, Bengkulu Tengah. R1,R5.</x:v>
      </x:c>
      <x:c r="H234" s="4" t="str">
        <x:f>IF(E234="SETUJU_USULAN",D234,IF(E234="KOREKSI",F234,""))</x:f>
        <x:v>FLOOD</x:v>
      </x:c>
      <x:c r="I234" s="4" t="str">
        <x:f>IF(E234="","BELUM_DIREVIEW",IF(E234="TUNDA","DITUNDA",IF(TRIM(Panduan!$B$5)="","ISI_REVIEWER",IF(AND(E234&lt;&gt;"SETUJU_USULAN",E234&lt;&gt;"KOREKSI"),"CEK_KEPUTUSAN",IF(AND(E234="SETUJU_USULAN",F234&lt;&gt;""),"HAPUS_KOREKSI",IF(H234="","ISI_KOREKSI",IF(NOT(OR(H234="FLOOD",H234="EARTHQUAKE",H234="FIRE",H234="ACCIDENT",H234="NON_EVENT")),"CEK_LABEL",IF(AND(E234="KOREKSI",TRIM(G234)=""),"ISI_CATATAN","REVIEW_TERCATAT"))))))))</x:f>
        <x:v>REVIEW_TERCATAT</x:v>
      </x:c>
      <x:c r="J234" s="4" t="str">
        <x:v>Label dataset dan prediksi baseline sama; makna MVP belum direview. Kesepakatan keduanya belum membuktikan label final.</x:v>
      </x:c>
      <x:c r="K234" s="4" t="str">
        <x:v>NON_EVENT</x:v>
      </x:c>
      <x:c r="L234" s="14" t="n">
        <x:v>0.9810625910758972</x:v>
      </x:c>
    </x:row>
    <x:row r="235" ht="64" customHeight="1">
      <x:c r="A235" s="4" t="str">
        <x:v>GEM-01501</x:v>
      </x:c>
      <x:c r="B235" s="4" t="str">
        <x:v>gempa sama 4 1 terjadi di pesisir selatan sumbar : gempa bumi bermagnitudo 4 1 terjadi di</x:v>
      </x:c>
      <x:c r="C235" s="4" t="str">
        <x:v>EARTHQUAKE</x:v>
      </x:c>
      <x:c r="D235" s="4" t="str">
        <x:v>EARTHQUAKE</x:v>
      </x:c>
      <x:c r="E235" s="12" t="str">
        <x:v>SETUJU_USULAN</x:v>
      </x:c>
      <x:c r="F235" s="12" t="str"/>
      <x:c r="G235" s="12" t="str">
        <x:v>Narasi menyatakan kejadian gempa bumi yang terjadi atau telah terjadi. Label mengikuti isi kejadian, termasuk penanganan dan dampak yang disebut. R1,R4.</x:v>
      </x:c>
      <x:c r="H235" s="4" t="str">
        <x:f>IF(E235="SETUJU_USULAN",D235,IF(E235="KOREKSI",F235,""))</x:f>
        <x:v>EARTHQUAKE</x:v>
      </x:c>
      <x:c r="I235" s="4" t="str">
        <x:f>IF(E235="","BELUM_DIREVIEW",IF(E235="TUNDA","DITUNDA",IF(TRIM(Panduan!$B$5)="","ISI_REVIEWER",IF(AND(E235&lt;&gt;"SETUJU_USULAN",E235&lt;&gt;"KOREKSI"),"CEK_KEPUTUSAN",IF(AND(E235="SETUJU_USULAN",F235&lt;&gt;""),"HAPUS_KOREKSI",IF(H235="","ISI_KOREKSI",IF(NOT(OR(H235="FLOOD",H235="EARTHQUAKE",H235="FIRE",H235="ACCIDENT",H235="NON_EVENT")),"CEK_LABEL",IF(AND(E235="KOREKSI",TRIM(G235)=""),"ISI_CATATAN","REVIEW_TERCATAT"))))))))</x:f>
        <x:v>REVIEW_TERCATAT</x:v>
      </x:c>
      <x:c r="J235" s="4" t="str">
        <x:v>Label dataset dan prediksi baseline sama; makna MVP belum direview. Kesepakatan keduanya belum membuktikan label final.</x:v>
      </x:c>
      <x:c r="K235" s="4" t="str">
        <x:v>EARTHQUAKE</x:v>
      </x:c>
      <x:c r="L235" s="14" t="n">
        <x:v>0.9810683131217957</x:v>
      </x:c>
    </x:row>
    <x:row r="236" ht="64" customHeight="1">
      <x:c r="A236" s="4" t="str">
        <x:v>GEM-01353</x:v>
      </x:c>
      <x:c r="B236" s="4" t="str">
        <x:v>7 kali gempa bumi hari ini guncang wilayah di indonesia termasuk di sulawesi barat via</x:v>
      </x:c>
      <x:c r="C236" s="4" t="str">
        <x:v>EARTHQUAKE</x:v>
      </x:c>
      <x:c r="D236" s="4" t="str">
        <x:v>EARTHQUAKE</x:v>
      </x:c>
      <x:c r="E236" s="12" t="str">
        <x:v>SETUJU_USULAN</x:v>
      </x:c>
      <x:c r="F236" s="12" t="str"/>
      <x:c r="G236" s="12" t="str">
        <x:v>Narasi menyatakan kejadian gempa bumi yang terjadi atau telah terjadi. Label mengikuti isi kejadian, termasuk penanganan dan dampak yang disebut. R1,R4.</x:v>
      </x:c>
      <x:c r="H236" s="4" t="str">
        <x:f>IF(E236="SETUJU_USULAN",D236,IF(E236="KOREKSI",F236,""))</x:f>
        <x:v>EARTHQUAKE</x:v>
      </x:c>
      <x:c r="I236" s="4" t="str">
        <x:f>IF(E236="","BELUM_DIREVIEW",IF(E236="TUNDA","DITUNDA",IF(TRIM(Panduan!$B$5)="","ISI_REVIEWER",IF(AND(E236&lt;&gt;"SETUJU_USULAN",E236&lt;&gt;"KOREKSI"),"CEK_KEPUTUSAN",IF(AND(E236="SETUJU_USULAN",F236&lt;&gt;""),"HAPUS_KOREKSI",IF(H236="","ISI_KOREKSI",IF(NOT(OR(H236="FLOOD",H236="EARTHQUAKE",H236="FIRE",H236="ACCIDENT",H236="NON_EVENT")),"CEK_LABEL",IF(AND(E236="KOREKSI",TRIM(G236)=""),"ISI_CATATAN","REVIEW_TERCATAT"))))))))</x:f>
        <x:v>REVIEW_TERCATAT</x:v>
      </x:c>
      <x:c r="J236" s="4" t="str">
        <x:v>Label dataset dan prediksi baseline sama; makna MVP belum direview. Kesepakatan keduanya belum membuktikan label final.</x:v>
      </x:c>
      <x:c r="K236" s="4" t="str">
        <x:v>EARTHQUAKE</x:v>
      </x:c>
      <x:c r="L236" s="14" t="n">
        <x:v>0.9813050627708435</x:v>
      </x:c>
    </x:row>
    <x:row r="237" ht="64" customHeight="1">
      <x:c r="A237" s="4" t="str">
        <x:v>BAN-01207</x:v>
      </x:c>
      <x:c r="B237" s="4" t="str">
        <x:v>pesan walikota makassar pak danny waspada banjir di makassar semoga indak banjir ji deh</x:v>
      </x:c>
      <x:c r="C237" s="4" t="str">
        <x:v>NON_EVENT</x:v>
      </x:c>
      <x:c r="D237" s="4" t="str">
        <x:v>NON_EVENT</x:v>
      </x:c>
      <x:c r="E237" s="12" t="str">
        <x:v>SETUJU_USULAN</x:v>
      </x:c>
      <x:c r="F237" s="12" t="str"/>
      <x:c r="G237" s="12" t="str">
        <x:v>Pesan kewaspadaan dan harapan tidak banjir tidak menyatakan banjir telah terjadi. R3.</x:v>
      </x:c>
      <x:c r="H237" s="4" t="str">
        <x:f>IF(E237="SETUJU_USULAN",D237,IF(E237="KOREKSI",F237,""))</x:f>
        <x:v>NON_EVENT</x:v>
      </x:c>
      <x:c r="I237" s="4" t="str">
        <x:f>IF(E237="","BELUM_DIREVIEW",IF(E237="TUNDA","DITUNDA",IF(TRIM(Panduan!$B$5)="","ISI_REVIEWER",IF(AND(E237&lt;&gt;"SETUJU_USULAN",E237&lt;&gt;"KOREKSI"),"CEK_KEPUTUSAN",IF(AND(E237="SETUJU_USULAN",F237&lt;&gt;""),"HAPUS_KOREKSI",IF(H237="","ISI_KOREKSI",IF(NOT(OR(H237="FLOOD",H237="EARTHQUAKE",H237="FIRE",H237="ACCIDENT",H237="NON_EVENT")),"CEK_LABEL",IF(AND(E237="KOREKSI",TRIM(G237)=""),"ISI_CATATAN","REVIEW_TERCATAT"))))))))</x:f>
        <x:v>REVIEW_TERCATAT</x:v>
      </x:c>
      <x:c r="J237" s="4" t="str">
        <x:v>Label dataset dan prediksi baseline sama; makna MVP belum direview. Kesepakatan keduanya belum membuktikan label final.</x:v>
      </x:c>
      <x:c r="K237" s="4" t="str">
        <x:v>NON_EVENT</x:v>
      </x:c>
      <x:c r="L237" s="14" t="n">
        <x:v>0.9817081689834595</x:v>
      </x:c>
    </x:row>
    <x:row r="238" ht="64" customHeight="1">
      <x:c r="A238" s="4" t="str">
        <x:v>GEM-01512</x:v>
      </x:c>
      <x:c r="B238" s="4" t="str">
        <x:v>gempa bumi 6 1 sr di jayapura papua hari ini tak ada potensi tsunami via</x:v>
      </x:c>
      <x:c r="C238" s="4" t="str">
        <x:v>EARTHQUAKE</x:v>
      </x:c>
      <x:c r="D238" s="4" t="str">
        <x:v>EARTHQUAKE</x:v>
      </x:c>
      <x:c r="E238" s="12" t="str">
        <x:v>SETUJU_USULAN</x:v>
      </x:c>
      <x:c r="F238" s="12" t="str"/>
      <x:c r="G238" s="12" t="str">
        <x:v>Narasi menyatakan kejadian gempa bumi yang terjadi atau telah terjadi. Label mengikuti isi kejadian, termasuk penanganan dan dampak yang disebut. R1,R4.</x:v>
      </x:c>
      <x:c r="H238" s="4" t="str">
        <x:f>IF(E238="SETUJU_USULAN",D238,IF(E238="KOREKSI",F238,""))</x:f>
        <x:v>EARTHQUAKE</x:v>
      </x:c>
      <x:c r="I238" s="4" t="str">
        <x:f>IF(E238="","BELUM_DIREVIEW",IF(E238="TUNDA","DITUNDA",IF(TRIM(Panduan!$B$5)="","ISI_REVIEWER",IF(AND(E238&lt;&gt;"SETUJU_USULAN",E238&lt;&gt;"KOREKSI"),"CEK_KEPUTUSAN",IF(AND(E238="SETUJU_USULAN",F238&lt;&gt;""),"HAPUS_KOREKSI",IF(H238="","ISI_KOREKSI",IF(NOT(OR(H238="FLOOD",H238="EARTHQUAKE",H238="FIRE",H238="ACCIDENT",H238="NON_EVENT")),"CEK_LABEL",IF(AND(E238="KOREKSI",TRIM(G238)=""),"ISI_CATATAN","REVIEW_TERCATAT"))))))))</x:f>
        <x:v>REVIEW_TERCATAT</x:v>
      </x:c>
      <x:c r="J238" s="4" t="str">
        <x:v>Label dataset dan prediksi baseline sama; makna MVP belum direview. Kesepakatan keduanya belum membuktikan label final.</x:v>
      </x:c>
      <x:c r="K238" s="4" t="str">
        <x:v>EARTHQUAKE</x:v>
      </x:c>
      <x:c r="L238" s="14" t="n">
        <x:v>0.9817101359367371</x:v>
      </x:c>
    </x:row>
    <x:row r="239" ht="64" customHeight="1">
      <x:c r="A239" s="4" t="str">
        <x:v>KEB-00356</x:v>
      </x:c>
      <x:c r="B239" s="4" t="str">
        <x:v>detik-detik petasan sulut kebakaran di pekayon bekasi , anak-anak berlarian api d</x:v>
      </x:c>
      <x:c r="C239" s="4" t="str">
        <x:v>FIRE</x:v>
      </x:c>
      <x:c r="D239" s="4" t="str">
        <x:v>FIRE</x:v>
      </x:c>
      <x:c r="E239" s="12" t="str">
        <x:v>SETUJU_USULAN</x:v>
      </x:c>
      <x:c r="F239" s="12" t="str"/>
      <x:c r="G239" s="12" t="str">
        <x:v>Narasi menyatakan kejadian kebakaran yang terjadi atau telah terjadi. Label mengikuti isi kejadian, termasuk penanganan dan dampak yang disebut. R1,R4.</x:v>
      </x:c>
      <x:c r="H239" s="4" t="str">
        <x:f>IF(E239="SETUJU_USULAN",D239,IF(E239="KOREKSI",F239,""))</x:f>
        <x:v>FIRE</x:v>
      </x:c>
      <x:c r="I239" s="4" t="str">
        <x:f>IF(E239="","BELUM_DIREVIEW",IF(E239="TUNDA","DITUNDA",IF(TRIM(Panduan!$B$5)="","ISI_REVIEWER",IF(AND(E239&lt;&gt;"SETUJU_USULAN",E239&lt;&gt;"KOREKSI"),"CEK_KEPUTUSAN",IF(AND(E239="SETUJU_USULAN",F239&lt;&gt;""),"HAPUS_KOREKSI",IF(H239="","ISI_KOREKSI",IF(NOT(OR(H239="FLOOD",H239="EARTHQUAKE",H239="FIRE",H239="ACCIDENT",H239="NON_EVENT")),"CEK_LABEL",IF(AND(E239="KOREKSI",TRIM(G239)=""),"ISI_CATATAN","REVIEW_TERCATAT"))))))))</x:f>
        <x:v>REVIEW_TERCATAT</x:v>
      </x:c>
      <x:c r="J239" s="4" t="str">
        <x:v>Label dataset dan prediksi baseline sama; makna MVP belum direview. Kesepakatan keduanya belum membuktikan label final.</x:v>
      </x:c>
      <x:c r="K239" s="4" t="str">
        <x:v>FIRE</x:v>
      </x:c>
      <x:c r="L239" s="14" t="n">
        <x:v>0.9820788502693176</x:v>
      </x:c>
    </x:row>
    <x:row r="240" ht="66" customHeight="1">
      <x:c r="A240" s="4" t="str">
        <x:v>BAN-01788</x:v>
      </x:c>
      <x:c r="B240" s="4" t="str">
        <x:v>warga tambakrejo semarang punya hak untuk tinggal di tempat yang layak bkt juga harus jalan agar banjir terkendalimas berkata insha allah besok pagi akan kami temukan : warga yang masih di lokasi komnas ham pemkot bbws &amp; pemprov</x:v>
      </x:c>
      <x:c r="C240" s="4" t="str">
        <x:v>NON_EVENT</x:v>
      </x:c>
      <x:c r="D240" s="4" t="str">
        <x:v>NON_EVENT</x:v>
      </x:c>
      <x:c r="E240" s="12" t="str">
        <x:v>SETUJU_USULAN</x:v>
      </x:c>
      <x:c r="F240" s="12" t="str"/>
      <x:c r="G240" s="12" t="str">
        <x:v>Pembahasan BKT bertujuan agar banjir terkendali. Tidak ada episode banjir tertentu yang dinyatakan. R3.</x:v>
      </x:c>
      <x:c r="H240" s="4" t="str">
        <x:f>IF(E240="SETUJU_USULAN",D240,IF(E240="KOREKSI",F240,""))</x:f>
        <x:v>NON_EVENT</x:v>
      </x:c>
      <x:c r="I240" s="4" t="str">
        <x:f>IF(E240="","BELUM_DIREVIEW",IF(E240="TUNDA","DITUNDA",IF(TRIM(Panduan!$B$5)="","ISI_REVIEWER",IF(AND(E240&lt;&gt;"SETUJU_USULAN",E240&lt;&gt;"KOREKSI"),"CEK_KEPUTUSAN",IF(AND(E240="SETUJU_USULAN",F240&lt;&gt;""),"HAPUS_KOREKSI",IF(H240="","ISI_KOREKSI",IF(NOT(OR(H240="FLOOD",H240="EARTHQUAKE",H240="FIRE",H240="ACCIDENT",H240="NON_EVENT")),"CEK_LABEL",IF(AND(E240="KOREKSI",TRIM(G240)=""),"ISI_CATATAN","REVIEW_TERCATAT"))))))))</x:f>
        <x:v>REVIEW_TERCATAT</x:v>
      </x:c>
      <x:c r="J240" s="4" t="str">
        <x:v>Label dataset dan prediksi baseline sama; makna MVP belum direview. Kesepakatan keduanya belum membuktikan label final.</x:v>
      </x:c>
      <x:c r="K240" s="4" t="str">
        <x:v>NON_EVENT</x:v>
      </x:c>
      <x:c r="L240" s="14" t="n">
        <x:v>0.9820839166641235</x:v>
      </x:c>
    </x:row>
    <x:row r="241" ht="66" customHeight="1">
      <x:c r="A241" s="4" t="str">
        <x:v>KEC-01423</x:v>
      </x:c>
      <x:c r="B241" s="4" t="str">
        <x:v>dapat morning shock gegara ada kabar sepupu sama sih tante kecelakaan pagi2 sudah riweh pergi sana sini buat ke rs sama ke tkp dapat pengingat diri kalo di jalan tuh benar-benar enggak boleh ngebut mau selengang apapun jalannya mesti awas sama keadaan jalan</x:v>
      </x:c>
      <x:c r="C241" s="4" t="str">
        <x:v>NON_EVENT</x:v>
      </x:c>
      <x:c r="D241" s="4" t="str">
        <x:v>NON_EVENT</x:v>
      </x:c>
      <x:c r="E241" s="12" t="str">
        <x:v>KOREKSI</x:v>
      </x:c>
      <x:c r="F241" s="12" t="str">
        <x:v>ACCIDENT</x:v>
      </x:c>
      <x:c r="G241" s="12" t="str">
        <x:v>Pelapor menyatakan sepupu dan tante mengalami kecelakaan serta kunjungan ke rumah sakit dan TKP. Nasihat keselamatan mengikuti klaim kejadian. R1,R4,R5.</x:v>
      </x:c>
      <x:c r="H241" s="4" t="str">
        <x:f>IF(E241="SETUJU_USULAN",D241,IF(E241="KOREKSI",F241,""))</x:f>
        <x:v>ACCIDENT</x:v>
      </x:c>
      <x:c r="I241" s="4" t="str">
        <x:f>IF(E241="","BELUM_DIREVIEW",IF(E241="TUNDA","DITUNDA",IF(TRIM(Panduan!$B$5)="","ISI_REVIEWER",IF(AND(E241&lt;&gt;"SETUJU_USULAN",E241&lt;&gt;"KOREKSI"),"CEK_KEPUTUSAN",IF(AND(E241="SETUJU_USULAN",F241&lt;&gt;""),"HAPUS_KOREKSI",IF(H241="","ISI_KOREKSI",IF(NOT(OR(H241="FLOOD",H241="EARTHQUAKE",H241="FIRE",H241="ACCIDENT",H241="NON_EVENT")),"CEK_LABEL",IF(AND(E241="KOREKSI",TRIM(G241)=""),"ISI_CATATAN","REVIEW_TERCATAT"))))))))</x:f>
        <x:v>REVIEW_TERCATAT</x:v>
      </x:c>
      <x:c r="J241" s="4" t="str">
        <x:v>Label dataset dan prediksi baseline sama; makna MVP belum direview. Kesepakatan keduanya belum membuktikan label final.</x:v>
      </x:c>
      <x:c r="K241" s="4" t="str">
        <x:v>NON_EVENT</x:v>
      </x:c>
      <x:c r="L241" s="14" t="n">
        <x:v>0.9821262955665588</x:v>
      </x:c>
    </x:row>
    <x:row r="242" ht="64" customHeight="1">
      <x:c r="A242" s="4" t="str">
        <x:v>KEB-01092</x:v>
      </x:c>
      <x:c r="B242" s="4" t="str">
        <x:v>semua mata melihat ke sini , sampe lupa lihatin prisidin papua barat , juga lupa lihatin mensos , lupa kebakaran di lt 3 kemensos bulan september , lupa mintri otak udang . lupa pabrik mebel dan bus transj juga kebakar .</x:v>
      </x:c>
      <x:c r="C242" s="4" t="str">
        <x:v>NON_EVENT</x:v>
      </x:c>
      <x:c r="D242" s="4" t="str">
        <x:v>NON_EVENT</x:v>
      </x:c>
      <x:c r="E242" s="12" t="str">
        <x:v>KOREKSI</x:v>
      </x:c>
      <x:c r="F242" s="12" t="str">
        <x:v>FIRE</x:v>
      </x:c>
      <x:c r="G242" s="12" t="str">
        <x:v>Komentar politik menyebut kebakaran di lantai tiga Kemensos bulan September serta objek lain yang terbakar. Kebakaran spesifik tetap dirujuk. R1,R5,R6.</x:v>
      </x:c>
      <x:c r="H242" s="4" t="str">
        <x:f>IF(E242="SETUJU_USULAN",D242,IF(E242="KOREKSI",F242,""))</x:f>
        <x:v>FIRE</x:v>
      </x:c>
      <x:c r="I242" s="4" t="str">
        <x:f>IF(E242="","BELUM_DIREVIEW",IF(E242="TUNDA","DITUNDA",IF(TRIM(Panduan!$B$5)="","ISI_REVIEWER",IF(AND(E242&lt;&gt;"SETUJU_USULAN",E242&lt;&gt;"KOREKSI"),"CEK_KEPUTUSAN",IF(AND(E242="SETUJU_USULAN",F242&lt;&gt;""),"HAPUS_KOREKSI",IF(H242="","ISI_KOREKSI",IF(NOT(OR(H242="FLOOD",H242="EARTHQUAKE",H242="FIRE",H242="ACCIDENT",H242="NON_EVENT")),"CEK_LABEL",IF(AND(E242="KOREKSI",TRIM(G242)=""),"ISI_CATATAN","REVIEW_TERCATAT"))))))))</x:f>
        <x:v>REVIEW_TERCATAT</x:v>
      </x:c>
      <x:c r="J242" s="4" t="str">
        <x:v>Label dataset dan prediksi baseline sama; makna MVP belum direview. Kesepakatan keduanya belum membuktikan label final.</x:v>
      </x:c>
      <x:c r="K242" s="4" t="str">
        <x:v>NON_EVENT</x:v>
      </x:c>
      <x:c r="L242" s="14" t="n">
        <x:v>0.9821402430534363</x:v>
      </x:c>
    </x:row>
    <x:row r="243" ht="64" customHeight="1">
      <x:c r="A243" s="4" t="str">
        <x:v>GEM-01605</x:v>
      </x:c>
      <x:c r="B243" s="4" t="str">
        <x:v>* gempa bumi kuat m=7 1 guncang filipina tenggara dan sulawesi utara tidak berpotensi tsunami di wilayah indonesia * hari sabtu 29 desember 2018 pukul 10:39:12 wib terjadi gempa kuat dengan magnitudo m=7 1</x:v>
      </x:c>
      <x:c r="C243" s="4" t="str">
        <x:v>EARTHQUAKE</x:v>
      </x:c>
      <x:c r="D243" s="4" t="str">
        <x:v>EARTHQUAKE</x:v>
      </x:c>
      <x:c r="E243" s="12" t="str">
        <x:v>SETUJU_USULAN</x:v>
      </x:c>
      <x:c r="F243" s="12" t="str"/>
      <x:c r="G243" s="12" t="str">
        <x:v>Narasi menyatakan kejadian gempa bumi yang terjadi atau telah terjadi. Label mengikuti isi kejadian, termasuk penanganan dan dampak yang disebut. R1,R4.</x:v>
      </x:c>
      <x:c r="H243" s="4" t="str">
        <x:f>IF(E243="SETUJU_USULAN",D243,IF(E243="KOREKSI",F243,""))</x:f>
        <x:v>EARTHQUAKE</x:v>
      </x:c>
      <x:c r="I243" s="4" t="str">
        <x:f>IF(E243="","BELUM_DIREVIEW",IF(E243="TUNDA","DITUNDA",IF(TRIM(Panduan!$B$5)="","ISI_REVIEWER",IF(AND(E243&lt;&gt;"SETUJU_USULAN",E243&lt;&gt;"KOREKSI"),"CEK_KEPUTUSAN",IF(AND(E243="SETUJU_USULAN",F243&lt;&gt;""),"HAPUS_KOREKSI",IF(H243="","ISI_KOREKSI",IF(NOT(OR(H243="FLOOD",H243="EARTHQUAKE",H243="FIRE",H243="ACCIDENT",H243="NON_EVENT")),"CEK_LABEL",IF(AND(E243="KOREKSI",TRIM(G243)=""),"ISI_CATATAN","REVIEW_TERCATAT"))))))))</x:f>
        <x:v>REVIEW_TERCATAT</x:v>
      </x:c>
      <x:c r="J243" s="4" t="str">
        <x:v>Label dataset dan prediksi baseline sama; makna MVP belum direview. Kesepakatan keduanya belum membuktikan label final.</x:v>
      </x:c>
      <x:c r="K243" s="4" t="str">
        <x:v>EARTHQUAKE</x:v>
      </x:c>
      <x:c r="L243" s="14" t="n">
        <x:v>0.9822615385055542</x:v>
      </x:c>
    </x:row>
    <x:row r="244" ht="64" customHeight="1">
      <x:c r="A244" s="4" t="str">
        <x:v>GEM-01059</x:v>
      </x:c>
      <x:c r="B244" s="4" t="str">
        <x:v>gempa bumi sempat mengguncang kabupaten situbondo jawa timur pada kamis dini hari ( 11/10 ) menurut badan nasional penanggulangan bencana guncangan gempa tersebut bahkan terasa di</x:v>
      </x:c>
      <x:c r="C244" s="4" t="str">
        <x:v>EARTHQUAKE</x:v>
      </x:c>
      <x:c r="D244" s="4" t="str">
        <x:v>EARTHQUAKE</x:v>
      </x:c>
      <x:c r="E244" s="12" t="str">
        <x:v>SETUJU_USULAN</x:v>
      </x:c>
      <x:c r="F244" s="12" t="str"/>
      <x:c r="G244" s="12" t="str">
        <x:v>Narasi menyatakan kejadian gempa bumi yang terjadi atau telah terjadi. Label mengikuti isi kejadian, termasuk penanganan dan dampak yang disebut. R1,R4.</x:v>
      </x:c>
      <x:c r="H244" s="4" t="str">
        <x:f>IF(E244="SETUJU_USULAN",D244,IF(E244="KOREKSI",F244,""))</x:f>
        <x:v>EARTHQUAKE</x:v>
      </x:c>
      <x:c r="I244" s="4" t="str">
        <x:f>IF(E244="","BELUM_DIREVIEW",IF(E244="TUNDA","DITUNDA",IF(TRIM(Panduan!$B$5)="","ISI_REVIEWER",IF(AND(E244&lt;&gt;"SETUJU_USULAN",E244&lt;&gt;"KOREKSI"),"CEK_KEPUTUSAN",IF(AND(E244="SETUJU_USULAN",F244&lt;&gt;""),"HAPUS_KOREKSI",IF(H244="","ISI_KOREKSI",IF(NOT(OR(H244="FLOOD",H244="EARTHQUAKE",H244="FIRE",H244="ACCIDENT",H244="NON_EVENT")),"CEK_LABEL",IF(AND(E244="KOREKSI",TRIM(G244)=""),"ISI_CATATAN","REVIEW_TERCATAT"))))))))</x:f>
        <x:v>REVIEW_TERCATAT</x:v>
      </x:c>
      <x:c r="J244" s="4" t="str">
        <x:v>Label dataset dan prediksi baseline sama; makna MVP belum direview. Kesepakatan keduanya belum membuktikan label final.</x:v>
      </x:c>
      <x:c r="K244" s="4" t="str">
        <x:v>EARTHQUAKE</x:v>
      </x:c>
      <x:c r="L244" s="14" t="n">
        <x:v>0.9823577404022217</x:v>
      </x:c>
    </x:row>
    <x:row r="245" ht="64" customHeight="1">
      <x:c r="A245" s="4" t="str">
        <x:v>KEB-01053</x:v>
      </x:c>
      <x:c r="B245" s="4" t="str">
        <x:v>wakapolsek kutasari menghadiri kegiatan pelatihan penanggulangan bahaya kebakaran bagi anggota satlinmas , balakar dan bela negara se-kabupaten purbalingga di aula kecamatan kutasari rabu ( 11/11/2020 )</x:v>
      </x:c>
      <x:c r="C245" s="4" t="str">
        <x:v>NON_EVENT</x:v>
      </x:c>
      <x:c r="D245" s="4" t="str">
        <x:v>NON_EVENT</x:v>
      </x:c>
      <x:c r="E245" s="12" t="str">
        <x:v>SETUJU_USULAN</x:v>
      </x:c>
      <x:c r="F245" s="12" t="str"/>
      <x:c r="G245" s="12" t="str">
        <x:v>Kegiatan yang terjadi adalah pelatihan penanggulangan kebakaran. R3.</x:v>
      </x:c>
      <x:c r="H245" s="4" t="str">
        <x:f>IF(E245="SETUJU_USULAN",D245,IF(E245="KOREKSI",F245,""))</x:f>
        <x:v>NON_EVENT</x:v>
      </x:c>
      <x:c r="I245" s="4" t="str">
        <x:f>IF(E245="","BELUM_DIREVIEW",IF(E245="TUNDA","DITUNDA",IF(TRIM(Panduan!$B$5)="","ISI_REVIEWER",IF(AND(E245&lt;&gt;"SETUJU_USULAN",E245&lt;&gt;"KOREKSI"),"CEK_KEPUTUSAN",IF(AND(E245="SETUJU_USULAN",F245&lt;&gt;""),"HAPUS_KOREKSI",IF(H245="","ISI_KOREKSI",IF(NOT(OR(H245="FLOOD",H245="EARTHQUAKE",H245="FIRE",H245="ACCIDENT",H245="NON_EVENT")),"CEK_LABEL",IF(AND(E245="KOREKSI",TRIM(G245)=""),"ISI_CATATAN","REVIEW_TERCATAT"))))))))</x:f>
        <x:v>REVIEW_TERCATAT</x:v>
      </x:c>
      <x:c r="J245" s="4" t="str">
        <x:v>Label dataset dan prediksi baseline sama; makna MVP belum direview. Kesepakatan keduanya belum membuktikan label final.</x:v>
      </x:c>
      <x:c r="K245" s="4" t="str">
        <x:v>NON_EVENT</x:v>
      </x:c>
      <x:c r="L245" s="14" t="n">
        <x:v>0.9823846220970154</x:v>
      </x:c>
    </x:row>
    <x:row r="246" ht="64" customHeight="1">
      <x:c r="A246" s="4" t="str">
        <x:v>GEM-01134</x:v>
      </x:c>
      <x:c r="B246" s="4" t="str">
        <x:v>tanggapan kejadian gempa bumi tanggal 21 oktober 2018 di barat laut kepulauan talaud provinsi sulawesi utara</x:v>
      </x:c>
      <x:c r="C246" s="4" t="str">
        <x:v>EARTHQUAKE</x:v>
      </x:c>
      <x:c r="D246" s="4" t="str">
        <x:v>EARTHQUAKE</x:v>
      </x:c>
      <x:c r="E246" s="12" t="str">
        <x:v>SETUJU_USULAN</x:v>
      </x:c>
      <x:c r="F246" s="12" t="str"/>
      <x:c r="G246" s="12" t="str">
        <x:v>Narasi menyatakan kejadian gempa bumi yang terjadi atau telah terjadi. Label mengikuti isi kejadian, termasuk penanganan dan dampak yang disebut. R1,R4.</x:v>
      </x:c>
      <x:c r="H246" s="4" t="str">
        <x:f>IF(E246="SETUJU_USULAN",D246,IF(E246="KOREKSI",F246,""))</x:f>
        <x:v>EARTHQUAKE</x:v>
      </x:c>
      <x:c r="I246" s="4" t="str">
        <x:f>IF(E246="","BELUM_DIREVIEW",IF(E246="TUNDA","DITUNDA",IF(TRIM(Panduan!$B$5)="","ISI_REVIEWER",IF(AND(E246&lt;&gt;"SETUJU_USULAN",E246&lt;&gt;"KOREKSI"),"CEK_KEPUTUSAN",IF(AND(E246="SETUJU_USULAN",F246&lt;&gt;""),"HAPUS_KOREKSI",IF(H246="","ISI_KOREKSI",IF(NOT(OR(H246="FLOOD",H246="EARTHQUAKE",H246="FIRE",H246="ACCIDENT",H246="NON_EVENT")),"CEK_LABEL",IF(AND(E246="KOREKSI",TRIM(G246)=""),"ISI_CATATAN","REVIEW_TERCATAT"))))))))</x:f>
        <x:v>REVIEW_TERCATAT</x:v>
      </x:c>
      <x:c r="J246" s="4" t="str">
        <x:v>Label dataset dan prediksi baseline sama; makna MVP belum direview. Kesepakatan keduanya belum membuktikan label final.</x:v>
      </x:c>
      <x:c r="K246" s="4" t="str">
        <x:v>EARTHQUAKE</x:v>
      </x:c>
      <x:c r="L246" s="14" t="n">
        <x:v>0.9824057817459106</x:v>
      </x:c>
    </x:row>
    <x:row r="247" ht="66" customHeight="1">
      <x:c r="A247" s="4" t="str">
        <x:v>BAN-01329</x:v>
      </x:c>
      <x:c r="B247" s="4" t="str">
        <x:v>suasana cabin campus canteen posko bantuan tim relawan &amp; bantuan kemanusiaan mahasiswa fakultas teknologi industri umi makassar yang insya allah akan berangkat ke lokasi bencana banjir bandang di jeneponto hari minggu 27/1/2019</x:v>
      </x:c>
      <x:c r="C247" s="4" t="str">
        <x:v>NON_EVENT</x:v>
      </x:c>
      <x:c r="D247" s="4" t="str">
        <x:v>NON_EVENT</x:v>
      </x:c>
      <x:c r="E247" s="12" t="str">
        <x:v>KOREKSI</x:v>
      </x:c>
      <x:c r="F247" s="12" t="str">
        <x:v>FLOOD</x:v>
      </x:c>
      <x:c r="G247" s="12" t="str">
        <x:v>Rencana keberangkatan relawan ditujukan ke lokasi bencana banjir bandang Jeneponto. Waktu keberangkatan mendatang tidak meniadakan banjir. R1,R5.</x:v>
      </x:c>
      <x:c r="H247" s="4" t="str">
        <x:f>IF(E247="SETUJU_USULAN",D247,IF(E247="KOREKSI",F247,""))</x:f>
        <x:v>FLOOD</x:v>
      </x:c>
      <x:c r="I247" s="4" t="str">
        <x:f>IF(E247="","BELUM_DIREVIEW",IF(E247="TUNDA","DITUNDA",IF(TRIM(Panduan!$B$5)="","ISI_REVIEWER",IF(AND(E247&lt;&gt;"SETUJU_USULAN",E247&lt;&gt;"KOREKSI"),"CEK_KEPUTUSAN",IF(AND(E247="SETUJU_USULAN",F247&lt;&gt;""),"HAPUS_KOREKSI",IF(H247="","ISI_KOREKSI",IF(NOT(OR(H247="FLOOD",H247="EARTHQUAKE",H247="FIRE",H247="ACCIDENT",H247="NON_EVENT")),"CEK_LABEL",IF(AND(E247="KOREKSI",TRIM(G247)=""),"ISI_CATATAN","REVIEW_TERCATAT"))))))))</x:f>
        <x:v>REVIEW_TERCATAT</x:v>
      </x:c>
      <x:c r="J247" s="4" t="str">
        <x:v>Label dataset dan prediksi baseline sama; makna MVP belum direview. Kesepakatan keduanya belum membuktikan label final.</x:v>
      </x:c>
      <x:c r="K247" s="4" t="str">
        <x:v>NON_EVENT</x:v>
      </x:c>
      <x:c r="L247" s="14" t="n">
        <x:v>0.982408344745636</x:v>
      </x:c>
    </x:row>
    <x:row r="248" ht="66" customHeight="1">
      <x:c r="A248" s="4" t="str">
        <x:v>BAN-01160</x:v>
      </x:c>
      <x:c r="B248" s="4" t="str">
        <x:v>yess banjir durian '' taman buah mekarsari akan dimulai besok nih fruityzen menggiurkan banget nih ragam jenis buah durian lokal nusantara spesial di pekan liburan natal dan tahun baru taman buah mekarsari 22 desember 2018 hingga 6 januari 2019 info : ( 21 ) 823 18 22</x:v>
      </x:c>
      <x:c r="C248" s="4" t="str">
        <x:v>NON_EVENT</x:v>
      </x:c>
      <x:c r="D248" s="4" t="str">
        <x:v>NON_EVENT</x:v>
      </x:c>
      <x:c r="E248" s="12" t="str">
        <x:v>SETUJU_USULAN</x:v>
      </x:c>
      <x:c r="F248" s="12" t="str"/>
      <x:c r="G248" s="12" t="str">
        <x:v>Banjir durian merupakan nama promosi buah, bukan banjir air. R3.</x:v>
      </x:c>
      <x:c r="H248" s="4" t="str">
        <x:f>IF(E248="SETUJU_USULAN",D248,IF(E248="KOREKSI",F248,""))</x:f>
        <x:v>NON_EVENT</x:v>
      </x:c>
      <x:c r="I248" s="4" t="str">
        <x:f>IF(E248="","BELUM_DIREVIEW",IF(E248="TUNDA","DITUNDA",IF(TRIM(Panduan!$B$5)="","ISI_REVIEWER",IF(AND(E248&lt;&gt;"SETUJU_USULAN",E248&lt;&gt;"KOREKSI"),"CEK_KEPUTUSAN",IF(AND(E248="SETUJU_USULAN",F248&lt;&gt;""),"HAPUS_KOREKSI",IF(H248="","ISI_KOREKSI",IF(NOT(OR(H248="FLOOD",H248="EARTHQUAKE",H248="FIRE",H248="ACCIDENT",H248="NON_EVENT")),"CEK_LABEL",IF(AND(E248="KOREKSI",TRIM(G248)=""),"ISI_CATATAN","REVIEW_TERCATAT"))))))))</x:f>
        <x:v>REVIEW_TERCATAT</x:v>
      </x:c>
      <x:c r="J248" s="4" t="str">
        <x:v>Label dataset dan prediksi baseline sama; makna MVP belum direview. Kesepakatan keduanya belum membuktikan label final.</x:v>
      </x:c>
      <x:c r="K248" s="4" t="str">
        <x:v>NON_EVENT</x:v>
      </x:c>
      <x:c r="L248" s="14" t="n">
        <x:v>0.9825725555419922</x:v>
      </x:c>
    </x:row>
    <x:row r="249" ht="66" customHeight="1">
      <x:c r="A249" s="4" t="str">
        <x:v>BAN-01086</x:v>
      </x:c>
      <x:c r="B249" s="4" t="str">
        <x:v>di semarang banjir seperti ini saja gubernur aparat warga &amp; netizennya adem masih bisa tertawa dan hidup harmoni dengan banjir suasana tetap akrab rukun dan informasinya saling melengkapi coba kalau hal ini juga bisa berlaku di banjir jakarta alangkah ademnya hidup ini</x:v>
      </x:c>
      <x:c r="C249" s="4" t="str">
        <x:v>NON_EVENT</x:v>
      </x:c>
      <x:c r="D249" s="4" t="str">
        <x:v>NON_EVENT</x:v>
      </x:c>
      <x:c r="E249" s="12" t="str">
        <x:v>KOREKSI</x:v>
      </x:c>
      <x:c r="F249" s="12" t="str">
        <x:v>FLOOD</x:v>
      </x:c>
      <x:c r="G249" s="12" t="str">
        <x:v>Kondisi banjir Semarang disebut sedang dihadapi warga. Perbandingan bernada politis tidak menjadikannya kiasan. R1,R5.</x:v>
      </x:c>
      <x:c r="H249" s="4" t="str">
        <x:f>IF(E249="SETUJU_USULAN",D249,IF(E249="KOREKSI",F249,""))</x:f>
        <x:v>FLOOD</x:v>
      </x:c>
      <x:c r="I249" s="4" t="str">
        <x:f>IF(E249="","BELUM_DIREVIEW",IF(E249="TUNDA","DITUNDA",IF(TRIM(Panduan!$B$5)="","ISI_REVIEWER",IF(AND(E249&lt;&gt;"SETUJU_USULAN",E249&lt;&gt;"KOREKSI"),"CEK_KEPUTUSAN",IF(AND(E249="SETUJU_USULAN",F249&lt;&gt;""),"HAPUS_KOREKSI",IF(H249="","ISI_KOREKSI",IF(NOT(OR(H249="FLOOD",H249="EARTHQUAKE",H249="FIRE",H249="ACCIDENT",H249="NON_EVENT")),"CEK_LABEL",IF(AND(E249="KOREKSI",TRIM(G249)=""),"ISI_CATATAN","REVIEW_TERCATAT"))))))))</x:f>
        <x:v>REVIEW_TERCATAT</x:v>
      </x:c>
      <x:c r="J249" s="4" t="str">
        <x:v>Label dataset dan prediksi baseline sama; makna MVP belum direview. Kesepakatan keduanya belum membuktikan label final.</x:v>
      </x:c>
      <x:c r="K249" s="4" t="str">
        <x:v>NON_EVENT</x:v>
      </x:c>
      <x:c r="L249" s="14" t="n">
        <x:v>0.9827308058738708</x:v>
      </x:c>
    </x:row>
    <x:row r="250" ht="66" customHeight="1">
      <x:c r="A250" s="4" t="str">
        <x:v>GEM-01053</x:v>
      </x:c>
      <x:c r="B250" s="4" t="str">
        <x:v>deteksi gempa bumi dengan jaringan fiber optic kabel fiber optic digunakan sebagai perantara koneksi internet dengan kecepatan lebih baik dibandingkan koneksi mobile namun para peneliti di stanford university amerika serikat berhasil memanfaatkan</x:v>
      </x:c>
      <x:c r="C250" s="4" t="str">
        <x:v>NON_EVENT</x:v>
      </x:c>
      <x:c r="D250" s="4" t="str">
        <x:v>NON_EVENT</x:v>
      </x:c>
      <x:c r="E250" s="12" t="str">
        <x:v>SETUJU_USULAN</x:v>
      </x:c>
      <x:c r="F250" s="12" t="str"/>
      <x:c r="G250" s="12" t="str">
        <x:v>Narasi menjelaskan teknologi deteksi gempa, tanpa kejadian gempa tertentu. R3.</x:v>
      </x:c>
      <x:c r="H250" s="4" t="str">
        <x:f>IF(E250="SETUJU_USULAN",D250,IF(E250="KOREKSI",F250,""))</x:f>
        <x:v>NON_EVENT</x:v>
      </x:c>
      <x:c r="I250" s="4" t="str">
        <x:f>IF(E250="","BELUM_DIREVIEW",IF(E250="TUNDA","DITUNDA",IF(TRIM(Panduan!$B$5)="","ISI_REVIEWER",IF(AND(E250&lt;&gt;"SETUJU_USULAN",E250&lt;&gt;"KOREKSI"),"CEK_KEPUTUSAN",IF(AND(E250="SETUJU_USULAN",F250&lt;&gt;""),"HAPUS_KOREKSI",IF(H250="","ISI_KOREKSI",IF(NOT(OR(H250="FLOOD",H250="EARTHQUAKE",H250="FIRE",H250="ACCIDENT",H250="NON_EVENT")),"CEK_LABEL",IF(AND(E250="KOREKSI",TRIM(G250)=""),"ISI_CATATAN","REVIEW_TERCATAT"))))))))</x:f>
        <x:v>REVIEW_TERCATAT</x:v>
      </x:c>
      <x:c r="J250" s="4" t="str">
        <x:v>Label dataset dan prediksi baseline sama; makna MVP belum direview. Kesepakatan keduanya belum membuktikan label final.</x:v>
      </x:c>
      <x:c r="K250" s="4" t="str">
        <x:v>NON_EVENT</x:v>
      </x:c>
      <x:c r="L250" s="14" t="n">
        <x:v>0.9827557802200317</x:v>
      </x:c>
    </x:row>
    <x:row r="251" ht="66" customHeight="1">
      <x:c r="A251" s="4" t="str">
        <x:v>KEB-00344</x:v>
      </x:c>
      <x:c r="B251" s="4" t="str">
        <x:v>kek di he is psychometric , tujuan nya nemuin kejadian di balik kebakaran . kita udah ada tersangka dari awal dan sepanjang drama ya cuma ttg nebak cerita dari kedua nya aja , mana yg tersangka bnrn . sedangkan di memorist ini , tersangka nya bukan jajaran org yg muncul sepanjg drama</x:v>
      </x:c>
      <x:c r="C251" s="4" t="str">
        <x:v>NON_EVENT</x:v>
      </x:c>
      <x:c r="D251" s="4" t="str">
        <x:v>NON_EVENT</x:v>
      </x:c>
      <x:c r="E251" s="12" t="str">
        <x:v>SETUJU_USULAN</x:v>
      </x:c>
      <x:c r="F251" s="12" t="str"/>
      <x:c r="G251" s="12" t="str">
        <x:v>Kebakaran dibahas sebagai bagian alur drama He Is Psychometric dan Memorist, bukan klaim kejadian nyata. R3.</x:v>
      </x:c>
      <x:c r="H251" s="4" t="str">
        <x:f>IF(E251="SETUJU_USULAN",D251,IF(E251="KOREKSI",F251,""))</x:f>
        <x:v>NON_EVENT</x:v>
      </x:c>
      <x:c r="I251" s="4" t="str">
        <x:f>IF(E251="","BELUM_DIREVIEW",IF(E251="TUNDA","DITUNDA",IF(TRIM(Panduan!$B$5)="","ISI_REVIEWER",IF(AND(E251&lt;&gt;"SETUJU_USULAN",E251&lt;&gt;"KOREKSI"),"CEK_KEPUTUSAN",IF(AND(E251="SETUJU_USULAN",F251&lt;&gt;""),"HAPUS_KOREKSI",IF(H251="","ISI_KOREKSI",IF(NOT(OR(H251="FLOOD",H251="EARTHQUAKE",H251="FIRE",H251="ACCIDENT",H251="NON_EVENT")),"CEK_LABEL",IF(AND(E251="KOREKSI",TRIM(G251)=""),"ISI_CATATAN","REVIEW_TERCATAT"))))))))</x:f>
        <x:v>REVIEW_TERCATAT</x:v>
      </x:c>
      <x:c r="J251" s="4" t="str">
        <x:v>Label dataset dan prediksi baseline sama; makna MVP belum direview. Kesepakatan keduanya belum membuktikan label final.</x:v>
      </x:c>
      <x:c r="K251" s="4" t="str">
        <x:v>NON_EVENT</x:v>
      </x:c>
      <x:c r="L251" s="14" t="n">
        <x:v>0.9827844500541687</x:v>
      </x:c>
    </x:row>
    <x:row r="252" ht="66" customHeight="1">
      <x:c r="A252" s="4" t="str">
        <x:v>BAN-01654</x:v>
      </x:c>
      <x:c r="B252" s="4" t="str">
        <x:v>banyak orang berpersepsi buruk terhadap kinerja anies kerna banjir di beberapa wil jakarta mari kita kedepankan prasangka baik : 1 bisa jadi anies belum tahu kalau jakarta banjir 2 anies masih butuh waktu menununggu jawaban air kapan mereka bersedia masuk ke tanah</x:v>
      </x:c>
      <x:c r="C252" s="4" t="str">
        <x:v>NON_EVENT</x:v>
      </x:c>
      <x:c r="D252" s="4" t="str">
        <x:v>NON_EVENT</x:v>
      </x:c>
      <x:c r="E252" s="12" t="str">
        <x:v>KOREKSI</x:v>
      </x:c>
      <x:c r="F252" s="12" t="str">
        <x:v>FLOOD</x:v>
      </x:c>
      <x:c r="G252" s="12" t="str">
        <x:v>Sindiran terhadap gubernur diawali banjir di beberapa wilayah Jakarta. Pernyataan banjir tetap literal. R1,R5.</x:v>
      </x:c>
      <x:c r="H252" s="4" t="str">
        <x:f>IF(E252="SETUJU_USULAN",D252,IF(E252="KOREKSI",F252,""))</x:f>
        <x:v>FLOOD</x:v>
      </x:c>
      <x:c r="I252" s="4" t="str">
        <x:f>IF(E252="","BELUM_DIREVIEW",IF(E252="TUNDA","DITUNDA",IF(TRIM(Panduan!$B$5)="","ISI_REVIEWER",IF(AND(E252&lt;&gt;"SETUJU_USULAN",E252&lt;&gt;"KOREKSI"),"CEK_KEPUTUSAN",IF(AND(E252="SETUJU_USULAN",F252&lt;&gt;""),"HAPUS_KOREKSI",IF(H252="","ISI_KOREKSI",IF(NOT(OR(H252="FLOOD",H252="EARTHQUAKE",H252="FIRE",H252="ACCIDENT",H252="NON_EVENT")),"CEK_LABEL",IF(AND(E252="KOREKSI",TRIM(G252)=""),"ISI_CATATAN","REVIEW_TERCATAT"))))))))</x:f>
        <x:v>REVIEW_TERCATAT</x:v>
      </x:c>
      <x:c r="J252" s="4" t="str">
        <x:v>Label dataset dan prediksi baseline sama; makna MVP belum direview. Kesepakatan keduanya belum membuktikan label final.</x:v>
      </x:c>
      <x:c r="K252" s="4" t="str">
        <x:v>NON_EVENT</x:v>
      </x:c>
      <x:c r="L252" s="14" t="n">
        <x:v>0.9829402565956116</x:v>
      </x:c>
    </x:row>
    <x:row r="253" ht="66" customHeight="1">
      <x:c r="A253" s="4" t="str">
        <x:v>BAN-01566</x:v>
      </x:c>
      <x:c r="B253" s="4" t="str">
        <x:v>kita semua berduka atas musibah banjir di sentani semoga para korban mendapatkan tempat terbaik di sisi-nya dan keluarga yang ditinggalkan diberi ketabahan atas musibah ini mari kita berdoa saudara2 kita yang masih hilang segera diketemukan</x:v>
      </x:c>
      <x:c r="C253" s="4" t="str">
        <x:v>NON_EVENT</x:v>
      </x:c>
      <x:c r="D253" s="4" t="str">
        <x:v>NON_EVENT</x:v>
      </x:c>
      <x:c r="E253" s="12" t="str">
        <x:v>KOREKSI</x:v>
      </x:c>
      <x:c r="F253" s="12" t="str">
        <x:v>FLOOD</x:v>
      </x:c>
      <x:c r="G253" s="12" t="str">
        <x:v>Dukacita menyebut musibah banjir Sentani, korban dan orang hilang. R1,R5.</x:v>
      </x:c>
      <x:c r="H253" s="4" t="str">
        <x:f>IF(E253="SETUJU_USULAN",D253,IF(E253="KOREKSI",F253,""))</x:f>
        <x:v>FLOOD</x:v>
      </x:c>
      <x:c r="I253" s="4" t="str">
        <x:f>IF(E253="","BELUM_DIREVIEW",IF(E253="TUNDA","DITUNDA",IF(TRIM(Panduan!$B$5)="","ISI_REVIEWER",IF(AND(E253&lt;&gt;"SETUJU_USULAN",E253&lt;&gt;"KOREKSI"),"CEK_KEPUTUSAN",IF(AND(E253="SETUJU_USULAN",F253&lt;&gt;""),"HAPUS_KOREKSI",IF(H253="","ISI_KOREKSI",IF(NOT(OR(H253="FLOOD",H253="EARTHQUAKE",H253="FIRE",H253="ACCIDENT",H253="NON_EVENT")),"CEK_LABEL",IF(AND(E253="KOREKSI",TRIM(G253)=""),"ISI_CATATAN","REVIEW_TERCATAT"))))))))</x:f>
        <x:v>REVIEW_TERCATAT</x:v>
      </x:c>
      <x:c r="J253" s="4" t="str">
        <x:v>Label dataset dan prediksi baseline sama; makna MVP belum direview. Kesepakatan keduanya belum membuktikan label final.</x:v>
      </x:c>
      <x:c r="K253" s="4" t="str">
        <x:v>NON_EVENT</x:v>
      </x:c>
      <x:c r="L253" s="14" t="n">
        <x:v>0.9830905199050903</x:v>
      </x:c>
    </x:row>
    <x:row r="254" ht="64" customHeight="1">
      <x:c r="A254" s="4" t="str">
        <x:v>BAN-01052</x:v>
      </x:c>
      <x:c r="B254" s="4" t="str">
        <x:v>penanganan banjir dan pembersihan sampah di saluran rumah pompa summarecon oleh urc pemeliharaan sda dpu cc</x:v>
      </x:c>
      <x:c r="C254" s="4" t="str">
        <x:v>NON_EVENT</x:v>
      </x:c>
      <x:c r="D254" s="4" t="str">
        <x:v>NON_EVENT</x:v>
      </x:c>
      <x:c r="E254" s="12" t="str">
        <x:v>KOREKSI</x:v>
      </x:c>
      <x:c r="F254" s="12" t="str">
        <x:v>FLOOD</x:v>
      </x:c>
      <x:c r="G254" s="12" t="str">
        <x:v>Penanganan banjir dan pembersihan saluran di rumah pompa Summarecon dinyatakan sebagai kegiatan yang dilakukan. R1,R5.</x:v>
      </x:c>
      <x:c r="H254" s="4" t="str">
        <x:f>IF(E254="SETUJU_USULAN",D254,IF(E254="KOREKSI",F254,""))</x:f>
        <x:v>FLOOD</x:v>
      </x:c>
      <x:c r="I254" s="4" t="str">
        <x:f>IF(E254="","BELUM_DIREVIEW",IF(E254="TUNDA","DITUNDA",IF(TRIM(Panduan!$B$5)="","ISI_REVIEWER",IF(AND(E254&lt;&gt;"SETUJU_USULAN",E254&lt;&gt;"KOREKSI"),"CEK_KEPUTUSAN",IF(AND(E254="SETUJU_USULAN",F254&lt;&gt;""),"HAPUS_KOREKSI",IF(H254="","ISI_KOREKSI",IF(NOT(OR(H254="FLOOD",H254="EARTHQUAKE",H254="FIRE",H254="ACCIDENT",H254="NON_EVENT")),"CEK_LABEL",IF(AND(E254="KOREKSI",TRIM(G254)=""),"ISI_CATATAN","REVIEW_TERCATAT"))))))))</x:f>
        <x:v>REVIEW_TERCATAT</x:v>
      </x:c>
      <x:c r="J254" s="4" t="str">
        <x:v>Label dataset dan prediksi baseline sama; makna MVP belum direview. Kesepakatan keduanya belum membuktikan label final.</x:v>
      </x:c>
      <x:c r="K254" s="4" t="str">
        <x:v>NON_EVENT</x:v>
      </x:c>
      <x:c r="L254" s="14" t="n">
        <x:v>0.9830991625785828</x:v>
      </x:c>
    </x:row>
    <x:row r="255" ht="64" customHeight="1">
      <x:c r="A255" s="4" t="str">
        <x:v>KEB-00630</x:v>
      </x:c>
      <x:c r="B255" s="4" t="str">
        <x:v>kebakaran terjadi di 2 lokasi jakarta selatan sebanyak 12 unit mobil pemadam keb</x:v>
      </x:c>
      <x:c r="C255" s="4" t="str">
        <x:v>FIRE</x:v>
      </x:c>
      <x:c r="D255" s="4" t="str">
        <x:v>FIRE</x:v>
      </x:c>
      <x:c r="E255" s="12" t="str">
        <x:v>SETUJU_USULAN</x:v>
      </x:c>
      <x:c r="F255" s="12" t="str"/>
      <x:c r="G255" s="12" t="str">
        <x:v>Narasi menyatakan kejadian kebakaran yang terjadi atau telah terjadi. Label mengikuti isi kejadian, termasuk penanganan dan dampak yang disebut. R1,R4.</x:v>
      </x:c>
      <x:c r="H255" s="4" t="str">
        <x:f>IF(E255="SETUJU_USULAN",D255,IF(E255="KOREKSI",F255,""))</x:f>
        <x:v>FIRE</x:v>
      </x:c>
      <x:c r="I255" s="4" t="str">
        <x:f>IF(E255="","BELUM_DIREVIEW",IF(E255="TUNDA","DITUNDA",IF(TRIM(Panduan!$B$5)="","ISI_REVIEWER",IF(AND(E255&lt;&gt;"SETUJU_USULAN",E255&lt;&gt;"KOREKSI"),"CEK_KEPUTUSAN",IF(AND(E255="SETUJU_USULAN",F255&lt;&gt;""),"HAPUS_KOREKSI",IF(H255="","ISI_KOREKSI",IF(NOT(OR(H255="FLOOD",H255="EARTHQUAKE",H255="FIRE",H255="ACCIDENT",H255="NON_EVENT")),"CEK_LABEL",IF(AND(E255="KOREKSI",TRIM(G255)=""),"ISI_CATATAN","REVIEW_TERCATAT"))))))))</x:f>
        <x:v>REVIEW_TERCATAT</x:v>
      </x:c>
      <x:c r="J255" s="4" t="str">
        <x:v>Label dataset dan prediksi baseline sama; makna MVP belum direview. Kesepakatan keduanya belum membuktikan label final.</x:v>
      </x:c>
      <x:c r="K255" s="4" t="str">
        <x:v>FIRE</x:v>
      </x:c>
      <x:c r="L255" s="14" t="n">
        <x:v>0.9831695556640625</x:v>
      </x:c>
    </x:row>
    <x:row r="256" ht="64" customHeight="1">
      <x:c r="A256" s="4" t="str">
        <x:v>BAN-01059</x:v>
      </x:c>
      <x:c r="B256" s="4" t="str">
        <x:v>pemprov memiliki aplikasi bernama pantau banjir yang bisa diunduh di google play store melalui aplikasi itu masyarakat bisa mendapatkan informasi mengenai ketinggian air secara tepat dan akurat</x:v>
      </x:c>
      <x:c r="C256" s="4" t="str">
        <x:v>NON_EVENT</x:v>
      </x:c>
      <x:c r="D256" s="4" t="str">
        <x:v>NON_EVENT</x:v>
      </x:c>
      <x:c r="E256" s="12" t="str">
        <x:v>SETUJU_USULAN</x:v>
      </x:c>
      <x:c r="F256" s="12" t="str"/>
      <x:c r="G256" s="12" t="str">
        <x:v>Teks memperkenalkan aplikasi pemantauan banjir, tanpa laporan kejadian. R3.</x:v>
      </x:c>
      <x:c r="H256" s="4" t="str">
        <x:f>IF(E256="SETUJU_USULAN",D256,IF(E256="KOREKSI",F256,""))</x:f>
        <x:v>NON_EVENT</x:v>
      </x:c>
      <x:c r="I256" s="4" t="str">
        <x:f>IF(E256="","BELUM_DIREVIEW",IF(E256="TUNDA","DITUNDA",IF(TRIM(Panduan!$B$5)="","ISI_REVIEWER",IF(AND(E256&lt;&gt;"SETUJU_USULAN",E256&lt;&gt;"KOREKSI"),"CEK_KEPUTUSAN",IF(AND(E256="SETUJU_USULAN",F256&lt;&gt;""),"HAPUS_KOREKSI",IF(H256="","ISI_KOREKSI",IF(NOT(OR(H256="FLOOD",H256="EARTHQUAKE",H256="FIRE",H256="ACCIDENT",H256="NON_EVENT")),"CEK_LABEL",IF(AND(E256="KOREKSI",TRIM(G256)=""),"ISI_CATATAN","REVIEW_TERCATAT"))))))))</x:f>
        <x:v>REVIEW_TERCATAT</x:v>
      </x:c>
      <x:c r="J256" s="4" t="str">
        <x:v>Label dataset dan prediksi baseline sama; makna MVP belum direview. Kesepakatan keduanya belum membuktikan label final.</x:v>
      </x:c>
      <x:c r="K256" s="4" t="str">
        <x:v>NON_EVENT</x:v>
      </x:c>
      <x:c r="L256" s="14" t="n">
        <x:v>0.9831710457801819</x:v>
      </x:c>
    </x:row>
    <x:row r="257" ht="66" customHeight="1">
      <x:c r="A257" s="4" t="str">
        <x:v>BAN-01838</x:v>
      </x:c>
      <x:c r="B257" s="4" t="str">
        <x:v>menikmati keindahan garut dan melihat lebih dekat pembangunan yang dilakukan kementerian pupr ri dalam pengendalian banjir dan jaringan irigasi garut serta merasakan sensasi camping di samping curug di `` garut bumi pangirutan '' hari minggu ( 26/5 ) pukul 0:15:30 wib</x:v>
      </x:c>
      <x:c r="C257" s="4" t="str">
        <x:v>NON_EVENT</x:v>
      </x:c>
      <x:c r="D257" s="4" t="str">
        <x:v>NON_EVENT</x:v>
      </x:c>
      <x:c r="E257" s="12" t="str">
        <x:v>SETUJU_USULAN</x:v>
      </x:c>
      <x:c r="F257" s="12" t="str"/>
      <x:c r="G257" s="12" t="str">
        <x:v>Kunjungan wisata dan proyek pengendalian banjir tidak menyatakan banjir tertentu telah terjadi. R3.</x:v>
      </x:c>
      <x:c r="H257" s="4" t="str">
        <x:f>IF(E257="SETUJU_USULAN",D257,IF(E257="KOREKSI",F257,""))</x:f>
        <x:v>NON_EVENT</x:v>
      </x:c>
      <x:c r="I257" s="4" t="str">
        <x:f>IF(E257="","BELUM_DIREVIEW",IF(E257="TUNDA","DITUNDA",IF(TRIM(Panduan!$B$5)="","ISI_REVIEWER",IF(AND(E257&lt;&gt;"SETUJU_USULAN",E257&lt;&gt;"KOREKSI"),"CEK_KEPUTUSAN",IF(AND(E257="SETUJU_USULAN",F257&lt;&gt;""),"HAPUS_KOREKSI",IF(H257="","ISI_KOREKSI",IF(NOT(OR(H257="FLOOD",H257="EARTHQUAKE",H257="FIRE",H257="ACCIDENT",H257="NON_EVENT")),"CEK_LABEL",IF(AND(E257="KOREKSI",TRIM(G257)=""),"ISI_CATATAN","REVIEW_TERCATAT"))))))))</x:f>
        <x:v>REVIEW_TERCATAT</x:v>
      </x:c>
      <x:c r="J257" s="4" t="str">
        <x:v>Label dataset dan prediksi baseline sama; makna MVP belum direview. Kesepakatan keduanya belum membuktikan label final.</x:v>
      </x:c>
      <x:c r="K257" s="4" t="str">
        <x:v>NON_EVENT</x:v>
      </x:c>
      <x:c r="L257" s="14" t="n">
        <x:v>0.9832679629325867</x:v>
      </x:c>
    </x:row>
    <x:row r="258" ht="64" customHeight="1">
      <x:c r="A258" s="4" t="str">
        <x:v>KEB-00434</x:v>
      </x:c>
      <x:c r="B258" s="4" t="str">
        <x:v>bupati asahan dan sekda asahan memberi bantuan kepada korban kebakaran di kecamatan sei kepayangbarat</x:v>
      </x:c>
      <x:c r="C258" s="4" t="str">
        <x:v>NON_EVENT</x:v>
      </x:c>
      <x:c r="D258" s="4" t="str">
        <x:v>NON_EVENT</x:v>
      </x:c>
      <x:c r="E258" s="12" t="str">
        <x:v>KOREKSI</x:v>
      </x:c>
      <x:c r="F258" s="12" t="str">
        <x:v>FIRE</x:v>
      </x:c>
      <x:c r="G258" s="12" t="str">
        <x:v>Bantuan bupati dan sekda ditujukan kepada korban kebakaran di Sei Kepayang Barat. R1,R5.</x:v>
      </x:c>
      <x:c r="H258" s="4" t="str">
        <x:f>IF(E258="SETUJU_USULAN",D258,IF(E258="KOREKSI",F258,""))</x:f>
        <x:v>FIRE</x:v>
      </x:c>
      <x:c r="I258" s="4" t="str">
        <x:f>IF(E258="","BELUM_DIREVIEW",IF(E258="TUNDA","DITUNDA",IF(TRIM(Panduan!$B$5)="","ISI_REVIEWER",IF(AND(E258&lt;&gt;"SETUJU_USULAN",E258&lt;&gt;"KOREKSI"),"CEK_KEPUTUSAN",IF(AND(E258="SETUJU_USULAN",F258&lt;&gt;""),"HAPUS_KOREKSI",IF(H258="","ISI_KOREKSI",IF(NOT(OR(H258="FLOOD",H258="EARTHQUAKE",H258="FIRE",H258="ACCIDENT",H258="NON_EVENT")),"CEK_LABEL",IF(AND(E258="KOREKSI",TRIM(G258)=""),"ISI_CATATAN","REVIEW_TERCATAT"))))))))</x:f>
        <x:v>REVIEW_TERCATAT</x:v>
      </x:c>
      <x:c r="J258" s="4" t="str">
        <x:v>Label dataset dan prediksi baseline sama; makna MVP belum direview. Kesepakatan keduanya belum membuktikan label final.</x:v>
      </x:c>
      <x:c r="K258" s="4" t="str">
        <x:v>NON_EVENT</x:v>
      </x:c>
      <x:c r="L258" s="14" t="n">
        <x:v>0.9833502769470215</x:v>
      </x:c>
    </x:row>
    <x:row r="259" ht="64" customHeight="1">
      <x:c r="A259" s="4" t="str">
        <x:v>KEC-00365</x:v>
      </x:c>
      <x:c r="B259" s="4" t="str">
        <x:v>doa ' a dan tahlil akbar untuk korban kecelakaan bus di tanjakan emen subang</x:v>
      </x:c>
      <x:c r="C259" s="4" t="str">
        <x:v>NON_EVENT</x:v>
      </x:c>
      <x:c r="D259" s="4" t="str">
        <x:v>NON_EVENT</x:v>
      </x:c>
      <x:c r="E259" s="12" t="str">
        <x:v>KOREKSI</x:v>
      </x:c>
      <x:c r="F259" s="12" t="str">
        <x:v>ACCIDENT</x:v>
      </x:c>
      <x:c r="G259" s="12" t="str">
        <x:v>Doa dan tahlil ditujukan kepada korban kecelakaan bus Tanjakan Emen. Informasi dukacita tetap merujuk kejadian. R1,R5.</x:v>
      </x:c>
      <x:c r="H259" s="4" t="str">
        <x:f>IF(E259="SETUJU_USULAN",D259,IF(E259="KOREKSI",F259,""))</x:f>
        <x:v>ACCIDENT</x:v>
      </x:c>
      <x:c r="I259" s="4" t="str">
        <x:f>IF(E259="","BELUM_DIREVIEW",IF(E259="TUNDA","DITUNDA",IF(TRIM(Panduan!$B$5)="","ISI_REVIEWER",IF(AND(E259&lt;&gt;"SETUJU_USULAN",E259&lt;&gt;"KOREKSI"),"CEK_KEPUTUSAN",IF(AND(E259="SETUJU_USULAN",F259&lt;&gt;""),"HAPUS_KOREKSI",IF(H259="","ISI_KOREKSI",IF(NOT(OR(H259="FLOOD",H259="EARTHQUAKE",H259="FIRE",H259="ACCIDENT",H259="NON_EVENT")),"CEK_LABEL",IF(AND(E259="KOREKSI",TRIM(G259)=""),"ISI_CATATAN","REVIEW_TERCATAT"))))))))</x:f>
        <x:v>REVIEW_TERCATAT</x:v>
      </x:c>
      <x:c r="J259" s="4" t="str">
        <x:v>Label dataset dan prediksi baseline sama; makna MVP belum direview. Kesepakatan keduanya belum membuktikan label final.</x:v>
      </x:c>
      <x:c r="K259" s="4" t="str">
        <x:v>NON_EVENT</x:v>
      </x:c>
      <x:c r="L259" s="14" t="n">
        <x:v>0.9835180044174194</x:v>
      </x:c>
    </x:row>
    <x:row r="260" ht="64" customHeight="1">
      <x:c r="A260" s="4" t="str">
        <x:v>BAN-01221</x:v>
      </x:c>
      <x:c r="B260" s="4" t="str">
        <x:v>tahh lamun bandung banjir ieu salah sahiji mobil nu jadi sebabna ngeunah pisan di jalan bengawan parkir nyatu kacang sabari runtahna dipiceun dijalan mikirrrrr ath</x:v>
      </x:c>
      <x:c r="C260" s="4" t="str">
        <x:v>NON_EVENT</x:v>
      </x:c>
      <x:c r="D260" s="4" t="str">
        <x:v>NON_EVENT</x:v>
      </x:c>
      <x:c r="E260" s="12" t="str">
        <x:v>SETUJU_USULAN</x:v>
      </x:c>
      <x:c r="F260" s="12" t="str"/>
      <x:c r="G260" s="12" t="str">
        <x:v>Kata lamun memperkenalkan kemungkinan banjir akibat membuang sampah. Tidak ada klaim episode banjir. R3.</x:v>
      </x:c>
      <x:c r="H260" s="4" t="str">
        <x:f>IF(E260="SETUJU_USULAN",D260,IF(E260="KOREKSI",F260,""))</x:f>
        <x:v>NON_EVENT</x:v>
      </x:c>
      <x:c r="I260" s="4" t="str">
        <x:f>IF(E260="","BELUM_DIREVIEW",IF(E260="TUNDA","DITUNDA",IF(TRIM(Panduan!$B$5)="","ISI_REVIEWER",IF(AND(E260&lt;&gt;"SETUJU_USULAN",E260&lt;&gt;"KOREKSI"),"CEK_KEPUTUSAN",IF(AND(E260="SETUJU_USULAN",F260&lt;&gt;""),"HAPUS_KOREKSI",IF(H260="","ISI_KOREKSI",IF(NOT(OR(H260="FLOOD",H260="EARTHQUAKE",H260="FIRE",H260="ACCIDENT",H260="NON_EVENT")),"CEK_LABEL",IF(AND(E260="KOREKSI",TRIM(G260)=""),"ISI_CATATAN","REVIEW_TERCATAT"))))))))</x:f>
        <x:v>REVIEW_TERCATAT</x:v>
      </x:c>
      <x:c r="J260" s="4" t="str">
        <x:v>Label dataset dan prediksi baseline sama; makna MVP belum direview. Kesepakatan keduanya belum membuktikan label final.</x:v>
      </x:c>
      <x:c r="K260" s="4" t="str">
        <x:v>NON_EVENT</x:v>
      </x:c>
      <x:c r="L260" s="14" t="n">
        <x:v>0.9835863709449768</x:v>
      </x:c>
    </x:row>
    <x:row r="261" ht="64" customHeight="1">
      <x:c r="A261" s="4" t="str">
        <x:v>BAN-01724</x:v>
      </x:c>
      <x:c r="B261" s="4" t="str">
        <x:v>mengoceh saja pada banjir mudik gih daftar buruan jangan pade balik lagi ahhahah orang mah ya banjir pade bikin aksi bantuan lah ini pade nyinyir bae kayak akun akun gosip di poster mudik nih</x:v>
      </x:c>
      <x:c r="C261" s="4" t="str">
        <x:v>NON_EVENT</x:v>
      </x:c>
      <x:c r="D261" s="4" t="str">
        <x:v>NON_EVENT</x:v>
      </x:c>
      <x:c r="E261" s="12" t="str">
        <x:v>SETUJU_USULAN</x:v>
      </x:c>
      <x:c r="F261" s="12" t="str"/>
      <x:c r="G261" s="12" t="str">
        <x:v>Kritik mengenai sikap saat banjir dan aksi bantuan disampaikan secara umum, tanpa klaim satu kejadian tertentu. R3.</x:v>
      </x:c>
      <x:c r="H261" s="4" t="str">
        <x:f>IF(E261="SETUJU_USULAN",D261,IF(E261="KOREKSI",F261,""))</x:f>
        <x:v>NON_EVENT</x:v>
      </x:c>
      <x:c r="I261" s="4" t="str">
        <x:f>IF(E261="","BELUM_DIREVIEW",IF(E261="TUNDA","DITUNDA",IF(TRIM(Panduan!$B$5)="","ISI_REVIEWER",IF(AND(E261&lt;&gt;"SETUJU_USULAN",E261&lt;&gt;"KOREKSI"),"CEK_KEPUTUSAN",IF(AND(E261="SETUJU_USULAN",F261&lt;&gt;""),"HAPUS_KOREKSI",IF(H261="","ISI_KOREKSI",IF(NOT(OR(H261="FLOOD",H261="EARTHQUAKE",H261="FIRE",H261="ACCIDENT",H261="NON_EVENT")),"CEK_LABEL",IF(AND(E261="KOREKSI",TRIM(G261)=""),"ISI_CATATAN","REVIEW_TERCATAT"))))))))</x:f>
        <x:v>REVIEW_TERCATAT</x:v>
      </x:c>
      <x:c r="J261" s="4" t="str">
        <x:v>Label dataset dan prediksi baseline sama; makna MVP belum direview. Kesepakatan keduanya belum membuktikan label final.</x:v>
      </x:c>
      <x:c r="K261" s="4" t="str">
        <x:v>NON_EVENT</x:v>
      </x:c>
      <x:c r="L261" s="14" t="n">
        <x:v>0.9835991859436035</x:v>
      </x:c>
    </x:row>
    <x:row r="262" ht="64" customHeight="1">
      <x:c r="A262" s="4" t="str">
        <x:v>KEC-00325</x:v>
      </x:c>
      <x:c r="B262" s="4" t="str">
        <x:v>breaking news kecelakaan di subang banyak penumpang terje : melalui</x:v>
      </x:c>
      <x:c r="C262" s="4" t="str">
        <x:v>ACCIDENT</x:v>
      </x:c>
      <x:c r="D262" s="4" t="str">
        <x:v>ACCIDENT</x:v>
      </x:c>
      <x:c r="E262" s="12" t="str">
        <x:v>SETUJU_USULAN</x:v>
      </x:c>
      <x:c r="F262" s="12" t="str"/>
      <x:c r="G262" s="12" t="str">
        <x:v>Narasi menyatakan kejadian kecelakaan yang terjadi atau telah terjadi. Label mengikuti isi kejadian, termasuk penanganan dan dampak yang disebut. R1,R4.</x:v>
      </x:c>
      <x:c r="H262" s="4" t="str">
        <x:f>IF(E262="SETUJU_USULAN",D262,IF(E262="KOREKSI",F262,""))</x:f>
        <x:v>ACCIDENT</x:v>
      </x:c>
      <x:c r="I262" s="4" t="str">
        <x:f>IF(E262="","BELUM_DIREVIEW",IF(E262="TUNDA","DITUNDA",IF(TRIM(Panduan!$B$5)="","ISI_REVIEWER",IF(AND(E262&lt;&gt;"SETUJU_USULAN",E262&lt;&gt;"KOREKSI"),"CEK_KEPUTUSAN",IF(AND(E262="SETUJU_USULAN",F262&lt;&gt;""),"HAPUS_KOREKSI",IF(H262="","ISI_KOREKSI",IF(NOT(OR(H262="FLOOD",H262="EARTHQUAKE",H262="FIRE",H262="ACCIDENT",H262="NON_EVENT")),"CEK_LABEL",IF(AND(E262="KOREKSI",TRIM(G262)=""),"ISI_CATATAN","REVIEW_TERCATAT"))))))))</x:f>
        <x:v>REVIEW_TERCATAT</x:v>
      </x:c>
      <x:c r="J262" s="4" t="str">
        <x:v>Label dataset dan prediksi baseline sama; makna MVP belum direview. Kesepakatan keduanya belum membuktikan label final.</x:v>
      </x:c>
      <x:c r="K262" s="4" t="str">
        <x:v>ACCIDENT</x:v>
      </x:c>
      <x:c r="L262" s="14" t="n">
        <x:v>0.9837110638618469</x:v>
      </x:c>
    </x:row>
    <x:row r="263" ht="64" customHeight="1">
      <x:c r="A263" s="4" t="str">
        <x:v>BAN-01483</x:v>
      </x:c>
      <x:c r="B263" s="4" t="str">
        <x:v>bapak bupati stay sejak bencana banjir sampai hari ini banser siap di belakang bapak bupati madiun</x:v>
      </x:c>
      <x:c r="C263" s="4" t="str">
        <x:v>NON_EVENT</x:v>
      </x:c>
      <x:c r="D263" s="4" t="str">
        <x:v>NON_EVENT</x:v>
      </x:c>
      <x:c r="E263" s="12" t="str">
        <x:v>KOREKSI</x:v>
      </x:c>
      <x:c r="F263" s="12" t="str">
        <x:v>FLOOD</x:v>
      </x:c>
      <x:c r="G263" s="12" t="str">
        <x:v>Bupati disebut tetap berada di lokasi sejak bencana banjir di Madiun. Pernyataan dukungan tidak menghapus kejadian. R1,R5.</x:v>
      </x:c>
      <x:c r="H263" s="4" t="str">
        <x:f>IF(E263="SETUJU_USULAN",D263,IF(E263="KOREKSI",F263,""))</x:f>
        <x:v>FLOOD</x:v>
      </x:c>
      <x:c r="I263" s="4" t="str">
        <x:f>IF(E263="","BELUM_DIREVIEW",IF(E263="TUNDA","DITUNDA",IF(TRIM(Panduan!$B$5)="","ISI_REVIEWER",IF(AND(E263&lt;&gt;"SETUJU_USULAN",E263&lt;&gt;"KOREKSI"),"CEK_KEPUTUSAN",IF(AND(E263="SETUJU_USULAN",F263&lt;&gt;""),"HAPUS_KOREKSI",IF(H263="","ISI_KOREKSI",IF(NOT(OR(H263="FLOOD",H263="EARTHQUAKE",H263="FIRE",H263="ACCIDENT",H263="NON_EVENT")),"CEK_LABEL",IF(AND(E263="KOREKSI",TRIM(G263)=""),"ISI_CATATAN","REVIEW_TERCATAT"))))))))</x:f>
        <x:v>REVIEW_TERCATAT</x:v>
      </x:c>
      <x:c r="J263" s="4" t="str">
        <x:v>Label dataset dan prediksi baseline sama; makna MVP belum direview. Kesepakatan keduanya belum membuktikan label final.</x:v>
      </x:c>
      <x:c r="K263" s="4" t="str">
        <x:v>NON_EVENT</x:v>
      </x:c>
      <x:c r="L263" s="14" t="n">
        <x:v>0.9837676286697388</x:v>
      </x:c>
    </x:row>
    <x:row r="264" ht="64" customHeight="1">
      <x:c r="A264" s="4" t="str">
        <x:v>BAN-01840</x:v>
      </x:c>
      <x:c r="B264" s="4" t="str">
        <x:v>ada daerah yang seharusnya enggak banjir di palangkaraya eh kalau hujan banjir bikin malu ya tweeps</x:v>
      </x:c>
      <x:c r="C264" s="4" t="str">
        <x:v>NON_EVENT</x:v>
      </x:c>
      <x:c r="D264" s="4" t="str">
        <x:v>NON_EVENT</x:v>
      </x:c>
      <x:c r="E264" s="12" t="str">
        <x:v>SETUJU_USULAN</x:v>
      </x:c>
      <x:c r="F264" s="12" t="str"/>
      <x:c r="G264" s="12" t="str">
        <x:v>Keluhan menyatakan pola kalau hujan lalu banjir, tanpa episode kejadian tertentu. R3.</x:v>
      </x:c>
      <x:c r="H264" s="4" t="str">
        <x:f>IF(E264="SETUJU_USULAN",D264,IF(E264="KOREKSI",F264,""))</x:f>
        <x:v>NON_EVENT</x:v>
      </x:c>
      <x:c r="I264" s="4" t="str">
        <x:f>IF(E264="","BELUM_DIREVIEW",IF(E264="TUNDA","DITUNDA",IF(TRIM(Panduan!$B$5)="","ISI_REVIEWER",IF(AND(E264&lt;&gt;"SETUJU_USULAN",E264&lt;&gt;"KOREKSI"),"CEK_KEPUTUSAN",IF(AND(E264="SETUJU_USULAN",F264&lt;&gt;""),"HAPUS_KOREKSI",IF(H264="","ISI_KOREKSI",IF(NOT(OR(H264="FLOOD",H264="EARTHQUAKE",H264="FIRE",H264="ACCIDENT",H264="NON_EVENT")),"CEK_LABEL",IF(AND(E264="KOREKSI",TRIM(G264)=""),"ISI_CATATAN","REVIEW_TERCATAT"))))))))</x:f>
        <x:v>REVIEW_TERCATAT</x:v>
      </x:c>
      <x:c r="J264" s="4" t="str">
        <x:v>Label dataset dan prediksi baseline sama; makna MVP belum direview. Kesepakatan keduanya belum membuktikan label final.</x:v>
      </x:c>
      <x:c r="K264" s="4" t="str">
        <x:v>NON_EVENT</x:v>
      </x:c>
      <x:c r="L264" s="14" t="n">
        <x:v>0.9838597774505615</x:v>
      </x:c>
    </x:row>
    <x:row r="265" ht="64" customHeight="1">
      <x:c r="A265" s="4" t="str">
        <x:v>BAN-01902</x:v>
      </x:c>
      <x:c r="B265" s="4" t="str">
        <x:v>pertemuan antara pemkab jayapura dengan yayasan budha suci yang akan memberikan bantuan 500 unit rumah bagi korban banjir bandang di kabupaten jayapura beberapa waktu lalu</x:v>
      </x:c>
      <x:c r="C265" s="4" t="str">
        <x:v>NON_EVENT</x:v>
      </x:c>
      <x:c r="D265" s="4" t="str">
        <x:v>NON_EVENT</x:v>
      </x:c>
      <x:c r="E265" s="12" t="str">
        <x:v>KOREKSI</x:v>
      </x:c>
      <x:c r="F265" s="12" t="str">
        <x:v>FLOOD</x:v>
      </x:c>
      <x:c r="G265" s="12" t="str">
        <x:v>Rencana bantuan rumah merujuk korban banjir bandang Kabupaten Jayapura beberapa waktu lalu. R1,R5,R6.</x:v>
      </x:c>
      <x:c r="H265" s="4" t="str">
        <x:f>IF(E265="SETUJU_USULAN",D265,IF(E265="KOREKSI",F265,""))</x:f>
        <x:v>FLOOD</x:v>
      </x:c>
      <x:c r="I265" s="4" t="str">
        <x:f>IF(E265="","BELUM_DIREVIEW",IF(E265="TUNDA","DITUNDA",IF(TRIM(Panduan!$B$5)="","ISI_REVIEWER",IF(AND(E265&lt;&gt;"SETUJU_USULAN",E265&lt;&gt;"KOREKSI"),"CEK_KEPUTUSAN",IF(AND(E265="SETUJU_USULAN",F265&lt;&gt;""),"HAPUS_KOREKSI",IF(H265="","ISI_KOREKSI",IF(NOT(OR(H265="FLOOD",H265="EARTHQUAKE",H265="FIRE",H265="ACCIDENT",H265="NON_EVENT")),"CEK_LABEL",IF(AND(E265="KOREKSI",TRIM(G265)=""),"ISI_CATATAN","REVIEW_TERCATAT"))))))))</x:f>
        <x:v>REVIEW_TERCATAT</x:v>
      </x:c>
      <x:c r="J265" s="4" t="str">
        <x:v>Label dataset dan prediksi baseline sama; makna MVP belum direview. Kesepakatan keduanya belum membuktikan label final.</x:v>
      </x:c>
      <x:c r="K265" s="4" t="str">
        <x:v>NON_EVENT</x:v>
      </x:c>
      <x:c r="L265" s="14" t="n">
        <x:v>0.9839206337928772</x:v>
      </x:c>
    </x:row>
    <x:row r="266" ht="64" customHeight="1">
      <x:c r="A266" s="4" t="str">
        <x:v>BAN-01706</x:v>
      </x:c>
      <x:c r="B266" s="4" t="str">
        <x:v>iya yang pasti jayapura bebas polusi dan banjir wakakakakak udaranya segar banget karena dulu masih banyak hutan di belakang rumah juga hutan</x:v>
      </x:c>
      <x:c r="C266" s="4" t="str">
        <x:v>NON_EVENT</x:v>
      </x:c>
      <x:c r="D266" s="4" t="str">
        <x:v>NON_EVENT</x:v>
      </x:c>
      <x:c r="E266" s="12" t="str">
        <x:v>SETUJU_USULAN</x:v>
      </x:c>
      <x:c r="F266" s="12" t="str"/>
      <x:c r="G266" s="12" t="str">
        <x:v>Teks menyatakan Jayapura bebas banjir. Tidak ada kejadian banjir yang diklaim. R2.</x:v>
      </x:c>
      <x:c r="H266" s="4" t="str">
        <x:f>IF(E266="SETUJU_USULAN",D266,IF(E266="KOREKSI",F266,""))</x:f>
        <x:v>NON_EVENT</x:v>
      </x:c>
      <x:c r="I266" s="4" t="str">
        <x:f>IF(E266="","BELUM_DIREVIEW",IF(E266="TUNDA","DITUNDA",IF(TRIM(Panduan!$B$5)="","ISI_REVIEWER",IF(AND(E266&lt;&gt;"SETUJU_USULAN",E266&lt;&gt;"KOREKSI"),"CEK_KEPUTUSAN",IF(AND(E266="SETUJU_USULAN",F266&lt;&gt;""),"HAPUS_KOREKSI",IF(H266="","ISI_KOREKSI",IF(NOT(OR(H266="FLOOD",H266="EARTHQUAKE",H266="FIRE",H266="ACCIDENT",H266="NON_EVENT")),"CEK_LABEL",IF(AND(E266="KOREKSI",TRIM(G266)=""),"ISI_CATATAN","REVIEW_TERCATAT"))))))))</x:f>
        <x:v>REVIEW_TERCATAT</x:v>
      </x:c>
      <x:c r="J266" s="4" t="str">
        <x:v>Label dataset dan prediksi baseline sama; makna MVP belum direview. Kesepakatan keduanya belum membuktikan label final.</x:v>
      </x:c>
      <x:c r="K266" s="4" t="str">
        <x:v>NON_EVENT</x:v>
      </x:c>
      <x:c r="L266" s="14" t="n">
        <x:v>0.9839364290237427</x:v>
      </x:c>
    </x:row>
    <x:row r="267" ht="64" customHeight="1">
      <x:c r="A267" s="4" t="str">
        <x:v>BAN-01716</x:v>
      </x:c>
      <x:c r="B267" s="4" t="str">
        <x:v>habib anis : di tengah banjir informasi sekarang yang dbutuhkan adalah banjir ilmu juga di dalam diri sbnrnya banyak sekali juga sumber ilmu tinggal qtnya mau hadir menimba ilmu atau tidak</x:v>
      </x:c>
      <x:c r="C267" s="4" t="str">
        <x:v>NON_EVENT</x:v>
      </x:c>
      <x:c r="D267" s="4" t="str">
        <x:v>NON_EVENT</x:v>
      </x:c>
      <x:c r="E267" s="12" t="str">
        <x:v>SETUJU_USULAN</x:v>
      </x:c>
      <x:c r="F267" s="12" t="str"/>
      <x:c r="G267" s="12" t="str">
        <x:v>Banjir informasi dan banjir ilmu adalah kiasan banyaknya informasi serta ilmu. R3.</x:v>
      </x:c>
      <x:c r="H267" s="4" t="str">
        <x:f>IF(E267="SETUJU_USULAN",D267,IF(E267="KOREKSI",F267,""))</x:f>
        <x:v>NON_EVENT</x:v>
      </x:c>
      <x:c r="I267" s="4" t="str">
        <x:f>IF(E267="","BELUM_DIREVIEW",IF(E267="TUNDA","DITUNDA",IF(TRIM(Panduan!$B$5)="","ISI_REVIEWER",IF(AND(E267&lt;&gt;"SETUJU_USULAN",E267&lt;&gt;"KOREKSI"),"CEK_KEPUTUSAN",IF(AND(E267="SETUJU_USULAN",F267&lt;&gt;""),"HAPUS_KOREKSI",IF(H267="","ISI_KOREKSI",IF(NOT(OR(H267="FLOOD",H267="EARTHQUAKE",H267="FIRE",H267="ACCIDENT",H267="NON_EVENT")),"CEK_LABEL",IF(AND(E267="KOREKSI",TRIM(G267)=""),"ISI_CATATAN","REVIEW_TERCATAT"))))))))</x:f>
        <x:v>REVIEW_TERCATAT</x:v>
      </x:c>
      <x:c r="J267" s="4" t="str">
        <x:v>Label dataset dan prediksi baseline sama; makna MVP belum direview. Kesepakatan keduanya belum membuktikan label final.</x:v>
      </x:c>
      <x:c r="K267" s="4" t="str">
        <x:v>NON_EVENT</x:v>
      </x:c>
      <x:c r="L267" s="14" t="n">
        <x:v>0.9840713739395142</x:v>
      </x:c>
    </x:row>
    <x:row r="268" ht="64" customHeight="1">
      <x:c r="A268" s="4" t="str">
        <x:v>GEM-01287</x:v>
      </x:c>
      <x:c r="B268" s="4" t="str">
        <x:v>kepada warga masyarakat korban bencana gempa bumi di lombok berupa empat unit rumah hunian sementara ( huntara ) dan satu unit rumah hunian tetap</x:v>
      </x:c>
      <x:c r="C268" s="4" t="str">
        <x:v>NON_EVENT</x:v>
      </x:c>
      <x:c r="D268" s="4" t="str">
        <x:v>NON_EVENT</x:v>
      </x:c>
      <x:c r="E268" s="12" t="str">
        <x:v>KOREKSI</x:v>
      </x:c>
      <x:c r="F268" s="12" t="str">
        <x:v>EARTHQUAKE</x:v>
      </x:c>
      <x:c r="G268" s="12" t="str">
        <x:v>Hunian sementara dan tetap ditujukan kepada masyarakat korban gempa di Lombok. R1,R5.</x:v>
      </x:c>
      <x:c r="H268" s="4" t="str">
        <x:f>IF(E268="SETUJU_USULAN",D268,IF(E268="KOREKSI",F268,""))</x:f>
        <x:v>EARTHQUAKE</x:v>
      </x:c>
      <x:c r="I268" s="4" t="str">
        <x:f>IF(E268="","BELUM_DIREVIEW",IF(E268="TUNDA","DITUNDA",IF(TRIM(Panduan!$B$5)="","ISI_REVIEWER",IF(AND(E268&lt;&gt;"SETUJU_USULAN",E268&lt;&gt;"KOREKSI"),"CEK_KEPUTUSAN",IF(AND(E268="SETUJU_USULAN",F268&lt;&gt;""),"HAPUS_KOREKSI",IF(H268="","ISI_KOREKSI",IF(NOT(OR(H268="FLOOD",H268="EARTHQUAKE",H268="FIRE",H268="ACCIDENT",H268="NON_EVENT")),"CEK_LABEL",IF(AND(E268="KOREKSI",TRIM(G268)=""),"ISI_CATATAN","REVIEW_TERCATAT"))))))))</x:f>
        <x:v>REVIEW_TERCATAT</x:v>
      </x:c>
      <x:c r="J268" s="4" t="str">
        <x:v>Label dataset dan prediksi baseline sama; makna MVP belum direview. Kesepakatan keduanya belum membuktikan label final.</x:v>
      </x:c>
      <x:c r="K268" s="4" t="str">
        <x:v>NON_EVENT</x:v>
      </x:c>
      <x:c r="L268" s="14" t="n">
        <x:v>0.9843336939811707</x:v>
      </x:c>
    </x:row>
    <x:row r="269" ht="64" customHeight="1">
      <x:c r="A269" s="4" t="str">
        <x:v>KEC-01185</x:v>
      </x:c>
      <x:c r="B269" s="4" t="str">
        <x:v>wiedcommute lewatmana ada penanganan kecelakaan di cibitung kamu 23+600 lajur 2-3-4/tengah-kanan</x:v>
      </x:c>
      <x:c r="C269" s="4" t="str">
        <x:v>ACCIDENT</x:v>
      </x:c>
      <x:c r="D269" s="4" t="str">
        <x:v>ACCIDENT</x:v>
      </x:c>
      <x:c r="E269" s="12" t="str">
        <x:v>SETUJU_USULAN</x:v>
      </x:c>
      <x:c r="F269" s="12" t="str"/>
      <x:c r="G269" s="12" t="str">
        <x:v>Narasi menyatakan kejadian kecelakaan yang terjadi atau telah terjadi. Label mengikuti isi kejadian, termasuk penanganan dan dampak yang disebut. R1,R4.</x:v>
      </x:c>
      <x:c r="H269" s="4" t="str">
        <x:f>IF(E269="SETUJU_USULAN",D269,IF(E269="KOREKSI",F269,""))</x:f>
        <x:v>ACCIDENT</x:v>
      </x:c>
      <x:c r="I269" s="4" t="str">
        <x:f>IF(E269="","BELUM_DIREVIEW",IF(E269="TUNDA","DITUNDA",IF(TRIM(Panduan!$B$5)="","ISI_REVIEWER",IF(AND(E269&lt;&gt;"SETUJU_USULAN",E269&lt;&gt;"KOREKSI"),"CEK_KEPUTUSAN",IF(AND(E269="SETUJU_USULAN",F269&lt;&gt;""),"HAPUS_KOREKSI",IF(H269="","ISI_KOREKSI",IF(NOT(OR(H269="FLOOD",H269="EARTHQUAKE",H269="FIRE",H269="ACCIDENT",H269="NON_EVENT")),"CEK_LABEL",IF(AND(E269="KOREKSI",TRIM(G269)=""),"ISI_CATATAN","REVIEW_TERCATAT"))))))))</x:f>
        <x:v>REVIEW_TERCATAT</x:v>
      </x:c>
      <x:c r="J269" s="4" t="str">
        <x:v>Label dataset dan prediksi baseline sama; makna MVP belum direview. Kesepakatan keduanya belum membuktikan label final.</x:v>
      </x:c>
      <x:c r="K269" s="4" t="str">
        <x:v>ACCIDENT</x:v>
      </x:c>
      <x:c r="L269" s="14" t="n">
        <x:v>0.9843518137931824</x:v>
      </x:c>
    </x:row>
    <x:row r="270" ht="64" customHeight="1">
      <x:c r="A270" s="4" t="str">
        <x:v>KEB-00745</x:v>
      </x:c>
      <x:c r="B270" s="4" t="str">
        <x:v>mahkamah tinggi kuala lumpur memerintahkan seorang remaja lelaki ditahan di penjara selama diperkenankan yang di-pertuan agong setelah didapati bersalah membunuh 23 individu dalam kebakaran di pusat tahfiz darul</x:v>
      </x:c>
      <x:c r="C270" s="4" t="str">
        <x:v>NON_EVENT</x:v>
      </x:c>
      <x:c r="D270" s="4" t="str">
        <x:v>NON_EVENT</x:v>
      </x:c>
      <x:c r="E270" s="12" t="str">
        <x:v>KOREKSI</x:v>
      </x:c>
      <x:c r="F270" s="12" t="str">
        <x:v>FIRE</x:v>
      </x:c>
      <x:c r="G270" s="12" t="str">
        <x:v>Putusan penjara merujuk pembunuhan 23 orang dalam kebakaran pusat tahfiz. Konteks hukum tidak meniadakan kebakaran. R1,R4,R5.</x:v>
      </x:c>
      <x:c r="H270" s="4" t="str">
        <x:f>IF(E270="SETUJU_USULAN",D270,IF(E270="KOREKSI",F270,""))</x:f>
        <x:v>FIRE</x:v>
      </x:c>
      <x:c r="I270" s="4" t="str">
        <x:f>IF(E270="","BELUM_DIREVIEW",IF(E270="TUNDA","DITUNDA",IF(TRIM(Panduan!$B$5)="","ISI_REVIEWER",IF(AND(E270&lt;&gt;"SETUJU_USULAN",E270&lt;&gt;"KOREKSI"),"CEK_KEPUTUSAN",IF(AND(E270="SETUJU_USULAN",F270&lt;&gt;""),"HAPUS_KOREKSI",IF(H270="","ISI_KOREKSI",IF(NOT(OR(H270="FLOOD",H270="EARTHQUAKE",H270="FIRE",H270="ACCIDENT",H270="NON_EVENT")),"CEK_LABEL",IF(AND(E270="KOREKSI",TRIM(G270)=""),"ISI_CATATAN","REVIEW_TERCATAT"))))))))</x:f>
        <x:v>REVIEW_TERCATAT</x:v>
      </x:c>
      <x:c r="J270" s="4" t="str">
        <x:v>Label dataset dan prediksi baseline sama; makna MVP belum direview. Kesepakatan keduanya belum membuktikan label final.</x:v>
      </x:c>
      <x:c r="K270" s="4" t="str">
        <x:v>NON_EVENT</x:v>
      </x:c>
      <x:c r="L270" s="14" t="n">
        <x:v>0.9844056963920593</x:v>
      </x:c>
    </x:row>
    <x:row r="271" ht="66" customHeight="1">
      <x:c r="A271" s="4" t="str">
        <x:v>KEC-01051</x:v>
      </x:c>
      <x:c r="B271" s="4" t="str">
        <x:v>-kakak perempuannya meninggal diakibatkan kecelakaan saat ini celyn duduk di bangku sama dia bukanlah siswi yang pintar dan memiliki banyak prestasi tapi celyn merupakan siswi yang aktif dalam organisasi dia adalah wakil ketua osis di sekolahnya-</x:v>
      </x:c>
      <x:c r="C271" s="4" t="str">
        <x:v>NON_EVENT</x:v>
      </x:c>
      <x:c r="D271" s="4" t="str">
        <x:v>NON_EVENT</x:v>
      </x:c>
      <x:c r="E271" s="12" t="str">
        <x:v>KOREKSI</x:v>
      </x:c>
      <x:c r="F271" s="12" t="str">
        <x:v>ACCIDENT</x:v>
      </x:c>
      <x:c r="G271" s="12" t="str">
        <x:v>Bagian awal menyatakan kakak perempuan meninggal akibat kecelakaan. Deskripsi Celyn sesudahnya tidak menyangkal klaim itu dan tidak menyebut fiksi secara eksplisit. R1,R4,R5.</x:v>
      </x:c>
      <x:c r="H271" s="4" t="str">
        <x:f>IF(E271="SETUJU_USULAN",D271,IF(E271="KOREKSI",F271,""))</x:f>
        <x:v>ACCIDENT</x:v>
      </x:c>
      <x:c r="I271" s="4" t="str">
        <x:f>IF(E271="","BELUM_DIREVIEW",IF(E271="TUNDA","DITUNDA",IF(TRIM(Panduan!$B$5)="","ISI_REVIEWER",IF(AND(E271&lt;&gt;"SETUJU_USULAN",E271&lt;&gt;"KOREKSI"),"CEK_KEPUTUSAN",IF(AND(E271="SETUJU_USULAN",F271&lt;&gt;""),"HAPUS_KOREKSI",IF(H271="","ISI_KOREKSI",IF(NOT(OR(H271="FLOOD",H271="EARTHQUAKE",H271="FIRE",H271="ACCIDENT",H271="NON_EVENT")),"CEK_LABEL",IF(AND(E271="KOREKSI",TRIM(G271)=""),"ISI_CATATAN","REVIEW_TERCATAT"))))))))</x:f>
        <x:v>REVIEW_TERCATAT</x:v>
      </x:c>
      <x:c r="J271" s="4" t="str">
        <x:v>Label dataset dan prediksi baseline sama; makna MVP belum direview. Kesepakatan keduanya belum membuktikan label final.</x:v>
      </x:c>
      <x:c r="K271" s="4" t="str">
        <x:v>NON_EVENT</x:v>
      </x:c>
      <x:c r="L271" s="14" t="n">
        <x:v>0.9844620227813721</x:v>
      </x:c>
    </x:row>
    <x:row r="272" ht="64" customHeight="1">
      <x:c r="A272" s="4" t="str">
        <x:v>BAN-01900</x:v>
      </x:c>
      <x:c r="B272" s="4" t="str">
        <x:v>untuk mengusir tikus di gorong gorong kadang memerlukan api atau asap untuk mengeluarkannya maka tikus pun pada keluar dari tempat persembunyiannya begitu pun allah kirimkan banjir di konawe</x:v>
      </x:c>
      <x:c r="C272" s="4" t="str">
        <x:v>NON_EVENT</x:v>
      </x:c>
      <x:c r="D272" s="4" t="str">
        <x:v>NON_EVENT</x:v>
      </x:c>
      <x:c r="E272" s="12" t="str">
        <x:v>KOREKSI</x:v>
      </x:c>
      <x:c r="F272" s="12" t="str">
        <x:v>FLOOD</x:v>
      </x:c>
      <x:c r="G272" s="12" t="str">
        <x:v>Perumpamaan tikus diikuti rujukan literal banjir di Konawe. Penjelasan keagamaan tidak meniadakan banjir yang disebut. R1,R5.</x:v>
      </x:c>
      <x:c r="H272" s="4" t="str">
        <x:f>IF(E272="SETUJU_USULAN",D272,IF(E272="KOREKSI",F272,""))</x:f>
        <x:v>FLOOD</x:v>
      </x:c>
      <x:c r="I272" s="4" t="str">
        <x:f>IF(E272="","BELUM_DIREVIEW",IF(E272="TUNDA","DITUNDA",IF(TRIM(Panduan!$B$5)="","ISI_REVIEWER",IF(AND(E272&lt;&gt;"SETUJU_USULAN",E272&lt;&gt;"KOREKSI"),"CEK_KEPUTUSAN",IF(AND(E272="SETUJU_USULAN",F272&lt;&gt;""),"HAPUS_KOREKSI",IF(H272="","ISI_KOREKSI",IF(NOT(OR(H272="FLOOD",H272="EARTHQUAKE",H272="FIRE",H272="ACCIDENT",H272="NON_EVENT")),"CEK_LABEL",IF(AND(E272="KOREKSI",TRIM(G272)=""),"ISI_CATATAN","REVIEW_TERCATAT"))))))))</x:f>
        <x:v>REVIEW_TERCATAT</x:v>
      </x:c>
      <x:c r="J272" s="4" t="str">
        <x:v>Label dataset dan prediksi baseline sama; makna MVP belum direview. Kesepakatan keduanya belum membuktikan label final.</x:v>
      </x:c>
      <x:c r="K272" s="4" t="str">
        <x:v>NON_EVENT</x:v>
      </x:c>
      <x:c r="L272" s="14" t="n">
        <x:v>0.9845083951950073</x:v>
      </x:c>
    </x:row>
    <x:row r="273" ht="64" customHeight="1">
      <x:c r="A273" s="4" t="str">
        <x:v>KEC-01295</x:v>
      </x:c>
      <x:c r="B273" s="4" t="str">
        <x:v>baca berita nya yang lengkap bro saya kemarin ada di cipali jadi tau persis kenapa sampai macet ada kecelakaan &amp; amp pada berhenti di bahu jalan ente ada di tkp ga ?</x:v>
      </x:c>
      <x:c r="C273" s="4" t="str">
        <x:v>NON_EVENT</x:v>
      </x:c>
      <x:c r="D273" s="4" t="str">
        <x:v>NON_EVENT</x:v>
      </x:c>
      <x:c r="E273" s="12" t="str">
        <x:v>KOREKSI</x:v>
      </x:c>
      <x:c r="F273" s="12" t="str">
        <x:v>ACCIDENT</x:v>
      </x:c>
      <x:c r="G273" s="12" t="str">
        <x:v>Pelapor menyatakan berada di Cipali dan mengetahui kemacetan akibat kecelakaan. Pertanyaan pada lawan bicara tidak menyangkal kejadian. R1,R4.</x:v>
      </x:c>
      <x:c r="H273" s="4" t="str">
        <x:f>IF(E273="SETUJU_USULAN",D273,IF(E273="KOREKSI",F273,""))</x:f>
        <x:v>ACCIDENT</x:v>
      </x:c>
      <x:c r="I273" s="4" t="str">
        <x:f>IF(E273="","BELUM_DIREVIEW",IF(E273="TUNDA","DITUNDA",IF(TRIM(Panduan!$B$5)="","ISI_REVIEWER",IF(AND(E273&lt;&gt;"SETUJU_USULAN",E273&lt;&gt;"KOREKSI"),"CEK_KEPUTUSAN",IF(AND(E273="SETUJU_USULAN",F273&lt;&gt;""),"HAPUS_KOREKSI",IF(H273="","ISI_KOREKSI",IF(NOT(OR(H273="FLOOD",H273="EARTHQUAKE",H273="FIRE",H273="ACCIDENT",H273="NON_EVENT")),"CEK_LABEL",IF(AND(E273="KOREKSI",TRIM(G273)=""),"ISI_CATATAN","REVIEW_TERCATAT"))))))))</x:f>
        <x:v>REVIEW_TERCATAT</x:v>
      </x:c>
      <x:c r="J273" s="4" t="str">
        <x:v>Label dataset dan prediksi baseline sama; makna MVP belum direview. Kesepakatan keduanya belum membuktikan label final.</x:v>
      </x:c>
      <x:c r="K273" s="4" t="str">
        <x:v>NON_EVENT</x:v>
      </x:c>
      <x:c r="L273" s="14" t="n">
        <x:v>0.9845396876335144</x:v>
      </x:c>
    </x:row>
    <x:row r="274" ht="64" customHeight="1">
      <x:c r="A274" s="4" t="str">
        <x:v>KEB-00460</x:v>
      </x:c>
      <x:c r="B274" s="4" t="str">
        <x:v>kebakaran hebat melanda pabrik roti di cirebon : okezone news</x:v>
      </x:c>
      <x:c r="C274" s="4" t="str">
        <x:v>FIRE</x:v>
      </x:c>
      <x:c r="D274" s="4" t="str">
        <x:v>FIRE</x:v>
      </x:c>
      <x:c r="E274" s="12" t="str">
        <x:v>SETUJU_USULAN</x:v>
      </x:c>
      <x:c r="F274" s="12" t="str"/>
      <x:c r="G274" s="12" t="str">
        <x:v>Narasi menyatakan kejadian kebakaran yang terjadi atau telah terjadi. Label mengikuti isi kejadian, termasuk penanganan dan dampak yang disebut. R1,R4.</x:v>
      </x:c>
      <x:c r="H274" s="4" t="str">
        <x:f>IF(E274="SETUJU_USULAN",D274,IF(E274="KOREKSI",F274,""))</x:f>
        <x:v>FIRE</x:v>
      </x:c>
      <x:c r="I274" s="4" t="str">
        <x:f>IF(E274="","BELUM_DIREVIEW",IF(E274="TUNDA","DITUNDA",IF(TRIM(Panduan!$B$5)="","ISI_REVIEWER",IF(AND(E274&lt;&gt;"SETUJU_USULAN",E274&lt;&gt;"KOREKSI"),"CEK_KEPUTUSAN",IF(AND(E274="SETUJU_USULAN",F274&lt;&gt;""),"HAPUS_KOREKSI",IF(H274="","ISI_KOREKSI",IF(NOT(OR(H274="FLOOD",H274="EARTHQUAKE",H274="FIRE",H274="ACCIDENT",H274="NON_EVENT")),"CEK_LABEL",IF(AND(E274="KOREKSI",TRIM(G274)=""),"ISI_CATATAN","REVIEW_TERCATAT"))))))))</x:f>
        <x:v>REVIEW_TERCATAT</x:v>
      </x:c>
      <x:c r="J274" s="4" t="str">
        <x:v>Label dataset dan prediksi baseline sama; makna MVP belum direview. Kesepakatan keduanya belum membuktikan label final.</x:v>
      </x:c>
      <x:c r="K274" s="4" t="str">
        <x:v>FIRE</x:v>
      </x:c>
      <x:c r="L274" s="14" t="n">
        <x:v>0.9845762252807617</x:v>
      </x:c>
    </x:row>
    <x:row r="275" ht="64" customHeight="1">
      <x:c r="A275" s="4" t="str">
        <x:v>BAN-01125</x:v>
      </x:c>
      <x:c r="B275" s="4" t="str">
        <x:v>sejak lama ya ternyata banjir di malang problem sosial sejak era kolonial</x:v>
      </x:c>
      <x:c r="C275" s="4" t="str">
        <x:v>NON_EVENT</x:v>
      </x:c>
      <x:c r="D275" s="4" t="str">
        <x:v>NON_EVENT</x:v>
      </x:c>
      <x:c r="E275" s="12" t="str">
        <x:v>SETUJU_USULAN</x:v>
      </x:c>
      <x:c r="F275" s="12" t="str"/>
      <x:c r="G275" s="12" t="str">
        <x:v>Banjir dibahas sebagai masalah sosial sejak era kolonial, tanpa kejadian historis tertentu. R3.</x:v>
      </x:c>
      <x:c r="H275" s="4" t="str">
        <x:f>IF(E275="SETUJU_USULAN",D275,IF(E275="KOREKSI",F275,""))</x:f>
        <x:v>NON_EVENT</x:v>
      </x:c>
      <x:c r="I275" s="4" t="str">
        <x:f>IF(E275="","BELUM_DIREVIEW",IF(E275="TUNDA","DITUNDA",IF(TRIM(Panduan!$B$5)="","ISI_REVIEWER",IF(AND(E275&lt;&gt;"SETUJU_USULAN",E275&lt;&gt;"KOREKSI"),"CEK_KEPUTUSAN",IF(AND(E275="SETUJU_USULAN",F275&lt;&gt;""),"HAPUS_KOREKSI",IF(H275="","ISI_KOREKSI",IF(NOT(OR(H275="FLOOD",H275="EARTHQUAKE",H275="FIRE",H275="ACCIDENT",H275="NON_EVENT")),"CEK_LABEL",IF(AND(E275="KOREKSI",TRIM(G275)=""),"ISI_CATATAN","REVIEW_TERCATAT"))))))))</x:f>
        <x:v>REVIEW_TERCATAT</x:v>
      </x:c>
      <x:c r="J275" s="4" t="str">
        <x:v>Label dataset dan prediksi baseline sama; makna MVP belum direview. Kesepakatan keduanya belum membuktikan label final.</x:v>
      </x:c>
      <x:c r="K275" s="4" t="str">
        <x:v>NON_EVENT</x:v>
      </x:c>
      <x:c r="L275" s="14" t="n">
        <x:v>0.9846579432487488</x:v>
      </x:c>
    </x:row>
    <x:row r="276" ht="64" customHeight="1">
      <x:c r="A276" s="4" t="str">
        <x:v>KEB-00832</x:v>
      </x:c>
      <x:c r="B276" s="4" t="str">
        <x:v>kebakaran di jl . kampung rawa sawah , jakarta pusat | jumat , 28/8/2020 | trending in indonesia asian networkmedia</x:v>
      </x:c>
      <x:c r="C276" s="4" t="str">
        <x:v>FIRE</x:v>
      </x:c>
      <x:c r="D276" s="4" t="str">
        <x:v>FIRE</x:v>
      </x:c>
      <x:c r="E276" s="12" t="str">
        <x:v>SETUJU_USULAN</x:v>
      </x:c>
      <x:c r="F276" s="12" t="str"/>
      <x:c r="G276" s="12" t="str">
        <x:v>Narasi menyatakan kejadian kebakaran yang terjadi atau telah terjadi. Label mengikuti isi kejadian, termasuk penanganan dan dampak yang disebut. R1,R4.</x:v>
      </x:c>
      <x:c r="H276" s="4" t="str">
        <x:f>IF(E276="SETUJU_USULAN",D276,IF(E276="KOREKSI",F276,""))</x:f>
        <x:v>FIRE</x:v>
      </x:c>
      <x:c r="I276" s="4" t="str">
        <x:f>IF(E276="","BELUM_DIREVIEW",IF(E276="TUNDA","DITUNDA",IF(TRIM(Panduan!$B$5)="","ISI_REVIEWER",IF(AND(E276&lt;&gt;"SETUJU_USULAN",E276&lt;&gt;"KOREKSI"),"CEK_KEPUTUSAN",IF(AND(E276="SETUJU_USULAN",F276&lt;&gt;""),"HAPUS_KOREKSI",IF(H276="","ISI_KOREKSI",IF(NOT(OR(H276="FLOOD",H276="EARTHQUAKE",H276="FIRE",H276="ACCIDENT",H276="NON_EVENT")),"CEK_LABEL",IF(AND(E276="KOREKSI",TRIM(G276)=""),"ISI_CATATAN","REVIEW_TERCATAT"))))))))</x:f>
        <x:v>REVIEW_TERCATAT</x:v>
      </x:c>
      <x:c r="J276" s="4" t="str">
        <x:v>Label dataset dan prediksi baseline sama; makna MVP belum direview. Kesepakatan keduanya belum membuktikan label final.</x:v>
      </x:c>
      <x:c r="K276" s="4" t="str">
        <x:v>FIRE</x:v>
      </x:c>
      <x:c r="L276" s="14" t="n">
        <x:v>0.9846616387367249</x:v>
      </x:c>
    </x:row>
    <x:row r="277" ht="66" customHeight="1">
      <x:c r="A277" s="4" t="str">
        <x:v>BAN-01947</x:v>
      </x:c>
      <x:c r="B277" s="4" t="str">
        <x:v>pertamina lubricants tanggap akan bencana dengan membantu memulihkan kondisi motor dan mobil para korban banjir di samarinda sejak 7 juni 2019 melalui program ganti oli gratis penggantian oli untuk motor dilakukan di bengkel enduro express ujung pero samarinda</x:v>
      </x:c>
      <x:c r="C277" s="4" t="str">
        <x:v>NON_EVENT</x:v>
      </x:c>
      <x:c r="D277" s="4" t="str">
        <x:v>NON_EVENT</x:v>
      </x:c>
      <x:c r="E277" s="12" t="str">
        <x:v>KOREKSI</x:v>
      </x:c>
      <x:c r="F277" s="12" t="str">
        <x:v>FLOOD</x:v>
      </x:c>
      <x:c r="G277" s="12" t="str">
        <x:v>Program pemulihan kendaraan merujuk korban banjir Samarinda sejak 7 Juni 2019. R1,R5,R6.</x:v>
      </x:c>
      <x:c r="H277" s="4" t="str">
        <x:f>IF(E277="SETUJU_USULAN",D277,IF(E277="KOREKSI",F277,""))</x:f>
        <x:v>FLOOD</x:v>
      </x:c>
      <x:c r="I277" s="4" t="str">
        <x:f>IF(E277="","BELUM_DIREVIEW",IF(E277="TUNDA","DITUNDA",IF(TRIM(Panduan!$B$5)="","ISI_REVIEWER",IF(AND(E277&lt;&gt;"SETUJU_USULAN",E277&lt;&gt;"KOREKSI"),"CEK_KEPUTUSAN",IF(AND(E277="SETUJU_USULAN",F277&lt;&gt;""),"HAPUS_KOREKSI",IF(H277="","ISI_KOREKSI",IF(NOT(OR(H277="FLOOD",H277="EARTHQUAKE",H277="FIRE",H277="ACCIDENT",H277="NON_EVENT")),"CEK_LABEL",IF(AND(E277="KOREKSI",TRIM(G277)=""),"ISI_CATATAN","REVIEW_TERCATAT"))))))))</x:f>
        <x:v>REVIEW_TERCATAT</x:v>
      </x:c>
      <x:c r="J277" s="4" t="str">
        <x:v>Label dataset dan prediksi baseline sama; makna MVP belum direview. Kesepakatan keduanya belum membuktikan label final.</x:v>
      </x:c>
      <x:c r="K277" s="4" t="str">
        <x:v>NON_EVENT</x:v>
      </x:c>
      <x:c r="L277" s="14" t="n">
        <x:v>0.9846999645233154</x:v>
      </x:c>
    </x:row>
    <x:row r="278" ht="64" customHeight="1">
      <x:c r="A278" s="4" t="str">
        <x:v>BAN-01616</x:v>
      </x:c>
      <x:c r="B278" s="4" t="str">
        <x:v>meminta doa ya untuk saudara kita yang terkena banjir bandang di kutacane aceh tenggara semoga jumat ini penuh pahala untuk kita semua amin</x:v>
      </x:c>
      <x:c r="C278" s="4" t="str">
        <x:v>NON_EVENT</x:v>
      </x:c>
      <x:c r="D278" s="4" t="str">
        <x:v>NON_EVENT</x:v>
      </x:c>
      <x:c r="E278" s="12" t="str">
        <x:v>KOREKSI</x:v>
      </x:c>
      <x:c r="F278" s="12" t="str">
        <x:v>FLOOD</x:v>
      </x:c>
      <x:c r="G278" s="12" t="str">
        <x:v>Permintaan doa menyebut warga yang terkena banjir bandang Kutacane, Aceh Tenggara. R1,R5.</x:v>
      </x:c>
      <x:c r="H278" s="4" t="str">
        <x:f>IF(E278="SETUJU_USULAN",D278,IF(E278="KOREKSI",F278,""))</x:f>
        <x:v>FLOOD</x:v>
      </x:c>
      <x:c r="I278" s="4" t="str">
        <x:f>IF(E278="","BELUM_DIREVIEW",IF(E278="TUNDA","DITUNDA",IF(TRIM(Panduan!$B$5)="","ISI_REVIEWER",IF(AND(E278&lt;&gt;"SETUJU_USULAN",E278&lt;&gt;"KOREKSI"),"CEK_KEPUTUSAN",IF(AND(E278="SETUJU_USULAN",F278&lt;&gt;""),"HAPUS_KOREKSI",IF(H278="","ISI_KOREKSI",IF(NOT(OR(H278="FLOOD",H278="EARTHQUAKE",H278="FIRE",H278="ACCIDENT",H278="NON_EVENT")),"CEK_LABEL",IF(AND(E278="KOREKSI",TRIM(G278)=""),"ISI_CATATAN","REVIEW_TERCATAT"))))))))</x:f>
        <x:v>REVIEW_TERCATAT</x:v>
      </x:c>
      <x:c r="J278" s="4" t="str">
        <x:v>Label dataset dan prediksi baseline sama; makna MVP belum direview. Kesepakatan keduanya belum membuktikan label final.</x:v>
      </x:c>
      <x:c r="K278" s="4" t="str">
        <x:v>NON_EVENT</x:v>
      </x:c>
      <x:c r="L278" s="14" t="n">
        <x:v>0.984811544418335</x:v>
      </x:c>
    </x:row>
    <x:row r="279" ht="64" customHeight="1">
      <x:c r="A279" s="4" t="str">
        <x:v>BAN-01313</x:v>
      </x:c>
      <x:c r="B279" s="4" t="str">
        <x:v>sekedar info banjir sudah surut di tamangapa terima kasih banyak do ' a dari semua semoga allah membalas semua kebaikan kawan2ku waktunya bersih2 salamakki</x:v>
      </x:c>
      <x:c r="C279" s="4" t="str">
        <x:v>NON_EVENT</x:v>
      </x:c>
      <x:c r="D279" s="4" t="str">
        <x:v>NON_EVENT</x:v>
      </x:c>
      <x:c r="E279" s="12" t="str">
        <x:v>KOREKSI</x:v>
      </x:c>
      <x:c r="F279" s="12" t="str">
        <x:v>FLOOD</x:v>
      </x:c>
      <x:c r="G279" s="12" t="str">
        <x:v>Banjir di Tamangapa dinyatakan sudah surut dan dilanjutkan kegiatan bersih-bersih. Surut tidak meniadakan kejadian. R1,R2,R5.</x:v>
      </x:c>
      <x:c r="H279" s="4" t="str">
        <x:f>IF(E279="SETUJU_USULAN",D279,IF(E279="KOREKSI",F279,""))</x:f>
        <x:v>FLOOD</x:v>
      </x:c>
      <x:c r="I279" s="4" t="str">
        <x:f>IF(E279="","BELUM_DIREVIEW",IF(E279="TUNDA","DITUNDA",IF(TRIM(Panduan!$B$5)="","ISI_REVIEWER",IF(AND(E279&lt;&gt;"SETUJU_USULAN",E279&lt;&gt;"KOREKSI"),"CEK_KEPUTUSAN",IF(AND(E279="SETUJU_USULAN",F279&lt;&gt;""),"HAPUS_KOREKSI",IF(H279="","ISI_KOREKSI",IF(NOT(OR(H279="FLOOD",H279="EARTHQUAKE",H279="FIRE",H279="ACCIDENT",H279="NON_EVENT")),"CEK_LABEL",IF(AND(E279="KOREKSI",TRIM(G279)=""),"ISI_CATATAN","REVIEW_TERCATAT"))))))))</x:f>
        <x:v>REVIEW_TERCATAT</x:v>
      </x:c>
      <x:c r="J279" s="4" t="str">
        <x:v>Label dataset dan prediksi baseline sama; makna MVP belum direview. Kesepakatan keduanya belum membuktikan label final.</x:v>
      </x:c>
      <x:c r="K279" s="4" t="str">
        <x:v>NON_EVENT</x:v>
      </x:c>
      <x:c r="L279" s="14" t="n">
        <x:v>0.9848936200141907</x:v>
      </x:c>
    </x:row>
    <x:row r="280" ht="64" customHeight="1">
      <x:c r="A280" s="4" t="str">
        <x:v>KEB-01126</x:v>
      </x:c>
      <x:c r="B280" s="4" t="str">
        <x:v>kebakaran 3 ruko di tangerang , ibu dan anak tewas terjebak api</x:v>
      </x:c>
      <x:c r="C280" s="4" t="str">
        <x:v>FIRE</x:v>
      </x:c>
      <x:c r="D280" s="4" t="str">
        <x:v>FIRE</x:v>
      </x:c>
      <x:c r="E280" s="12" t="str">
        <x:v>SETUJU_USULAN</x:v>
      </x:c>
      <x:c r="F280" s="12" t="str"/>
      <x:c r="G280" s="12" t="str">
        <x:v>Narasi menyatakan kejadian kebakaran yang terjadi atau telah terjadi. Label mengikuti isi kejadian, termasuk penanganan dan dampak yang disebut. R1,R4.</x:v>
      </x:c>
      <x:c r="H280" s="4" t="str">
        <x:f>IF(E280="SETUJU_USULAN",D280,IF(E280="KOREKSI",F280,""))</x:f>
        <x:v>FIRE</x:v>
      </x:c>
      <x:c r="I280" s="4" t="str">
        <x:f>IF(E280="","BELUM_DIREVIEW",IF(E280="TUNDA","DITUNDA",IF(TRIM(Panduan!$B$5)="","ISI_REVIEWER",IF(AND(E280&lt;&gt;"SETUJU_USULAN",E280&lt;&gt;"KOREKSI"),"CEK_KEPUTUSAN",IF(AND(E280="SETUJU_USULAN",F280&lt;&gt;""),"HAPUS_KOREKSI",IF(H280="","ISI_KOREKSI",IF(NOT(OR(H280="FLOOD",H280="EARTHQUAKE",H280="FIRE",H280="ACCIDENT",H280="NON_EVENT")),"CEK_LABEL",IF(AND(E280="KOREKSI",TRIM(G280)=""),"ISI_CATATAN","REVIEW_TERCATAT"))))))))</x:f>
        <x:v>REVIEW_TERCATAT</x:v>
      </x:c>
      <x:c r="J280" s="4" t="str">
        <x:v>Label dataset dan prediksi baseline sama; makna MVP belum direview. Kesepakatan keduanya belum membuktikan label final.</x:v>
      </x:c>
      <x:c r="K280" s="4" t="str">
        <x:v>FIRE</x:v>
      </x:c>
      <x:c r="L280" s="14" t="n">
        <x:v>0.985098123550415</x:v>
      </x:c>
    </x:row>
    <x:row r="281" ht="66" customHeight="1">
      <x:c r="A281" s="4" t="str">
        <x:v>KEB-01022</x:v>
      </x:c>
      <x:c r="B281" s="4" t="str">
        <x:v>gardu listrik di fatmawati jaksel meledak , polisi : sudah ditangani pln : gardu listrik di dekat traffic light ( tl ) fatmawati , jakarta selatan meledak siang tadi . ledakan menyebabkan terjadi nya kebakaran di gardu listrik tersebut .</x:v>
      </x:c>
      <x:c r="C281" s="4" t="str">
        <x:v>FIRE</x:v>
      </x:c>
      <x:c r="D281" s="4" t="str">
        <x:v>FIRE</x:v>
      </x:c>
      <x:c r="E281" s="12" t="str">
        <x:v>SETUJU_USULAN</x:v>
      </x:c>
      <x:c r="F281" s="12" t="str"/>
      <x:c r="G281" s="12" t="str">
        <x:v>Narasi menyatakan kejadian kebakaran yang terjadi atau telah terjadi. Label mengikuti isi kejadian, termasuk penanganan dan dampak yang disebut. R1,R4.</x:v>
      </x:c>
      <x:c r="H281" s="4" t="str">
        <x:f>IF(E281="SETUJU_USULAN",D281,IF(E281="KOREKSI",F281,""))</x:f>
        <x:v>FIRE</x:v>
      </x:c>
      <x:c r="I281" s="4" t="str">
        <x:f>IF(E281="","BELUM_DIREVIEW",IF(E281="TUNDA","DITUNDA",IF(TRIM(Panduan!$B$5)="","ISI_REVIEWER",IF(AND(E281&lt;&gt;"SETUJU_USULAN",E281&lt;&gt;"KOREKSI"),"CEK_KEPUTUSAN",IF(AND(E281="SETUJU_USULAN",F281&lt;&gt;""),"HAPUS_KOREKSI",IF(H281="","ISI_KOREKSI",IF(NOT(OR(H281="FLOOD",H281="EARTHQUAKE",H281="FIRE",H281="ACCIDENT",H281="NON_EVENT")),"CEK_LABEL",IF(AND(E281="KOREKSI",TRIM(G281)=""),"ISI_CATATAN","REVIEW_TERCATAT"))))))))</x:f>
        <x:v>REVIEW_TERCATAT</x:v>
      </x:c>
      <x:c r="J281" s="4" t="str">
        <x:v>Label dataset dan prediksi baseline sama; makna MVP belum direview. Kesepakatan keduanya belum membuktikan label final.</x:v>
      </x:c>
      <x:c r="K281" s="4" t="str">
        <x:v>FIRE</x:v>
      </x:c>
      <x:c r="L281" s="14" t="n">
        <x:v>0.9851352572441101</x:v>
      </x:c>
    </x:row>
    <x:row r="282" ht="64" customHeight="1">
      <x:c r="A282" s="4" t="str">
        <x:v>GEM-01510</x:v>
      </x:c>
      <x:c r="B282" s="4" t="str">
        <x:v>apa benar kalau gempa bumi di bulan jadi gempa bulan ''</x:v>
      </x:c>
      <x:c r="C282" s="4" t="str">
        <x:v>NON_EVENT</x:v>
      </x:c>
      <x:c r="D282" s="4" t="str">
        <x:v>NON_EVENT</x:v>
      </x:c>
      <x:c r="E282" s="12" t="str">
        <x:v>SETUJU_USULAN</x:v>
      </x:c>
      <x:c r="F282" s="12" t="str"/>
      <x:c r="G282" s="12" t="str">
        <x:v>Pertanyaan gempa bulan merupakan permainan istilah bersyarat, tanpa kejadian. R3.</x:v>
      </x:c>
      <x:c r="H282" s="4" t="str">
        <x:f>IF(E282="SETUJU_USULAN",D282,IF(E282="KOREKSI",F282,""))</x:f>
        <x:v>NON_EVENT</x:v>
      </x:c>
      <x:c r="I282" s="4" t="str">
        <x:f>IF(E282="","BELUM_DIREVIEW",IF(E282="TUNDA","DITUNDA",IF(TRIM(Panduan!$B$5)="","ISI_REVIEWER",IF(AND(E282&lt;&gt;"SETUJU_USULAN",E282&lt;&gt;"KOREKSI"),"CEK_KEPUTUSAN",IF(AND(E282="SETUJU_USULAN",F282&lt;&gt;""),"HAPUS_KOREKSI",IF(H282="","ISI_KOREKSI",IF(NOT(OR(H282="FLOOD",H282="EARTHQUAKE",H282="FIRE",H282="ACCIDENT",H282="NON_EVENT")),"CEK_LABEL",IF(AND(E282="KOREKSI",TRIM(G282)=""),"ISI_CATATAN","REVIEW_TERCATAT"))))))))</x:f>
        <x:v>REVIEW_TERCATAT</x:v>
      </x:c>
      <x:c r="J282" s="4" t="str">
        <x:v>Label dataset dan prediksi baseline sama; makna MVP belum direview. Kesepakatan keduanya belum membuktikan label final.</x:v>
      </x:c>
      <x:c r="K282" s="4" t="str">
        <x:v>NON_EVENT</x:v>
      </x:c>
      <x:c r="L282" s="14" t="n">
        <x:v>0.9851405620574951</x:v>
      </x:c>
    </x:row>
    <x:row r="283" ht="64" customHeight="1">
      <x:c r="A283" s="4" t="str">
        <x:v>GEM-01378</x:v>
      </x:c>
      <x:c r="B283" s="4" t="str">
        <x:v>dalam proses masa transisi penanganan bencana gempa bumi dan tsunami yang terjadi di sulawesi tengah</x:v>
      </x:c>
      <x:c r="C283" s="4" t="str">
        <x:v>NON_EVENT</x:v>
      </x:c>
      <x:c r="D283" s="4" t="str">
        <x:v>NON_EVENT</x:v>
      </x:c>
      <x:c r="E283" s="12" t="str">
        <x:v>KOREKSI</x:v>
      </x:c>
      <x:c r="F283" s="12" t="str">
        <x:v>EARTHQUAKE</x:v>
      </x:c>
      <x:c r="G283" s="12" t="str">
        <x:v>Masa transisi penanganan secara eksplisit merujuk gempa dan tsunami yang terjadi di Sulawesi Tengah. R1,R5.</x:v>
      </x:c>
      <x:c r="H283" s="4" t="str">
        <x:f>IF(E283="SETUJU_USULAN",D283,IF(E283="KOREKSI",F283,""))</x:f>
        <x:v>EARTHQUAKE</x:v>
      </x:c>
      <x:c r="I283" s="4" t="str">
        <x:f>IF(E283="","BELUM_DIREVIEW",IF(E283="TUNDA","DITUNDA",IF(TRIM(Panduan!$B$5)="","ISI_REVIEWER",IF(AND(E283&lt;&gt;"SETUJU_USULAN",E283&lt;&gt;"KOREKSI"),"CEK_KEPUTUSAN",IF(AND(E283="SETUJU_USULAN",F283&lt;&gt;""),"HAPUS_KOREKSI",IF(H283="","ISI_KOREKSI",IF(NOT(OR(H283="FLOOD",H283="EARTHQUAKE",H283="FIRE",H283="ACCIDENT",H283="NON_EVENT")),"CEK_LABEL",IF(AND(E283="KOREKSI",TRIM(G283)=""),"ISI_CATATAN","REVIEW_TERCATAT"))))))))</x:f>
        <x:v>REVIEW_TERCATAT</x:v>
      </x:c>
      <x:c r="J283" s="4" t="str">
        <x:v>Label dataset dan prediksi baseline sama; makna MVP belum direview. Kesepakatan keduanya belum membuktikan label final.</x:v>
      </x:c>
      <x:c r="K283" s="4" t="str">
        <x:v>NON_EVENT</x:v>
      </x:c>
      <x:c r="L283" s="14" t="n">
        <x:v>0.9851941466331482</x:v>
      </x:c>
    </x:row>
    <x:row r="284" ht="64" customHeight="1">
      <x:c r="A284" s="4" t="str">
        <x:v>BAN-01646</x:v>
      </x:c>
      <x:c r="B284" s="4" t="str">
        <x:v>sama nih baru kali ini selama di pimpin gubernur kafir enggak pernah banjir di pimpin seiman malah banjir woyy balikin gubernur kafir gue</x:v>
      </x:c>
      <x:c r="C284" s="4" t="str">
        <x:v>NON_EVENT</x:v>
      </x:c>
      <x:c r="D284" s="4" t="str">
        <x:v>NON_EVENT</x:v>
      </x:c>
      <x:c r="E284" s="12" t="str">
        <x:v>KOREKSI</x:v>
      </x:c>
      <x:c r="F284" s="12" t="str">
        <x:v>FLOOD</x:v>
      </x:c>
      <x:c r="G284" s="12" t="str">
        <x:v>Keluhan membandingkan masa tanpa banjir dengan keadaan sekarang yang disebut malah banjir. Kritik politis tidak meniadakan klaim keadaan sekarang. R1,R2,R5.</x:v>
      </x:c>
      <x:c r="H284" s="4" t="str">
        <x:f>IF(E284="SETUJU_USULAN",D284,IF(E284="KOREKSI",F284,""))</x:f>
        <x:v>FLOOD</x:v>
      </x:c>
      <x:c r="I284" s="4" t="str">
        <x:f>IF(E284="","BELUM_DIREVIEW",IF(E284="TUNDA","DITUNDA",IF(TRIM(Panduan!$B$5)="","ISI_REVIEWER",IF(AND(E284&lt;&gt;"SETUJU_USULAN",E284&lt;&gt;"KOREKSI"),"CEK_KEPUTUSAN",IF(AND(E284="SETUJU_USULAN",F284&lt;&gt;""),"HAPUS_KOREKSI",IF(H284="","ISI_KOREKSI",IF(NOT(OR(H284="FLOOD",H284="EARTHQUAKE",H284="FIRE",H284="ACCIDENT",H284="NON_EVENT")),"CEK_LABEL",IF(AND(E284="KOREKSI",TRIM(G284)=""),"ISI_CATATAN","REVIEW_TERCATAT"))))))))</x:f>
        <x:v>REVIEW_TERCATAT</x:v>
      </x:c>
      <x:c r="J284" s="4" t="str">
        <x:v>Label dataset dan prediksi baseline sama; makna MVP belum direview. Kesepakatan keduanya belum membuktikan label final.</x:v>
      </x:c>
      <x:c r="K284" s="4" t="str">
        <x:v>NON_EVENT</x:v>
      </x:c>
      <x:c r="L284" s="14" t="n">
        <x:v>0.9852185845375061</x:v>
      </x:c>
    </x:row>
    <x:row r="285" ht="64" customHeight="1">
      <x:c r="A285" s="4" t="str">
        <x:v>GEM-01645</x:v>
      </x:c>
      <x:c r="B285" s="4" t="str">
        <x:v>kementerian pekerjaan umum dan perumahan rakyat telah menyelesaikan 190 dari total 699 unit hunian sementara ( huntara ) bagi korban bencana gempa bumi di palu kabupaten sigi dan donggala sulawesi tengah</x:v>
      </x:c>
      <x:c r="C285" s="4" t="str">
        <x:v>NON_EVENT</x:v>
      </x:c>
      <x:c r="D285" s="4" t="str">
        <x:v>NON_EVENT</x:v>
      </x:c>
      <x:c r="E285" s="12" t="str">
        <x:v>KOREKSI</x:v>
      </x:c>
      <x:c r="F285" s="12" t="str">
        <x:v>EARTHQUAKE</x:v>
      </x:c>
      <x:c r="G285" s="12" t="str">
        <x:v>Pembangunan hunian sementara merujuk korban gempa Palu, Sigi dan Donggala. R1,R5.</x:v>
      </x:c>
      <x:c r="H285" s="4" t="str">
        <x:f>IF(E285="SETUJU_USULAN",D285,IF(E285="KOREKSI",F285,""))</x:f>
        <x:v>EARTHQUAKE</x:v>
      </x:c>
      <x:c r="I285" s="4" t="str">
        <x:f>IF(E285="","BELUM_DIREVIEW",IF(E285="TUNDA","DITUNDA",IF(TRIM(Panduan!$B$5)="","ISI_REVIEWER",IF(AND(E285&lt;&gt;"SETUJU_USULAN",E285&lt;&gt;"KOREKSI"),"CEK_KEPUTUSAN",IF(AND(E285="SETUJU_USULAN",F285&lt;&gt;""),"HAPUS_KOREKSI",IF(H285="","ISI_KOREKSI",IF(NOT(OR(H285="FLOOD",H285="EARTHQUAKE",H285="FIRE",H285="ACCIDENT",H285="NON_EVENT")),"CEK_LABEL",IF(AND(E285="KOREKSI",TRIM(G285)=""),"ISI_CATATAN","REVIEW_TERCATAT"))))))))</x:f>
        <x:v>REVIEW_TERCATAT</x:v>
      </x:c>
      <x:c r="J285" s="4" t="str">
        <x:v>Label dataset dan prediksi baseline sama; makna MVP belum direview. Kesepakatan keduanya belum membuktikan label final.</x:v>
      </x:c>
      <x:c r="K285" s="4" t="str">
        <x:v>NON_EVENT</x:v>
      </x:c>
      <x:c r="L285" s="14" t="n">
        <x:v>0.9852339625358582</x:v>
      </x:c>
    </x:row>
    <x:row r="286" ht="64" customHeight="1">
      <x:c r="A286" s="4" t="str">
        <x:v>KEB-00908</x:v>
      </x:c>
      <x:c r="B286" s="4" t="str">
        <x:v>15 unit mobil pemadam kebakaran dikerahkan untuk memadamkan api yang melalap pabrik mesin bubut di cengkareng , jakarta barat .</x:v>
      </x:c>
      <x:c r="C286" s="4" t="str">
        <x:v>FIRE</x:v>
      </x:c>
      <x:c r="D286" s="4" t="str">
        <x:v>FIRE</x:v>
      </x:c>
      <x:c r="E286" s="12" t="str">
        <x:v>SETUJU_USULAN</x:v>
      </x:c>
      <x:c r="F286" s="12" t="str"/>
      <x:c r="G286" s="12" t="str">
        <x:v>Narasi menyatakan kejadian kebakaran yang terjadi atau telah terjadi. Label mengikuti isi kejadian, termasuk penanganan dan dampak yang disebut. R1,R4.</x:v>
      </x:c>
      <x:c r="H286" s="4" t="str">
        <x:f>IF(E286="SETUJU_USULAN",D286,IF(E286="KOREKSI",F286,""))</x:f>
        <x:v>FIRE</x:v>
      </x:c>
      <x:c r="I286" s="4" t="str">
        <x:f>IF(E286="","BELUM_DIREVIEW",IF(E286="TUNDA","DITUNDA",IF(TRIM(Panduan!$B$5)="","ISI_REVIEWER",IF(AND(E286&lt;&gt;"SETUJU_USULAN",E286&lt;&gt;"KOREKSI"),"CEK_KEPUTUSAN",IF(AND(E286="SETUJU_USULAN",F286&lt;&gt;""),"HAPUS_KOREKSI",IF(H286="","ISI_KOREKSI",IF(NOT(OR(H286="FLOOD",H286="EARTHQUAKE",H286="FIRE",H286="ACCIDENT",H286="NON_EVENT")),"CEK_LABEL",IF(AND(E286="KOREKSI",TRIM(G286)=""),"ISI_CATATAN","REVIEW_TERCATAT"))))))))</x:f>
        <x:v>REVIEW_TERCATAT</x:v>
      </x:c>
      <x:c r="J286" s="4" t="str">
        <x:v>Label dataset dan prediksi baseline sama; makna MVP belum direview. Kesepakatan keduanya belum membuktikan label final.</x:v>
      </x:c>
      <x:c r="K286" s="4" t="str">
        <x:v>FIRE</x:v>
      </x:c>
      <x:c r="L286" s="14" t="n">
        <x:v>0.9853096604347229</x:v>
      </x:c>
    </x:row>
    <x:row r="287" ht="64" customHeight="1">
      <x:c r="A287" s="4" t="str">
        <x:v>BAN-01986</x:v>
      </x:c>
      <x:c r="B287" s="4" t="str">
        <x:v>kami bersama anda sukarelawan hari ini membantu membersihkan rumah penduduk yang terjejas akibat banjir di kampung belimbing dalam dun durian tunggal sukarelawan terdiri dari pjim my hep utem &amp; warga utem terima kasih semua !</x:v>
      </x:c>
      <x:c r="C287" s="4" t="str">
        <x:v>NON_EVENT</x:v>
      </x:c>
      <x:c r="D287" s="4" t="str">
        <x:v>NON_EVENT</x:v>
      </x:c>
      <x:c r="E287" s="12" t="str">
        <x:v>KOREKSI</x:v>
      </x:c>
      <x:c r="F287" s="12" t="str">
        <x:v>FLOOD</x:v>
      </x:c>
      <x:c r="G287" s="12" t="str">
        <x:v>Relawan membersihkan rumah yang terjejas akibat banjir Kampung Belimbing Dalam. R1,R5.</x:v>
      </x:c>
      <x:c r="H287" s="4" t="str">
        <x:f>IF(E287="SETUJU_USULAN",D287,IF(E287="KOREKSI",F287,""))</x:f>
        <x:v>FLOOD</x:v>
      </x:c>
      <x:c r="I287" s="4" t="str">
        <x:f>IF(E287="","BELUM_DIREVIEW",IF(E287="TUNDA","DITUNDA",IF(TRIM(Panduan!$B$5)="","ISI_REVIEWER",IF(AND(E287&lt;&gt;"SETUJU_USULAN",E287&lt;&gt;"KOREKSI"),"CEK_KEPUTUSAN",IF(AND(E287="SETUJU_USULAN",F287&lt;&gt;""),"HAPUS_KOREKSI",IF(H287="","ISI_KOREKSI",IF(NOT(OR(H287="FLOOD",H287="EARTHQUAKE",H287="FIRE",H287="ACCIDENT",H287="NON_EVENT")),"CEK_LABEL",IF(AND(E287="KOREKSI",TRIM(G287)=""),"ISI_CATATAN","REVIEW_TERCATAT"))))))))</x:f>
        <x:v>REVIEW_TERCATAT</x:v>
      </x:c>
      <x:c r="J287" s="4" t="str">
        <x:v>Label dataset dan prediksi baseline sama; makna MVP belum direview. Kesepakatan keduanya belum membuktikan label final.</x:v>
      </x:c>
      <x:c r="K287" s="4" t="str">
        <x:v>NON_EVENT</x:v>
      </x:c>
      <x:c r="L287" s="14" t="n">
        <x:v>0.9853341579437256</x:v>
      </x:c>
    </x:row>
    <x:row r="288" ht="64" customHeight="1">
      <x:c r="A288" s="4" t="str">
        <x:v>BAN-01380</x:v>
      </x:c>
      <x:c r="B288" s="4" t="str">
        <x:v>yang paling lucu ini enggak hujan enggak becek enggak banjir tapi kok lepas sepatu celana nya di gulung oalah ngaciro ngaciro</x:v>
      </x:c>
      <x:c r="C288" s="4" t="str">
        <x:v>NON_EVENT</x:v>
      </x:c>
      <x:c r="D288" s="4" t="str">
        <x:v>NON_EVENT</x:v>
      </x:c>
      <x:c r="E288" s="12" t="str">
        <x:v>SETUJU_USULAN</x:v>
      </x:c>
      <x:c r="F288" s="12" t="str"/>
      <x:c r="G288" s="12" t="str">
        <x:v>Tidak hujan, tidak becek dan tidak banjir secara eksplisit menyangkal kondisi banjir. R2.</x:v>
      </x:c>
      <x:c r="H288" s="4" t="str">
        <x:f>IF(E288="SETUJU_USULAN",D288,IF(E288="KOREKSI",F288,""))</x:f>
        <x:v>NON_EVENT</x:v>
      </x:c>
      <x:c r="I288" s="4" t="str">
        <x:f>IF(E288="","BELUM_DIREVIEW",IF(E288="TUNDA","DITUNDA",IF(TRIM(Panduan!$B$5)="","ISI_REVIEWER",IF(AND(E288&lt;&gt;"SETUJU_USULAN",E288&lt;&gt;"KOREKSI"),"CEK_KEPUTUSAN",IF(AND(E288="SETUJU_USULAN",F288&lt;&gt;""),"HAPUS_KOREKSI",IF(H288="","ISI_KOREKSI",IF(NOT(OR(H288="FLOOD",H288="EARTHQUAKE",H288="FIRE",H288="ACCIDENT",H288="NON_EVENT")),"CEK_LABEL",IF(AND(E288="KOREKSI",TRIM(G288)=""),"ISI_CATATAN","REVIEW_TERCATAT"))))))))</x:f>
        <x:v>REVIEW_TERCATAT</x:v>
      </x:c>
      <x:c r="J288" s="4" t="str">
        <x:v>Label dataset dan prediksi baseline sama; makna MVP belum direview. Kesepakatan keduanya belum membuktikan label final.</x:v>
      </x:c>
      <x:c r="K288" s="4" t="str">
        <x:v>NON_EVENT</x:v>
      </x:c>
      <x:c r="L288" s="14" t="n">
        <x:v>0.985458493232727</x:v>
      </x:c>
    </x:row>
    <x:row r="289" ht="64" customHeight="1">
      <x:c r="A289" s="4" t="str">
        <x:v>KEB-00272</x:v>
      </x:c>
      <x:c r="B289" s="4" t="str">
        <x:v>foto : kebakaran lalan di parit haji husin ii , pontianak</x:v>
      </x:c>
      <x:c r="C289" s="4" t="str">
        <x:v>FIRE</x:v>
      </x:c>
      <x:c r="D289" s="4" t="str">
        <x:v>FIRE</x:v>
      </x:c>
      <x:c r="E289" s="12" t="str">
        <x:v>SETUJU_USULAN</x:v>
      </x:c>
      <x:c r="F289" s="12" t="str"/>
      <x:c r="G289" s="12" t="str">
        <x:v>Narasi menyatakan kejadian kebakaran yang terjadi atau telah terjadi. Label mengikuti isi kejadian, termasuk penanganan dan dampak yang disebut. R1,R4.</x:v>
      </x:c>
      <x:c r="H289" s="4" t="str">
        <x:f>IF(E289="SETUJU_USULAN",D289,IF(E289="KOREKSI",F289,""))</x:f>
        <x:v>FIRE</x:v>
      </x:c>
      <x:c r="I289" s="4" t="str">
        <x:f>IF(E289="","BELUM_DIREVIEW",IF(E289="TUNDA","DITUNDA",IF(TRIM(Panduan!$B$5)="","ISI_REVIEWER",IF(AND(E289&lt;&gt;"SETUJU_USULAN",E289&lt;&gt;"KOREKSI"),"CEK_KEPUTUSAN",IF(AND(E289="SETUJU_USULAN",F289&lt;&gt;""),"HAPUS_KOREKSI",IF(H289="","ISI_KOREKSI",IF(NOT(OR(H289="FLOOD",H289="EARTHQUAKE",H289="FIRE",H289="ACCIDENT",H289="NON_EVENT")),"CEK_LABEL",IF(AND(E289="KOREKSI",TRIM(G289)=""),"ISI_CATATAN","REVIEW_TERCATAT"))))))))</x:f>
        <x:v>REVIEW_TERCATAT</x:v>
      </x:c>
      <x:c r="J289" s="4" t="str">
        <x:v>Label dataset dan prediksi baseline sama; makna MVP belum direview. Kesepakatan keduanya belum membuktikan label final.</x:v>
      </x:c>
      <x:c r="K289" s="4" t="str">
        <x:v>FIRE</x:v>
      </x:c>
      <x:c r="L289" s="14" t="n">
        <x:v>0.9856245517730713</x:v>
      </x:c>
    </x:row>
    <x:row r="290" ht="64" customHeight="1">
      <x:c r="A290" s="4" t="str">
        <x:v>KEB-01051</x:v>
      </x:c>
      <x:c r="B290" s="4" t="str">
        <x:v>rabu ( 11/11/2020 ) kebakaran terjadi pukul 17 wib di jl martadinata no 25 wirobrajan yogyakarta . obyek yang terbakar 3 kios .</x:v>
      </x:c>
      <x:c r="C290" s="4" t="str">
        <x:v>FIRE</x:v>
      </x:c>
      <x:c r="D290" s="4" t="str">
        <x:v>FIRE</x:v>
      </x:c>
      <x:c r="E290" s="12" t="str">
        <x:v>SETUJU_USULAN</x:v>
      </x:c>
      <x:c r="F290" s="12" t="str"/>
      <x:c r="G290" s="12" t="str">
        <x:v>Narasi menyatakan kejadian kebakaran yang terjadi atau telah terjadi. Label mengikuti isi kejadian, termasuk penanganan dan dampak yang disebut. R1,R4.</x:v>
      </x:c>
      <x:c r="H290" s="4" t="str">
        <x:f>IF(E290="SETUJU_USULAN",D290,IF(E290="KOREKSI",F290,""))</x:f>
        <x:v>FIRE</x:v>
      </x:c>
      <x:c r="I290" s="4" t="str">
        <x:f>IF(E290="","BELUM_DIREVIEW",IF(E290="TUNDA","DITUNDA",IF(TRIM(Panduan!$B$5)="","ISI_REVIEWER",IF(AND(E290&lt;&gt;"SETUJU_USULAN",E290&lt;&gt;"KOREKSI"),"CEK_KEPUTUSAN",IF(AND(E290="SETUJU_USULAN",F290&lt;&gt;""),"HAPUS_KOREKSI",IF(H290="","ISI_KOREKSI",IF(NOT(OR(H290="FLOOD",H290="EARTHQUAKE",H290="FIRE",H290="ACCIDENT",H290="NON_EVENT")),"CEK_LABEL",IF(AND(E290="KOREKSI",TRIM(G290)=""),"ISI_CATATAN","REVIEW_TERCATAT"))))))))</x:f>
        <x:v>REVIEW_TERCATAT</x:v>
      </x:c>
      <x:c r="J290" s="4" t="str">
        <x:v>Label dataset dan prediksi baseline sama; makna MVP belum direview. Kesepakatan keduanya belum membuktikan label final.</x:v>
      </x:c>
      <x:c r="K290" s="4" t="str">
        <x:v>FIRE</x:v>
      </x:c>
      <x:c r="L290" s="14" t="n">
        <x:v>0.9856767654418945</x:v>
      </x:c>
    </x:row>
    <x:row r="291" ht="66" customHeight="1">
      <x:c r="A291" s="4" t="str">
        <x:v>GEM-01430</x:v>
      </x:c>
      <x:c r="B291" s="4" t="str">
        <x:v>tahukah kalian bahwa pada sepanjang tahun 2018 ini wilayah di indonesia banyak yang mengalami bencana gempa bumi ? sebenarnya adakah sebuah hubungan antara gempa bumi yang terjadi dengan tingkat kejahatan yang berada di indonesia ? [ 3/4 ]</x:v>
      </x:c>
      <x:c r="C291" s="4" t="str">
        <x:v>NON_EVENT</x:v>
      </x:c>
      <x:c r="D291" s="4" t="str">
        <x:v>NON_EVENT</x:v>
      </x:c>
      <x:c r="E291" s="12" t="str">
        <x:v>SETUJU_USULAN</x:v>
      </x:c>
      <x:c r="F291" s="12" t="str"/>
      <x:c r="G291" s="12" t="str">
        <x:v>Pembahasan bencana sepanjang 2018 dan hubungan dengan kejahatan merupakan topik umum. R3.</x:v>
      </x:c>
      <x:c r="H291" s="4" t="str">
        <x:f>IF(E291="SETUJU_USULAN",D291,IF(E291="KOREKSI",F291,""))</x:f>
        <x:v>NON_EVENT</x:v>
      </x:c>
      <x:c r="I291" s="4" t="str">
        <x:f>IF(E291="","BELUM_DIREVIEW",IF(E291="TUNDA","DITUNDA",IF(TRIM(Panduan!$B$5)="","ISI_REVIEWER",IF(AND(E291&lt;&gt;"SETUJU_USULAN",E291&lt;&gt;"KOREKSI"),"CEK_KEPUTUSAN",IF(AND(E291="SETUJU_USULAN",F291&lt;&gt;""),"HAPUS_KOREKSI",IF(H291="","ISI_KOREKSI",IF(NOT(OR(H291="FLOOD",H291="EARTHQUAKE",H291="FIRE",H291="ACCIDENT",H291="NON_EVENT")),"CEK_LABEL",IF(AND(E291="KOREKSI",TRIM(G291)=""),"ISI_CATATAN","REVIEW_TERCATAT"))))))))</x:f>
        <x:v>REVIEW_TERCATAT</x:v>
      </x:c>
      <x:c r="J291" s="4" t="str">
        <x:v>Label dataset dan prediksi baseline sama; makna MVP belum direview. Kesepakatan keduanya belum membuktikan label final.</x:v>
      </x:c>
      <x:c r="K291" s="4" t="str">
        <x:v>NON_EVENT</x:v>
      </x:c>
      <x:c r="L291" s="14" t="n">
        <x:v>0.9856988787651062</x:v>
      </x:c>
    </x:row>
    <x:row r="292" ht="64" customHeight="1">
      <x:c r="A292" s="4" t="str">
        <x:v>BAN-01028</x:v>
      </x:c>
      <x:c r="B292" s="4" t="str">
        <x:v>semalam punya cerita menyelesaikan masalah banjir dan kemalangan di kulim</x:v>
      </x:c>
      <x:c r="C292" s="4" t="str">
        <x:v>NON_EVENT</x:v>
      </x:c>
      <x:c r="D292" s="4" t="str">
        <x:v>NON_EVENT</x:v>
      </x:c>
      <x:c r="E292" s="12" t="str">
        <x:v>TUNDA</x:v>
      </x:c>
      <x:c r="F292" s="12" t="str"/>
      <x:c r="G292" s="12" t="str">
        <x:v>Narasi menyebut banjir dan kemalangan di Kulim. Kemalangan dapat merujuk kecelakaan atau kesusahan umum. Perlu konteks untuk menetapkan kategori utama tanpa memilih label secara arbitrer. R1,R4.</x:v>
      </x:c>
      <x:c r="H292" s="4" t="str">
        <x:f>IF(E292="SETUJU_USULAN",D292,IF(E292="KOREKSI",F292,""))</x:f>
      </x:c>
      <x:c r="I292" s="4" t="str">
        <x:f>IF(E292="","BELUM_DIREVIEW",IF(E292="TUNDA","DITUNDA",IF(TRIM(Panduan!$B$5)="","ISI_REVIEWER",IF(AND(E292&lt;&gt;"SETUJU_USULAN",E292&lt;&gt;"KOREKSI"),"CEK_KEPUTUSAN",IF(AND(E292="SETUJU_USULAN",F292&lt;&gt;""),"HAPUS_KOREKSI",IF(H292="","ISI_KOREKSI",IF(NOT(OR(H292="FLOOD",H292="EARTHQUAKE",H292="FIRE",H292="ACCIDENT",H292="NON_EVENT")),"CEK_LABEL",IF(AND(E292="KOREKSI",TRIM(G292)=""),"ISI_CATATAN","REVIEW_TERCATAT"))))))))</x:f>
        <x:v>DITUNDA</x:v>
      </x:c>
      <x:c r="J292" s="4" t="str">
        <x:v>Label dataset dan prediksi baseline sama; makna MVP belum direview. Kesepakatan keduanya belum membuktikan label final.</x:v>
      </x:c>
      <x:c r="K292" s="4" t="str">
        <x:v>NON_EVENT</x:v>
      </x:c>
      <x:c r="L292" s="14" t="n">
        <x:v>0.9857126474380493</x:v>
      </x:c>
    </x:row>
    <x:row r="293" ht="64" customHeight="1">
      <x:c r="A293" s="4" t="str">
        <x:v>BAN-01927</x:v>
      </x:c>
      <x:c r="B293" s="4" t="str">
        <x:v>dampak sosial lingkungan banjir di muara ongkos infrastruktur untuk mengatasinya penurunan tanah dll jauh lebih mahal dari 15 persen lupakan saja angka ini dia tak jauh lebih baik dari keluarnya imb</x:v>
      </x:c>
      <x:c r="C293" s="4" t="str">
        <x:v>NON_EVENT</x:v>
      </x:c>
      <x:c r="D293" s="4" t="str">
        <x:v>NON_EVENT</x:v>
      </x:c>
      <x:c r="E293" s="12" t="str">
        <x:v>SETUJU_USULAN</x:v>
      </x:c>
      <x:c r="F293" s="12" t="str"/>
      <x:c r="G293" s="12" t="str">
        <x:v>Pembahasan ongkos infrastruktur dan dampak lingkungan bersifat kebijakan umum, tanpa episode banjir tertentu. R3.</x:v>
      </x:c>
      <x:c r="H293" s="4" t="str">
        <x:f>IF(E293="SETUJU_USULAN",D293,IF(E293="KOREKSI",F293,""))</x:f>
        <x:v>NON_EVENT</x:v>
      </x:c>
      <x:c r="I293" s="4" t="str">
        <x:f>IF(E293="","BELUM_DIREVIEW",IF(E293="TUNDA","DITUNDA",IF(TRIM(Panduan!$B$5)="","ISI_REVIEWER",IF(AND(E293&lt;&gt;"SETUJU_USULAN",E293&lt;&gt;"KOREKSI"),"CEK_KEPUTUSAN",IF(AND(E293="SETUJU_USULAN",F293&lt;&gt;""),"HAPUS_KOREKSI",IF(H293="","ISI_KOREKSI",IF(NOT(OR(H293="FLOOD",H293="EARTHQUAKE",H293="FIRE",H293="ACCIDENT",H293="NON_EVENT")),"CEK_LABEL",IF(AND(E293="KOREKSI",TRIM(G293)=""),"ISI_CATATAN","REVIEW_TERCATAT"))))))))</x:f>
        <x:v>REVIEW_TERCATAT</x:v>
      </x:c>
      <x:c r="J293" s="4" t="str">
        <x:v>Label dataset dan prediksi baseline sama; makna MVP belum direview. Kesepakatan keduanya belum membuktikan label final.</x:v>
      </x:c>
      <x:c r="K293" s="4" t="str">
        <x:v>NON_EVENT</x:v>
      </x:c>
      <x:c r="L293" s="14" t="n">
        <x:v>0.9857434630393982</x:v>
      </x:c>
    </x:row>
    <x:row r="294" ht="64" customHeight="1">
      <x:c r="A294" s="4" t="str">
        <x:v>BAN-01048</x:v>
      </x:c>
      <x:c r="B294" s="4" t="str">
        <x:v>p mau pantun boleh ? boleh ya waktu semarang kaline banjir seng di sayang ratau mikir</x:v>
      </x:c>
      <x:c r="C294" s="4" t="str">
        <x:v>NON_EVENT</x:v>
      </x:c>
      <x:c r="D294" s="4" t="str">
        <x:v>NON_EVENT</x:v>
      </x:c>
      <x:c r="E294" s="12" t="str">
        <x:v>SETUJU_USULAN</x:v>
      </x:c>
      <x:c r="F294" s="12" t="str"/>
      <x:c r="G294" s="12" t="str">
        <x:v>Kalimat diperkenalkan sebagai pantun dan memakai banjir untuk rima. Tidak melaporkan kejadian. R3.</x:v>
      </x:c>
      <x:c r="H294" s="4" t="str">
        <x:f>IF(E294="SETUJU_USULAN",D294,IF(E294="KOREKSI",F294,""))</x:f>
        <x:v>NON_EVENT</x:v>
      </x:c>
      <x:c r="I294" s="4" t="str">
        <x:f>IF(E294="","BELUM_DIREVIEW",IF(E294="TUNDA","DITUNDA",IF(TRIM(Panduan!$B$5)="","ISI_REVIEWER",IF(AND(E294&lt;&gt;"SETUJU_USULAN",E294&lt;&gt;"KOREKSI"),"CEK_KEPUTUSAN",IF(AND(E294="SETUJU_USULAN",F294&lt;&gt;""),"HAPUS_KOREKSI",IF(H294="","ISI_KOREKSI",IF(NOT(OR(H294="FLOOD",H294="EARTHQUAKE",H294="FIRE",H294="ACCIDENT",H294="NON_EVENT")),"CEK_LABEL",IF(AND(E294="KOREKSI",TRIM(G294)=""),"ISI_CATATAN","REVIEW_TERCATAT"))))))))</x:f>
        <x:v>REVIEW_TERCATAT</x:v>
      </x:c>
      <x:c r="J294" s="4" t="str">
        <x:v>Label dataset dan prediksi baseline sama; makna MVP belum direview. Kesepakatan keduanya belum membuktikan label final.</x:v>
      </x:c>
      <x:c r="K294" s="4" t="str">
        <x:v>NON_EVENT</x:v>
      </x:c>
      <x:c r="L294" s="14" t="n">
        <x:v>0.9858044385910034</x:v>
      </x:c>
    </x:row>
    <x:row r="295" ht="66" customHeight="1">
      <x:c r="A295" s="4" t="str">
        <x:v>GEM-01366</x:v>
      </x:c>
      <x:c r="B295" s="4" t="str">
        <x:v>program luar negara sukarelawan peserta terkini : 2/10 kesan gempa bumi &amp; tsunami yang melanda palu di sulawesi tengah indonesia pada 28 september 2018 yang lalu bukanlah kerosakkan yang boleh dipulihkan dalam masa yang singkat ianya akan</x:v>
      </x:c>
      <x:c r="C295" s="4" t="str">
        <x:v>NON_EVENT</x:v>
      </x:c>
      <x:c r="D295" s="4" t="str">
        <x:v>NON_EVENT</x:v>
      </x:c>
      <x:c r="E295" s="12" t="str">
        <x:v>KOREKSI</x:v>
      </x:c>
      <x:c r="F295" s="12" t="str">
        <x:v>EARTHQUAKE</x:v>
      </x:c>
      <x:c r="G295" s="12" t="str">
        <x:v>Program relawan merujuk kerusakan akibat gempa dan tsunami Palu pada 28 September 2018. R1,R5,R6.</x:v>
      </x:c>
      <x:c r="H295" s="4" t="str">
        <x:f>IF(E295="SETUJU_USULAN",D295,IF(E295="KOREKSI",F295,""))</x:f>
        <x:v>EARTHQUAKE</x:v>
      </x:c>
      <x:c r="I295" s="4" t="str">
        <x:f>IF(E295="","BELUM_DIREVIEW",IF(E295="TUNDA","DITUNDA",IF(TRIM(Panduan!$B$5)="","ISI_REVIEWER",IF(AND(E295&lt;&gt;"SETUJU_USULAN",E295&lt;&gt;"KOREKSI"),"CEK_KEPUTUSAN",IF(AND(E295="SETUJU_USULAN",F295&lt;&gt;""),"HAPUS_KOREKSI",IF(H295="","ISI_KOREKSI",IF(NOT(OR(H295="FLOOD",H295="EARTHQUAKE",H295="FIRE",H295="ACCIDENT",H295="NON_EVENT")),"CEK_LABEL",IF(AND(E295="KOREKSI",TRIM(G295)=""),"ISI_CATATAN","REVIEW_TERCATAT"))))))))</x:f>
        <x:v>REVIEW_TERCATAT</x:v>
      </x:c>
      <x:c r="J295" s="4" t="str">
        <x:v>Label dataset dan prediksi baseline sama; makna MVP belum direview. Kesepakatan keduanya belum membuktikan label final.</x:v>
      </x:c>
      <x:c r="K295" s="4" t="str">
        <x:v>NON_EVENT</x:v>
      </x:c>
      <x:c r="L295" s="14" t="n">
        <x:v>0.9858688116073608</x:v>
      </x:c>
    </x:row>
    <x:row r="296" ht="66" customHeight="1">
      <x:c r="A296" s="4" t="str">
        <x:v>GEM-01617</x:v>
      </x:c>
      <x:c r="B296" s="4" t="str">
        <x:v>bencana terus menerus terjadi di negeri tercinta ini : gempa bumi tsunami pesawat jatuh tabrakan beruntun kapal karam angin puting beliung tanah longsor banjir bandang dan lain-lain apakah ini terjadi karena bobroknya manusia yang ada di dalamnya ? mari kita renungkan</x:v>
      </x:c>
      <x:c r="C296" s="4" t="str">
        <x:v>NON_EVENT</x:v>
      </x:c>
      <x:c r="D296" s="4" t="str">
        <x:v>NON_EVENT</x:v>
      </x:c>
      <x:c r="E296" s="12" t="str">
        <x:v>SETUJU_USULAN</x:v>
      </x:c>
      <x:c r="F296" s="12" t="str"/>
      <x:c r="G296" s="12" t="str">
        <x:v>Daftar berbagai bencana untuk renungan umum tidak mengidentifikasi satu kejadian tertentu. R3.</x:v>
      </x:c>
      <x:c r="H296" s="4" t="str">
        <x:f>IF(E296="SETUJU_USULAN",D296,IF(E296="KOREKSI",F296,""))</x:f>
        <x:v>NON_EVENT</x:v>
      </x:c>
      <x:c r="I296" s="4" t="str">
        <x:f>IF(E296="","BELUM_DIREVIEW",IF(E296="TUNDA","DITUNDA",IF(TRIM(Panduan!$B$5)="","ISI_REVIEWER",IF(AND(E296&lt;&gt;"SETUJU_USULAN",E296&lt;&gt;"KOREKSI"),"CEK_KEPUTUSAN",IF(AND(E296="SETUJU_USULAN",F296&lt;&gt;""),"HAPUS_KOREKSI",IF(H296="","ISI_KOREKSI",IF(NOT(OR(H296="FLOOD",H296="EARTHQUAKE",H296="FIRE",H296="ACCIDENT",H296="NON_EVENT")),"CEK_LABEL",IF(AND(E296="KOREKSI",TRIM(G296)=""),"ISI_CATATAN","REVIEW_TERCATAT"))))))))</x:f>
        <x:v>REVIEW_TERCATAT</x:v>
      </x:c>
      <x:c r="J296" s="4" t="str">
        <x:v>Label dataset dan prediksi baseline sama; makna MVP belum direview. Kesepakatan keduanya belum membuktikan label final.</x:v>
      </x:c>
      <x:c r="K296" s="4" t="str">
        <x:v>NON_EVENT</x:v>
      </x:c>
      <x:c r="L296" s="14" t="n">
        <x:v>0.9860477447509766</x:v>
      </x:c>
    </x:row>
    <x:row r="297" ht="64" customHeight="1">
      <x:c r="A297" s="4" t="str">
        <x:v>BAN-01703</x:v>
      </x:c>
      <x:c r="B297" s="4" t="str">
        <x:v>abang tolongin ini muti mau plng dari acara tadi dari metmall hujan deras banget mana banjir tolonginnnnn haha angkot nya lama nih mana masih jauh rumah mutiabang pokoknya sih you ya di event selanjutnya</x:v>
      </x:c>
      <x:c r="C297" s="4" t="str">
        <x:v>NON_EVENT</x:v>
      </x:c>
      <x:c r="D297" s="4" t="str">
        <x:v>NON_EVENT</x:v>
      </x:c>
      <x:c r="E297" s="12" t="str">
        <x:v>KOREKSI</x:v>
      </x:c>
      <x:c r="F297" s="12" t="str">
        <x:v>FLOOD</x:v>
      </x:c>
      <x:c r="G297" s="12" t="str">
        <x:v>Pelapor menyatakan terhambat hujan dan banjir saat hendak pulang dari Metmall. Gaya percakapan tidak menghapus kondisi literal yang disebut. R1,R4.</x:v>
      </x:c>
      <x:c r="H297" s="4" t="str">
        <x:f>IF(E297="SETUJU_USULAN",D297,IF(E297="KOREKSI",F297,""))</x:f>
        <x:v>FLOOD</x:v>
      </x:c>
      <x:c r="I297" s="4" t="str">
        <x:f>IF(E297="","BELUM_DIREVIEW",IF(E297="TUNDA","DITUNDA",IF(TRIM(Panduan!$B$5)="","ISI_REVIEWER",IF(AND(E297&lt;&gt;"SETUJU_USULAN",E297&lt;&gt;"KOREKSI"),"CEK_KEPUTUSAN",IF(AND(E297="SETUJU_USULAN",F297&lt;&gt;""),"HAPUS_KOREKSI",IF(H297="","ISI_KOREKSI",IF(NOT(OR(H297="FLOOD",H297="EARTHQUAKE",H297="FIRE",H297="ACCIDENT",H297="NON_EVENT")),"CEK_LABEL",IF(AND(E297="KOREKSI",TRIM(G297)=""),"ISI_CATATAN","REVIEW_TERCATAT"))))))))</x:f>
        <x:v>REVIEW_TERCATAT</x:v>
      </x:c>
      <x:c r="J297" s="4" t="str">
        <x:v>Label dataset dan prediksi baseline sama; makna MVP belum direview. Kesepakatan keduanya belum membuktikan label final.</x:v>
      </x:c>
      <x:c r="K297" s="4" t="str">
        <x:v>NON_EVENT</x:v>
      </x:c>
      <x:c r="L297" s="14" t="n">
        <x:v>0.9860534071922302</x:v>
      </x:c>
    </x:row>
    <x:row r="298" ht="64" customHeight="1">
      <x:c r="A298" s="4" t="str">
        <x:v>GEM-01007</x:v>
      </x:c>
      <x:c r="B298" s="4" t="str">
        <x:v>sore tadi kita melakukan bersih bersih dari material reruntuhan gempa bumi di palu karena jalan tersebut sebagai akses keluar masuk distribusi logistik untuk para pengungsi korban gempa bumi di palu sulawesi tengah</x:v>
      </x:c>
      <x:c r="C298" s="4" t="str">
        <x:v>NON_EVENT</x:v>
      </x:c>
      <x:c r="D298" s="4" t="str">
        <x:v>NON_EVENT</x:v>
      </x:c>
      <x:c r="E298" s="12" t="str">
        <x:v>KOREKSI</x:v>
      </x:c>
      <x:c r="F298" s="12" t="str">
        <x:v>EARTHQUAKE</x:v>
      </x:c>
      <x:c r="G298" s="12" t="str">
        <x:v>Pembersihan reruntuhan dan distribusi logistik merujuk korban gempa Palu. R1,R5.</x:v>
      </x:c>
      <x:c r="H298" s="4" t="str">
        <x:f>IF(E298="SETUJU_USULAN",D298,IF(E298="KOREKSI",F298,""))</x:f>
        <x:v>EARTHQUAKE</x:v>
      </x:c>
      <x:c r="I298" s="4" t="str">
        <x:f>IF(E298="","BELUM_DIREVIEW",IF(E298="TUNDA","DITUNDA",IF(TRIM(Panduan!$B$5)="","ISI_REVIEWER",IF(AND(E298&lt;&gt;"SETUJU_USULAN",E298&lt;&gt;"KOREKSI"),"CEK_KEPUTUSAN",IF(AND(E298="SETUJU_USULAN",F298&lt;&gt;""),"HAPUS_KOREKSI",IF(H298="","ISI_KOREKSI",IF(NOT(OR(H298="FLOOD",H298="EARTHQUAKE",H298="FIRE",H298="ACCIDENT",H298="NON_EVENT")),"CEK_LABEL",IF(AND(E298="KOREKSI",TRIM(G298)=""),"ISI_CATATAN","REVIEW_TERCATAT"))))))))</x:f>
        <x:v>REVIEW_TERCATAT</x:v>
      </x:c>
      <x:c r="J298" s="4" t="str">
        <x:v>Label dataset dan prediksi baseline sama; makna MVP belum direview. Kesepakatan keduanya belum membuktikan label final.</x:v>
      </x:c>
      <x:c r="K298" s="4" t="str">
        <x:v>NON_EVENT</x:v>
      </x:c>
      <x:c r="L298" s="14" t="n">
        <x:v>0.9860682487487793</x:v>
      </x:c>
    </x:row>
    <x:row r="299" ht="64" customHeight="1">
      <x:c r="A299" s="4" t="str">
        <x:v>BAN-01983</x:v>
      </x:c>
      <x:c r="B299" s="4" t="str">
        <x:v>tyt adly lawat mangsa banjir di suka belimbing dalam</x:v>
      </x:c>
      <x:c r="C299" s="4" t="str">
        <x:v>NON_EVENT</x:v>
      </x:c>
      <x:c r="D299" s="4" t="str">
        <x:v>NON_EVENT</x:v>
      </x:c>
      <x:c r="E299" s="12" t="str">
        <x:v>KOREKSI</x:v>
      </x:c>
      <x:c r="F299" s="12" t="str">
        <x:v>FLOOD</x:v>
      </x:c>
      <x:c r="G299" s="12" t="str">
        <x:v>Lawatan Adly ditujukan kepada mangsa atau korban banjir di Suka Belimbing Dalam. R1,R5.</x:v>
      </x:c>
      <x:c r="H299" s="4" t="str">
        <x:f>IF(E299="SETUJU_USULAN",D299,IF(E299="KOREKSI",F299,""))</x:f>
        <x:v>FLOOD</x:v>
      </x:c>
      <x:c r="I299" s="4" t="str">
        <x:f>IF(E299="","BELUM_DIREVIEW",IF(E299="TUNDA","DITUNDA",IF(TRIM(Panduan!$B$5)="","ISI_REVIEWER",IF(AND(E299&lt;&gt;"SETUJU_USULAN",E299&lt;&gt;"KOREKSI"),"CEK_KEPUTUSAN",IF(AND(E299="SETUJU_USULAN",F299&lt;&gt;""),"HAPUS_KOREKSI",IF(H299="","ISI_KOREKSI",IF(NOT(OR(H299="FLOOD",H299="EARTHQUAKE",H299="FIRE",H299="ACCIDENT",H299="NON_EVENT")),"CEK_LABEL",IF(AND(E299="KOREKSI",TRIM(G299)=""),"ISI_CATATAN","REVIEW_TERCATAT"))))))))</x:f>
        <x:v>REVIEW_TERCATAT</x:v>
      </x:c>
      <x:c r="J299" s="4" t="str">
        <x:v>Label dataset dan prediksi baseline sama; makna MVP belum direview. Kesepakatan keduanya belum membuktikan label final.</x:v>
      </x:c>
      <x:c r="K299" s="4" t="str">
        <x:v>NON_EVENT</x:v>
      </x:c>
      <x:c r="L299" s="14" t="n">
        <x:v>0.9860720038414001</x:v>
      </x:c>
    </x:row>
    <x:row r="300" ht="66" customHeight="1">
      <x:c r="A300" s="4" t="str">
        <x:v>KEB-00445</x:v>
      </x:c>
      <x:c r="B300" s="4" t="str">
        <x:v>asyik dj lagi kebakaran gw mo berjudi $fire mumpung bandar belum ada yg tahu &amp; amp retail lagi pada cl ( semoga jgn lompat kodok cebong ) . kemarin $hkmu pas arb mgkn hari ini arb lagi $kren byk di pom-pom pasti turun hari ini .</x:v>
      </x:c>
      <x:c r="C300" s="4" t="str">
        <x:v>NON_EVENT</x:v>
      </x:c>
      <x:c r="D300" s="4" t="str">
        <x:v>NON_EVENT</x:v>
      </x:c>
      <x:c r="E300" s="12" t="str">
        <x:v>SETUJU_USULAN</x:v>
      </x:c>
      <x:c r="F300" s="12" t="str"/>
      <x:c r="G300" s="12" t="str">
        <x:v>Kebakaran berada dalam pembicaraan saham dan ticker $FIRE. Tidak ada peristiwa api fisik. R3.</x:v>
      </x:c>
      <x:c r="H300" s="4" t="str">
        <x:f>IF(E300="SETUJU_USULAN",D300,IF(E300="KOREKSI",F300,""))</x:f>
        <x:v>NON_EVENT</x:v>
      </x:c>
      <x:c r="I300" s="4" t="str">
        <x:f>IF(E300="","BELUM_DIREVIEW",IF(E300="TUNDA","DITUNDA",IF(TRIM(Panduan!$B$5)="","ISI_REVIEWER",IF(AND(E300&lt;&gt;"SETUJU_USULAN",E300&lt;&gt;"KOREKSI"),"CEK_KEPUTUSAN",IF(AND(E300="SETUJU_USULAN",F300&lt;&gt;""),"HAPUS_KOREKSI",IF(H300="","ISI_KOREKSI",IF(NOT(OR(H300="FLOOD",H300="EARTHQUAKE",H300="FIRE",H300="ACCIDENT",H300="NON_EVENT")),"CEK_LABEL",IF(AND(E300="KOREKSI",TRIM(G300)=""),"ISI_CATATAN","REVIEW_TERCATAT"))))))))</x:f>
        <x:v>REVIEW_TERCATAT</x:v>
      </x:c>
      <x:c r="J300" s="4" t="str">
        <x:v>Label dataset dan prediksi baseline sama; makna MVP belum direview. Kesepakatan keduanya belum membuktikan label final.</x:v>
      </x:c>
      <x:c r="K300" s="4" t="str">
        <x:v>NON_EVENT</x:v>
      </x:c>
      <x:c r="L300" s="14" t="n">
        <x:v>0.9861452579498291</x:v>
      </x:c>
    </x:row>
    <x:row r="301" ht="66" customHeight="1">
      <x:c r="A301" s="4" t="str">
        <x:v>KEB-00636</x:v>
      </x:c>
      <x:c r="B301" s="4" t="str">
        <x:v>dalam rangka pencegahan kebakaran hutan dan lahan ( karhutla ) , bhabinkamtibmas punggur kapuas aiptu subarto mensosialisasikan maklumat kapolda kalbar tentang larangan dan sanksi pembakaran hutan dan lahan kepada sdr gustino di dusun selat kering desa punggur kapuas</x:v>
      </x:c>
      <x:c r="C301" s="4" t="str">
        <x:v>NON_EVENT</x:v>
      </x:c>
      <x:c r="D301" s="4" t="str">
        <x:v>NON_EVENT</x:v>
      </x:c>
      <x:c r="E301" s="12" t="str">
        <x:v>SETUJU_USULAN</x:v>
      </x:c>
      <x:c r="F301" s="12" t="str"/>
      <x:c r="G301" s="12" t="str">
        <x:v>Sosialisasi larangan pembakaran hutan merupakan pencegahan, tanpa kebakaran tertentu. R3.</x:v>
      </x:c>
      <x:c r="H301" s="4" t="str">
        <x:f>IF(E301="SETUJU_USULAN",D301,IF(E301="KOREKSI",F301,""))</x:f>
        <x:v>NON_EVENT</x:v>
      </x:c>
      <x:c r="I301" s="4" t="str">
        <x:f>IF(E301="","BELUM_DIREVIEW",IF(E301="TUNDA","DITUNDA",IF(TRIM(Panduan!$B$5)="","ISI_REVIEWER",IF(AND(E301&lt;&gt;"SETUJU_USULAN",E301&lt;&gt;"KOREKSI"),"CEK_KEPUTUSAN",IF(AND(E301="SETUJU_USULAN",F301&lt;&gt;""),"HAPUS_KOREKSI",IF(H301="","ISI_KOREKSI",IF(NOT(OR(H301="FLOOD",H301="EARTHQUAKE",H301="FIRE",H301="ACCIDENT",H301="NON_EVENT")),"CEK_LABEL",IF(AND(E301="KOREKSI",TRIM(G301)=""),"ISI_CATATAN","REVIEW_TERCATAT"))))))))</x:f>
        <x:v>REVIEW_TERCATAT</x:v>
      </x:c>
      <x:c r="J301" s="4" t="str">
        <x:v>Label dataset dan prediksi baseline sama; makna MVP belum direview. Kesepakatan keduanya belum membuktikan label final.</x:v>
      </x:c>
      <x:c r="K301" s="4" t="str">
        <x:v>NON_EVENT</x:v>
      </x:c>
      <x:c r="L301" s="14" t="n">
        <x:v>0.9861650466918945</x:v>
      </x:c>
    </x:row>
    <x:row r="302" ht="64" customHeight="1">
      <x:c r="A302" s="4" t="str">
        <x:v>KEB-00880</x:v>
      </x:c>
      <x:c r="B302" s="4" t="str">
        <x:v>detik-detik mencekam kebakaran hebat di kawasan pasar maninjau agam</x:v>
      </x:c>
      <x:c r="C302" s="4" t="str">
        <x:v>FIRE</x:v>
      </x:c>
      <x:c r="D302" s="4" t="str">
        <x:v>FIRE</x:v>
      </x:c>
      <x:c r="E302" s="12" t="str">
        <x:v>SETUJU_USULAN</x:v>
      </x:c>
      <x:c r="F302" s="12" t="str"/>
      <x:c r="G302" s="12" t="str">
        <x:v>Narasi menyatakan kejadian kebakaran yang terjadi atau telah terjadi. Label mengikuti isi kejadian, termasuk penanganan dan dampak yang disebut. R1,R4.</x:v>
      </x:c>
      <x:c r="H302" s="4" t="str">
        <x:f>IF(E302="SETUJU_USULAN",D302,IF(E302="KOREKSI",F302,""))</x:f>
        <x:v>FIRE</x:v>
      </x:c>
      <x:c r="I302" s="4" t="str">
        <x:f>IF(E302="","BELUM_DIREVIEW",IF(E302="TUNDA","DITUNDA",IF(TRIM(Panduan!$B$5)="","ISI_REVIEWER",IF(AND(E302&lt;&gt;"SETUJU_USULAN",E302&lt;&gt;"KOREKSI"),"CEK_KEPUTUSAN",IF(AND(E302="SETUJU_USULAN",F302&lt;&gt;""),"HAPUS_KOREKSI",IF(H302="","ISI_KOREKSI",IF(NOT(OR(H302="FLOOD",H302="EARTHQUAKE",H302="FIRE",H302="ACCIDENT",H302="NON_EVENT")),"CEK_LABEL",IF(AND(E302="KOREKSI",TRIM(G302)=""),"ISI_CATATAN","REVIEW_TERCATAT"))))))))</x:f>
        <x:v>REVIEW_TERCATAT</x:v>
      </x:c>
      <x:c r="J302" s="4" t="str">
        <x:v>Label dataset dan prediksi baseline sama; makna MVP belum direview. Kesepakatan keduanya belum membuktikan label final.</x:v>
      </x:c>
      <x:c r="K302" s="4" t="str">
        <x:v>FIRE</x:v>
      </x:c>
      <x:c r="L302" s="14" t="n">
        <x:v>0.9861732721328735</x:v>
      </x:c>
    </x:row>
    <x:row r="303" ht="64" customHeight="1">
      <x:c r="A303" s="4" t="str">
        <x:v>BAN-01793</x:v>
      </x:c>
      <x:c r="B303" s="4" t="str">
        <x:v>min kapan jalan cerme-bunder dapan perbaikan ? sudah rusak dan pasca banjir malah makin parah harus segera di atasi sebelum ada korban mohon perhatian kalo itu jalan provinsi mohon perhatian juga untuk bu deh cc :</x:v>
      </x:c>
      <x:c r="C303" s="4" t="str">
        <x:v>NON_EVENT</x:v>
      </x:c>
      <x:c r="D303" s="4" t="str">
        <x:v>NON_EVENT</x:v>
      </x:c>
      <x:c r="E303" s="12" t="str">
        <x:v>KOREKSI</x:v>
      </x:c>
      <x:c r="F303" s="12" t="str">
        <x:v>FLOOD</x:v>
      </x:c>
      <x:c r="G303" s="12" t="str">
        <x:v>Jalan Cerme-Bunder disebut makin rusak pascabanjir. Permintaan perbaikan merujuk dampak banjir yang telah terjadi. R1,R5.</x:v>
      </x:c>
      <x:c r="H303" s="4" t="str">
        <x:f>IF(E303="SETUJU_USULAN",D303,IF(E303="KOREKSI",F303,""))</x:f>
        <x:v>FLOOD</x:v>
      </x:c>
      <x:c r="I303" s="4" t="str">
        <x:f>IF(E303="","BELUM_DIREVIEW",IF(E303="TUNDA","DITUNDA",IF(TRIM(Panduan!$B$5)="","ISI_REVIEWER",IF(AND(E303&lt;&gt;"SETUJU_USULAN",E303&lt;&gt;"KOREKSI"),"CEK_KEPUTUSAN",IF(AND(E303="SETUJU_USULAN",F303&lt;&gt;""),"HAPUS_KOREKSI",IF(H303="","ISI_KOREKSI",IF(NOT(OR(H303="FLOOD",H303="EARTHQUAKE",H303="FIRE",H303="ACCIDENT",H303="NON_EVENT")),"CEK_LABEL",IF(AND(E303="KOREKSI",TRIM(G303)=""),"ISI_CATATAN","REVIEW_TERCATAT"))))))))</x:f>
        <x:v>REVIEW_TERCATAT</x:v>
      </x:c>
      <x:c r="J303" s="4" t="str">
        <x:v>Label dataset dan prediksi baseline sama; makna MVP belum direview. Kesepakatan keduanya belum membuktikan label final.</x:v>
      </x:c>
      <x:c r="K303" s="4" t="str">
        <x:v>NON_EVENT</x:v>
      </x:c>
      <x:c r="L303" s="14" t="n">
        <x:v>0.986221432685852</x:v>
      </x:c>
    </x:row>
    <x:row r="304" ht="64" customHeight="1">
      <x:c r="A304" s="4" t="str">
        <x:v>KEB-00962</x:v>
      </x:c>
      <x:c r="B304" s="4" t="str">
        <x:v>kebakaran di h muhari kelas serua bojong sari depok , di butuhkan pemadam kebakaran</x:v>
      </x:c>
      <x:c r="C304" s="4" t="str">
        <x:v>FIRE</x:v>
      </x:c>
      <x:c r="D304" s="4" t="str">
        <x:v>FIRE</x:v>
      </x:c>
      <x:c r="E304" s="12" t="str">
        <x:v>SETUJU_USULAN</x:v>
      </x:c>
      <x:c r="F304" s="12" t="str"/>
      <x:c r="G304" s="12" t="str">
        <x:v>Narasi menyatakan kejadian kebakaran yang terjadi atau telah terjadi. Label mengikuti isi kejadian, termasuk penanganan dan dampak yang disebut. R1,R4.</x:v>
      </x:c>
      <x:c r="H304" s="4" t="str">
        <x:f>IF(E304="SETUJU_USULAN",D304,IF(E304="KOREKSI",F304,""))</x:f>
        <x:v>FIRE</x:v>
      </x:c>
      <x:c r="I304" s="4" t="str">
        <x:f>IF(E304="","BELUM_DIREVIEW",IF(E304="TUNDA","DITUNDA",IF(TRIM(Panduan!$B$5)="","ISI_REVIEWER",IF(AND(E304&lt;&gt;"SETUJU_USULAN",E304&lt;&gt;"KOREKSI"),"CEK_KEPUTUSAN",IF(AND(E304="SETUJU_USULAN",F304&lt;&gt;""),"HAPUS_KOREKSI",IF(H304="","ISI_KOREKSI",IF(NOT(OR(H304="FLOOD",H304="EARTHQUAKE",H304="FIRE",H304="ACCIDENT",H304="NON_EVENT")),"CEK_LABEL",IF(AND(E304="KOREKSI",TRIM(G304)=""),"ISI_CATATAN","REVIEW_TERCATAT"))))))))</x:f>
        <x:v>REVIEW_TERCATAT</x:v>
      </x:c>
      <x:c r="J304" s="4" t="str">
        <x:v>Label dataset dan prediksi baseline sama; makna MVP belum direview. Kesepakatan keduanya belum membuktikan label final.</x:v>
      </x:c>
      <x:c r="K304" s="4" t="str">
        <x:v>FIRE</x:v>
      </x:c>
      <x:c r="L304" s="14" t="n">
        <x:v>0.9862604737281799</x:v>
      </x:c>
    </x:row>
    <x:row r="305" ht="66" customHeight="1">
      <x:c r="A305" s="4" t="str">
        <x:v>KEC-01098</x:v>
      </x:c>
      <x:c r="B305" s="4" t="str">
        <x:v>terus baru baca twitternya dan ternyata kena kecelakaan di tol fyi bis2 pantura begitu tuh ngeri-ngeri dulu sebagai orang yang naik bis kalo balik semoga pun ketar ketir bahkan kata orang-orang mending supirnya mati/nabrakin diri daripada ketangkep orang-orang lho ya yang bilang</x:v>
      </x:c>
      <x:c r="C305" s="4" t="str">
        <x:v>NON_EVENT</x:v>
      </x:c>
      <x:c r="D305" s="4" t="str">
        <x:v>NON_EVENT</x:v>
      </x:c>
      <x:c r="E305" s="12" t="str">
        <x:v>KOREKSI</x:v>
      </x:c>
      <x:c r="F305" s="12" t="str">
        <x:v>ACCIDENT</x:v>
      </x:c>
      <x:c r="G305" s="12" t="str">
        <x:v>Pelapor menyebut berita seseorang terkena kecelakaan di tol. Komentar tentang bus dan keselamatan mengikuti klaim kejadian. R1,R4,R5.</x:v>
      </x:c>
      <x:c r="H305" s="4" t="str">
        <x:f>IF(E305="SETUJU_USULAN",D305,IF(E305="KOREKSI",F305,""))</x:f>
        <x:v>ACCIDENT</x:v>
      </x:c>
      <x:c r="I305" s="4" t="str">
        <x:f>IF(E305="","BELUM_DIREVIEW",IF(E305="TUNDA","DITUNDA",IF(TRIM(Panduan!$B$5)="","ISI_REVIEWER",IF(AND(E305&lt;&gt;"SETUJU_USULAN",E305&lt;&gt;"KOREKSI"),"CEK_KEPUTUSAN",IF(AND(E305="SETUJU_USULAN",F305&lt;&gt;""),"HAPUS_KOREKSI",IF(H305="","ISI_KOREKSI",IF(NOT(OR(H305="FLOOD",H305="EARTHQUAKE",H305="FIRE",H305="ACCIDENT",H305="NON_EVENT")),"CEK_LABEL",IF(AND(E305="KOREKSI",TRIM(G305)=""),"ISI_CATATAN","REVIEW_TERCATAT"))))))))</x:f>
        <x:v>REVIEW_TERCATAT</x:v>
      </x:c>
      <x:c r="J305" s="4" t="str">
        <x:v>Label dataset dan prediksi baseline sama; makna MVP belum direview. Kesepakatan keduanya belum membuktikan label final.</x:v>
      </x:c>
      <x:c r="K305" s="4" t="str">
        <x:v>NON_EVENT</x:v>
      </x:c>
      <x:c r="L305" s="14" t="n">
        <x:v>0.9863570928573608</x:v>
      </x:c>
    </x:row>
    <x:row r="306" ht="66" customHeight="1">
      <x:c r="A306" s="4" t="str">
        <x:v>BAN-01895</x:v>
      </x:c>
      <x:c r="B306" s="4" t="str">
        <x:v>act terus berupaya pulihkan konawe utara upaya membantu korban banjir di kabupaten konawe utara terus berlanjut pelayanan medis evakuasi pendirian dan aktivasi dapur umum masih dilakukan relawan masyarakat relawan indonesia ( mri ) - act</x:v>
      </x:c>
      <x:c r="C306" s="4" t="str">
        <x:v>NON_EVENT</x:v>
      </x:c>
      <x:c r="D306" s="4" t="str">
        <x:v>NON_EVENT</x:v>
      </x:c>
      <x:c r="E306" s="12" t="str">
        <x:v>KOREKSI</x:v>
      </x:c>
      <x:c r="F306" s="12" t="str">
        <x:v>FLOOD</x:v>
      </x:c>
      <x:c r="G306" s="12" t="str">
        <x:v>Pemulihan, evakuasi, layanan medis dan dapur umum merujuk korban banjir Konawe Utara. R1,R5.</x:v>
      </x:c>
      <x:c r="H306" s="4" t="str">
        <x:f>IF(E306="SETUJU_USULAN",D306,IF(E306="KOREKSI",F306,""))</x:f>
        <x:v>FLOOD</x:v>
      </x:c>
      <x:c r="I306" s="4" t="str">
        <x:f>IF(E306="","BELUM_DIREVIEW",IF(E306="TUNDA","DITUNDA",IF(TRIM(Panduan!$B$5)="","ISI_REVIEWER",IF(AND(E306&lt;&gt;"SETUJU_USULAN",E306&lt;&gt;"KOREKSI"),"CEK_KEPUTUSAN",IF(AND(E306="SETUJU_USULAN",F306&lt;&gt;""),"HAPUS_KOREKSI",IF(H306="","ISI_KOREKSI",IF(NOT(OR(H306="FLOOD",H306="EARTHQUAKE",H306="FIRE",H306="ACCIDENT",H306="NON_EVENT")),"CEK_LABEL",IF(AND(E306="KOREKSI",TRIM(G306)=""),"ISI_CATATAN","REVIEW_TERCATAT"))))))))</x:f>
        <x:v>REVIEW_TERCATAT</x:v>
      </x:c>
      <x:c r="J306" s="4" t="str">
        <x:v>Label dataset dan prediksi baseline sama; makna MVP belum direview. Kesepakatan keduanya belum membuktikan label final.</x:v>
      </x:c>
      <x:c r="K306" s="4" t="str">
        <x:v>NON_EVENT</x:v>
      </x:c>
      <x:c r="L306" s="14" t="n">
        <x:v>0.9865347743034363</x:v>
      </x:c>
    </x:row>
    <x:row r="307" ht="64" customHeight="1">
      <x:c r="A307" s="4" t="str">
        <x:v>KEB-00391</x:v>
      </x:c>
      <x:c r="B307" s="4" t="str">
        <x:v>balita nyaris terpanggang saat kebakaran di timika - seputar papua</x:v>
      </x:c>
      <x:c r="C307" s="4" t="str">
        <x:v>FIRE</x:v>
      </x:c>
      <x:c r="D307" s="4" t="str">
        <x:v>FIRE</x:v>
      </x:c>
      <x:c r="E307" s="12" t="str">
        <x:v>SETUJU_USULAN</x:v>
      </x:c>
      <x:c r="F307" s="12" t="str"/>
      <x:c r="G307" s="12" t="str">
        <x:v>Narasi menyatakan kejadian kebakaran yang terjadi atau telah terjadi. Label mengikuti isi kejadian, termasuk penanganan dan dampak yang disebut. R1,R4.</x:v>
      </x:c>
      <x:c r="H307" s="4" t="str">
        <x:f>IF(E307="SETUJU_USULAN",D307,IF(E307="KOREKSI",F307,""))</x:f>
        <x:v>FIRE</x:v>
      </x:c>
      <x:c r="I307" s="4" t="str">
        <x:f>IF(E307="","BELUM_DIREVIEW",IF(E307="TUNDA","DITUNDA",IF(TRIM(Panduan!$B$5)="","ISI_REVIEWER",IF(AND(E307&lt;&gt;"SETUJU_USULAN",E307&lt;&gt;"KOREKSI"),"CEK_KEPUTUSAN",IF(AND(E307="SETUJU_USULAN",F307&lt;&gt;""),"HAPUS_KOREKSI",IF(H307="","ISI_KOREKSI",IF(NOT(OR(H307="FLOOD",H307="EARTHQUAKE",H307="FIRE",H307="ACCIDENT",H307="NON_EVENT")),"CEK_LABEL",IF(AND(E307="KOREKSI",TRIM(G307)=""),"ISI_CATATAN","REVIEW_TERCATAT"))))))))</x:f>
        <x:v>REVIEW_TERCATAT</x:v>
      </x:c>
      <x:c r="J307" s="4" t="str">
        <x:v>Label dataset dan prediksi baseline sama; makna MVP belum direview. Kesepakatan keduanya belum membuktikan label final.</x:v>
      </x:c>
      <x:c r="K307" s="4" t="str">
        <x:v>FIRE</x:v>
      </x:c>
      <x:c r="L307" s="14" t="n">
        <x:v>0.9866622090339661</x:v>
      </x:c>
    </x:row>
    <x:row r="308" ht="64" customHeight="1">
      <x:c r="A308" s="4" t="str">
        <x:v>BAN-01769</x:v>
      </x:c>
      <x:c r="B308" s="4" t="str">
        <x:v>pak kalau mau pindah di kaltim sih oke2 saja tapi saya ksitau dikit deh balikpapan suka banjir di beberapa wilayah kalau mau dijadikan daerah ibukota masalah drainasenya harus diberesin dulu</x:v>
      </x:c>
      <x:c r="C308" s="4" t="str">
        <x:v>NON_EVENT</x:v>
      </x:c>
      <x:c r="D308" s="4" t="str">
        <x:v>NON_EVENT</x:v>
      </x:c>
      <x:c r="E308" s="12" t="str">
        <x:v>SETUJU_USULAN</x:v>
      </x:c>
      <x:c r="F308" s="12" t="str"/>
      <x:c r="G308" s="12" t="str">
        <x:v>Saran pemindahan ibu kota membahas kerawanan banjir Balikpapan secara umum. R3.</x:v>
      </x:c>
      <x:c r="H308" s="4" t="str">
        <x:f>IF(E308="SETUJU_USULAN",D308,IF(E308="KOREKSI",F308,""))</x:f>
        <x:v>NON_EVENT</x:v>
      </x:c>
      <x:c r="I308" s="4" t="str">
        <x:f>IF(E308="","BELUM_DIREVIEW",IF(E308="TUNDA","DITUNDA",IF(TRIM(Panduan!$B$5)="","ISI_REVIEWER",IF(AND(E308&lt;&gt;"SETUJU_USULAN",E308&lt;&gt;"KOREKSI"),"CEK_KEPUTUSAN",IF(AND(E308="SETUJU_USULAN",F308&lt;&gt;""),"HAPUS_KOREKSI",IF(H308="","ISI_KOREKSI",IF(NOT(OR(H308="FLOOD",H308="EARTHQUAKE",H308="FIRE",H308="ACCIDENT",H308="NON_EVENT")),"CEK_LABEL",IF(AND(E308="KOREKSI",TRIM(G308)=""),"ISI_CATATAN","REVIEW_TERCATAT"))))))))</x:f>
        <x:v>REVIEW_TERCATAT</x:v>
      </x:c>
      <x:c r="J308" s="4" t="str">
        <x:v>Label dataset dan prediksi baseline sama; makna MVP belum direview. Kesepakatan keduanya belum membuktikan label final.</x:v>
      </x:c>
      <x:c r="K308" s="4" t="str">
        <x:v>NON_EVENT</x:v>
      </x:c>
      <x:c r="L308" s="14" t="n">
        <x:v>0.9866668581962585</x:v>
      </x:c>
    </x:row>
    <x:row r="309" ht="64" customHeight="1">
      <x:c r="A309" s="4" t="str">
        <x:v>GEM-01098</x:v>
      </x:c>
      <x:c r="B309" s="4" t="str">
        <x:v>bantuan dan donasi bagi korban gempa bumi dan tsunami di palu - donggala - sigi dapat disalurkan melalui : baca 6860099339 bsm 7015658899 bni syariah 3032000922 semua rekening atas nama : medical</x:v>
      </x:c>
      <x:c r="C309" s="4" t="str">
        <x:v>NON_EVENT</x:v>
      </x:c>
      <x:c r="D309" s="4" t="str">
        <x:v>NON_EVENT</x:v>
      </x:c>
      <x:c r="E309" s="12" t="str">
        <x:v>KOREKSI</x:v>
      </x:c>
      <x:c r="F309" s="12" t="str">
        <x:v>EARTHQUAKE</x:v>
      </x:c>
      <x:c r="G309" s="12" t="str">
        <x:v>Bantuan dan donasi ditujukan kepada korban gempa Palu-Donggala-Sigi. R1,R5.</x:v>
      </x:c>
      <x:c r="H309" s="4" t="str">
        <x:f>IF(E309="SETUJU_USULAN",D309,IF(E309="KOREKSI",F309,""))</x:f>
        <x:v>EARTHQUAKE</x:v>
      </x:c>
      <x:c r="I309" s="4" t="str">
        <x:f>IF(E309="","BELUM_DIREVIEW",IF(E309="TUNDA","DITUNDA",IF(TRIM(Panduan!$B$5)="","ISI_REVIEWER",IF(AND(E309&lt;&gt;"SETUJU_USULAN",E309&lt;&gt;"KOREKSI"),"CEK_KEPUTUSAN",IF(AND(E309="SETUJU_USULAN",F309&lt;&gt;""),"HAPUS_KOREKSI",IF(H309="","ISI_KOREKSI",IF(NOT(OR(H309="FLOOD",H309="EARTHQUAKE",H309="FIRE",H309="ACCIDENT",H309="NON_EVENT")),"CEK_LABEL",IF(AND(E309="KOREKSI",TRIM(G309)=""),"ISI_CATATAN","REVIEW_TERCATAT"))))))))</x:f>
        <x:v>REVIEW_TERCATAT</x:v>
      </x:c>
      <x:c r="J309" s="4" t="str">
        <x:v>Label dataset dan prediksi baseline sama; makna MVP belum direview. Kesepakatan keduanya belum membuktikan label final.</x:v>
      </x:c>
      <x:c r="K309" s="4" t="str">
        <x:v>NON_EVENT</x:v>
      </x:c>
      <x:c r="L309" s="14" t="n">
        <x:v>0.986774206161499</x:v>
      </x:c>
    </x:row>
    <x:row r="310" ht="66" customHeight="1">
      <x:c r="A310" s="4" t="str">
        <x:v>BAN-01124</x:v>
      </x:c>
      <x:c r="B310" s="4" t="str">
        <x:v>susah banget blang kna banjir dan suruh kita ambil biar cepat 5 hari krendem air di kerdus barangnya kasihan karyawan di sini di komplain ini tiki di pura demak denpasar bisa info bagi smeton yang pketnya belum sampai langsung ke tiki pura demak</x:v>
      </x:c>
      <x:c r="C310" s="4" t="str">
        <x:v>NON_EVENT</x:v>
      </x:c>
      <x:c r="D310" s="4" t="str">
        <x:v>NON_EVENT</x:v>
      </x:c>
      <x:c r="E310" s="12" t="str">
        <x:v>KOREKSI</x:v>
      </x:c>
      <x:c r="F310" s="12" t="str">
        <x:v>FLOOD</x:v>
      </x:c>
      <x:c r="G310" s="12" t="str">
        <x:v>Keluhan pengiriman menyatakan barang terendam air lima hari akibat banjir di lokasi TIKI Pura Demak, Denpasar. R1,R5.</x:v>
      </x:c>
      <x:c r="H310" s="4" t="str">
        <x:f>IF(E310="SETUJU_USULAN",D310,IF(E310="KOREKSI",F310,""))</x:f>
        <x:v>FLOOD</x:v>
      </x:c>
      <x:c r="I310" s="4" t="str">
        <x:f>IF(E310="","BELUM_DIREVIEW",IF(E310="TUNDA","DITUNDA",IF(TRIM(Panduan!$B$5)="","ISI_REVIEWER",IF(AND(E310&lt;&gt;"SETUJU_USULAN",E310&lt;&gt;"KOREKSI"),"CEK_KEPUTUSAN",IF(AND(E310="SETUJU_USULAN",F310&lt;&gt;""),"HAPUS_KOREKSI",IF(H310="","ISI_KOREKSI",IF(NOT(OR(H310="FLOOD",H310="EARTHQUAKE",H310="FIRE",H310="ACCIDENT",H310="NON_EVENT")),"CEK_LABEL",IF(AND(E310="KOREKSI",TRIM(G310)=""),"ISI_CATATAN","REVIEW_TERCATAT"))))))))</x:f>
        <x:v>REVIEW_TERCATAT</x:v>
      </x:c>
      <x:c r="J310" s="4" t="str">
        <x:v>Label dataset dan prediksi baseline sama; makna MVP belum direview. Kesepakatan keduanya belum membuktikan label final.</x:v>
      </x:c>
      <x:c r="K310" s="4" t="str">
        <x:v>NON_EVENT</x:v>
      </x:c>
      <x:c r="L310" s="14" t="n">
        <x:v>0.9868962168693542</x:v>
      </x:c>
    </x:row>
    <x:row r="311" ht="66" customHeight="1">
      <x:c r="A311" s="4" t="str">
        <x:v>BAN-01729</x:v>
      </x:c>
      <x:c r="B311" s="4" t="str">
        <x:v>anies heran sama semua warga dki yang cuma bisa ngeluh padahal solusi banjir cuma buat lobang di tanah di pekarangan rumah supaya ada drainase vertikal geblek semua padahal dari debat kemarin sudah dibilang kalau air itu jalannya ke bawah bukan ke laut ''</x:v>
      </x:c>
      <x:c r="C311" s="4" t="str">
        <x:v>NON_EVENT</x:v>
      </x:c>
      <x:c r="D311" s="4" t="str">
        <x:v>NON_EVENT</x:v>
      </x:c>
      <x:c r="E311" s="12" t="str">
        <x:v>SETUJU_USULAN</x:v>
      </x:c>
      <x:c r="F311" s="12" t="str"/>
      <x:c r="G311" s="12" t="str">
        <x:v>Perdebatan drainase vertikal membahas solusi banjir umum, tanpa kejadian tertentu. R3.</x:v>
      </x:c>
      <x:c r="H311" s="4" t="str">
        <x:f>IF(E311="SETUJU_USULAN",D311,IF(E311="KOREKSI",F311,""))</x:f>
        <x:v>NON_EVENT</x:v>
      </x:c>
      <x:c r="I311" s="4" t="str">
        <x:f>IF(E311="","BELUM_DIREVIEW",IF(E311="TUNDA","DITUNDA",IF(TRIM(Panduan!$B$5)="","ISI_REVIEWER",IF(AND(E311&lt;&gt;"SETUJU_USULAN",E311&lt;&gt;"KOREKSI"),"CEK_KEPUTUSAN",IF(AND(E311="SETUJU_USULAN",F311&lt;&gt;""),"HAPUS_KOREKSI",IF(H311="","ISI_KOREKSI",IF(NOT(OR(H311="FLOOD",H311="EARTHQUAKE",H311="FIRE",H311="ACCIDENT",H311="NON_EVENT")),"CEK_LABEL",IF(AND(E311="KOREKSI",TRIM(G311)=""),"ISI_CATATAN","REVIEW_TERCATAT"))))))))</x:f>
        <x:v>REVIEW_TERCATAT</x:v>
      </x:c>
      <x:c r="J311" s="4" t="str">
        <x:v>Label dataset dan prediksi baseline sama; makna MVP belum direview. Kesepakatan keduanya belum membuktikan label final.</x:v>
      </x:c>
      <x:c r="K311" s="4" t="str">
        <x:v>NON_EVENT</x:v>
      </x:c>
      <x:c r="L311" s="14" t="n">
        <x:v>0.9869174957275391</x:v>
      </x:c>
    </x:row>
    <x:row r="312" ht="66" customHeight="1">
      <x:c r="A312" s="4" t="str">
        <x:v>KEC-01277</x:v>
      </x:c>
      <x:c r="B312" s="4" t="str">
        <x:v>tak hanya memberikan respon saat terjadi kecelakaan ( pertolongan pertama dan ambulans ) kami juga memberikan pelayanan kesehatan dan rest area untuk sahabat pmi yang sedang mudik lebaran pos pp pmi kabupaten klaten di depan masjid al aqsho</x:v>
      </x:c>
      <x:c r="C312" s="4" t="str">
        <x:v>NON_EVENT</x:v>
      </x:c>
      <x:c r="D312" s="4" t="str">
        <x:v>NON_EVENT</x:v>
      </x:c>
      <x:c r="E312" s="12" t="str">
        <x:v>SETUJU_USULAN</x:v>
      </x:c>
      <x:c r="F312" s="12" t="str"/>
      <x:c r="G312" s="12" t="str">
        <x:v>Layanan pertolongan dan ambulans dijelaskan sebagai kesiapsiagaan saat terjadi kecelakaan, bukan laporan kasus. R3.</x:v>
      </x:c>
      <x:c r="H312" s="4" t="str">
        <x:f>IF(E312="SETUJU_USULAN",D312,IF(E312="KOREKSI",F312,""))</x:f>
        <x:v>NON_EVENT</x:v>
      </x:c>
      <x:c r="I312" s="4" t="str">
        <x:f>IF(E312="","BELUM_DIREVIEW",IF(E312="TUNDA","DITUNDA",IF(TRIM(Panduan!$B$5)="","ISI_REVIEWER",IF(AND(E312&lt;&gt;"SETUJU_USULAN",E312&lt;&gt;"KOREKSI"),"CEK_KEPUTUSAN",IF(AND(E312="SETUJU_USULAN",F312&lt;&gt;""),"HAPUS_KOREKSI",IF(H312="","ISI_KOREKSI",IF(NOT(OR(H312="FLOOD",H312="EARTHQUAKE",H312="FIRE",H312="ACCIDENT",H312="NON_EVENT")),"CEK_LABEL",IF(AND(E312="KOREKSI",TRIM(G312)=""),"ISI_CATATAN","REVIEW_TERCATAT"))))))))</x:f>
        <x:v>REVIEW_TERCATAT</x:v>
      </x:c>
      <x:c r="J312" s="4" t="str">
        <x:v>Label dataset dan prediksi baseline sama; makna MVP belum direview. Kesepakatan keduanya belum membuktikan label final.</x:v>
      </x:c>
      <x:c r="K312" s="4" t="str">
        <x:v>NON_EVENT</x:v>
      </x:c>
      <x:c r="L312" s="14" t="n">
        <x:v>0.9869373440742493</x:v>
      </x:c>
    </x:row>
    <x:row r="313" ht="64" customHeight="1">
      <x:c r="A313" s="4" t="str">
        <x:v>BAN-01925</x:v>
      </x:c>
      <x:c r="B313" s="4" t="str">
        <x:v>banjir dikit menyalahkan pemerintah kalo kau masih buang puntung rokok sama bungkus permen di jalan enggak usah menyalahkan orang lain karena banjir ! !</x:v>
      </x:c>
      <x:c r="C313" s="4" t="str">
        <x:v>NON_EVENT</x:v>
      </x:c>
      <x:c r="D313" s="4" t="str">
        <x:v>NON_EVENT</x:v>
      </x:c>
      <x:c r="E313" s="12" t="str">
        <x:v>SETUJU_USULAN</x:v>
      </x:c>
      <x:c r="F313" s="12" t="str"/>
      <x:c r="G313" s="12" t="str">
        <x:v>Teguran mengenai sampah dan menyalahkan pemerintah bersifat umum, tanpa episode banjir tertentu. R3.</x:v>
      </x:c>
      <x:c r="H313" s="4" t="str">
        <x:f>IF(E313="SETUJU_USULAN",D313,IF(E313="KOREKSI",F313,""))</x:f>
        <x:v>NON_EVENT</x:v>
      </x:c>
      <x:c r="I313" s="4" t="str">
        <x:f>IF(E313="","BELUM_DIREVIEW",IF(E313="TUNDA","DITUNDA",IF(TRIM(Panduan!$B$5)="","ISI_REVIEWER",IF(AND(E313&lt;&gt;"SETUJU_USULAN",E313&lt;&gt;"KOREKSI"),"CEK_KEPUTUSAN",IF(AND(E313="SETUJU_USULAN",F313&lt;&gt;""),"HAPUS_KOREKSI",IF(H313="","ISI_KOREKSI",IF(NOT(OR(H313="FLOOD",H313="EARTHQUAKE",H313="FIRE",H313="ACCIDENT",H313="NON_EVENT")),"CEK_LABEL",IF(AND(E313="KOREKSI",TRIM(G313)=""),"ISI_CATATAN","REVIEW_TERCATAT"))))))))</x:f>
        <x:v>REVIEW_TERCATAT</x:v>
      </x:c>
      <x:c r="J313" s="4" t="str">
        <x:v>Label dataset dan prediksi baseline sama; makna MVP belum direview. Kesepakatan keduanya belum membuktikan label final.</x:v>
      </x:c>
      <x:c r="K313" s="4" t="str">
        <x:v>NON_EVENT</x:v>
      </x:c>
      <x:c r="L313" s="14" t="n">
        <x:v>0.9869644045829773</x:v>
      </x:c>
    </x:row>
    <x:row r="314" ht="66" customHeight="1">
      <x:c r="A314" s="4" t="str">
        <x:v>KEB-00869</x:v>
      </x:c>
      <x:c r="B314" s="4" t="str">
        <x:v>23.4 : kebakaran di pasar baru bekasi timur . benar , terjadi kebakaran di pasar baru bekasi , bekasi timur , kota bekasi . saat ini 13 unit mobil damkar sudah dilokasi . " kata niko sudin damkar kota bekasi kepada elshinta , senin ( 14/9 ) . ( red ) "</x:v>
      </x:c>
      <x:c r="C314" s="4" t="str">
        <x:v>FIRE</x:v>
      </x:c>
      <x:c r="D314" s="4" t="str">
        <x:v>FIRE</x:v>
      </x:c>
      <x:c r="E314" s="12" t="str">
        <x:v>SETUJU_USULAN</x:v>
      </x:c>
      <x:c r="F314" s="12" t="str"/>
      <x:c r="G314" s="12" t="str">
        <x:v>Narasi menyatakan kejadian kebakaran yang terjadi atau telah terjadi. Label mengikuti isi kejadian, termasuk penanganan dan dampak yang disebut. R1,R4.</x:v>
      </x:c>
      <x:c r="H314" s="4" t="str">
        <x:f>IF(E314="SETUJU_USULAN",D314,IF(E314="KOREKSI",F314,""))</x:f>
        <x:v>FIRE</x:v>
      </x:c>
      <x:c r="I314" s="4" t="str">
        <x:f>IF(E314="","BELUM_DIREVIEW",IF(E314="TUNDA","DITUNDA",IF(TRIM(Panduan!$B$5)="","ISI_REVIEWER",IF(AND(E314&lt;&gt;"SETUJU_USULAN",E314&lt;&gt;"KOREKSI"),"CEK_KEPUTUSAN",IF(AND(E314="SETUJU_USULAN",F314&lt;&gt;""),"HAPUS_KOREKSI",IF(H314="","ISI_KOREKSI",IF(NOT(OR(H314="FLOOD",H314="EARTHQUAKE",H314="FIRE",H314="ACCIDENT",H314="NON_EVENT")),"CEK_LABEL",IF(AND(E314="KOREKSI",TRIM(G314)=""),"ISI_CATATAN","REVIEW_TERCATAT"))))))))</x:f>
        <x:v>REVIEW_TERCATAT</x:v>
      </x:c>
      <x:c r="J314" s="4" t="str">
        <x:v>Label dataset dan prediksi baseline sama; makna MVP belum direview. Kesepakatan keduanya belum membuktikan label final.</x:v>
      </x:c>
      <x:c r="K314" s="4" t="str">
        <x:v>FIRE</x:v>
      </x:c>
      <x:c r="L314" s="14" t="n">
        <x:v>0.9870309233665466</x:v>
      </x:c>
    </x:row>
    <x:row r="315" ht="66" customHeight="1">
      <x:c r="A315" s="4" t="str">
        <x:v>BAN-01264</x:v>
      </x:c>
      <x:c r="B315" s="4" t="str">
        <x:v>paling gila dan seru dan paling berkesan pas sampai memang walaupun bopung sukanya main serodotan di koridor kelas habis ujan hujan2an pas banjir sampai kecebur got lempar sepatu teman sampai nyangkut di ring basket ah semuanya pokoknya kangen</x:v>
      </x:c>
      <x:c r="C315" s="4" t="str">
        <x:v>NON_EVENT</x:v>
      </x:c>
      <x:c r="D315" s="4" t="str">
        <x:v>NON_EVENT</x:v>
      </x:c>
      <x:c r="E315" s="12" t="str">
        <x:v>KOREKSI</x:v>
      </x:c>
      <x:c r="F315" s="12" t="str">
        <x:v>FLOOD</x:v>
      </x:c>
      <x:c r="G315" s="12" t="str">
        <x:v>Kenangan sekolah menyatakan pernah bermain saat banjir hingga tercebur got. Ketiadaan lokasi dan waktu rinci tidak meniadakan pengalaman kejadian literal. R1,R4,R6.</x:v>
      </x:c>
      <x:c r="H315" s="4" t="str">
        <x:f>IF(E315="SETUJU_USULAN",D315,IF(E315="KOREKSI",F315,""))</x:f>
        <x:v>FLOOD</x:v>
      </x:c>
      <x:c r="I315" s="4" t="str">
        <x:f>IF(E315="","BELUM_DIREVIEW",IF(E315="TUNDA","DITUNDA",IF(TRIM(Panduan!$B$5)="","ISI_REVIEWER",IF(AND(E315&lt;&gt;"SETUJU_USULAN",E315&lt;&gt;"KOREKSI"),"CEK_KEPUTUSAN",IF(AND(E315="SETUJU_USULAN",F315&lt;&gt;""),"HAPUS_KOREKSI",IF(H315="","ISI_KOREKSI",IF(NOT(OR(H315="FLOOD",H315="EARTHQUAKE",H315="FIRE",H315="ACCIDENT",H315="NON_EVENT")),"CEK_LABEL",IF(AND(E315="KOREKSI",TRIM(G315)=""),"ISI_CATATAN","REVIEW_TERCATAT"))))))))</x:f>
        <x:v>REVIEW_TERCATAT</x:v>
      </x:c>
      <x:c r="J315" s="4" t="str">
        <x:v>Label dataset dan prediksi baseline sama; makna MVP belum direview. Kesepakatan keduanya belum membuktikan label final.</x:v>
      </x:c>
      <x:c r="K315" s="4" t="str">
        <x:v>NON_EVENT</x:v>
      </x:c>
      <x:c r="L315" s="14" t="n">
        <x:v>0.9870607852935791</x:v>
      </x:c>
    </x:row>
    <x:row r="316" ht="64" customHeight="1">
      <x:c r="A316" s="4" t="str">
        <x:v>KEB-00406</x:v>
      </x:c>
      <x:c r="B316" s="4" t="str">
        <x:v>solidaritas mahasiswa abdya salurkan bantuan kepada korban kebakaran di desa krueng pantoe - analisa aceh</x:v>
      </x:c>
      <x:c r="C316" s="4" t="str">
        <x:v>NON_EVENT</x:v>
      </x:c>
      <x:c r="D316" s="4" t="str">
        <x:v>NON_EVENT</x:v>
      </x:c>
      <x:c r="E316" s="12" t="str">
        <x:v>KOREKSI</x:v>
      </x:c>
      <x:c r="F316" s="12" t="str">
        <x:v>FIRE</x:v>
      </x:c>
      <x:c r="G316" s="12" t="str">
        <x:v>Penyaluran bantuan mahasiswa merujuk korban kebakaran Desa Krueng Pantoe. R1,R5.</x:v>
      </x:c>
      <x:c r="H316" s="4" t="str">
        <x:f>IF(E316="SETUJU_USULAN",D316,IF(E316="KOREKSI",F316,""))</x:f>
        <x:v>FIRE</x:v>
      </x:c>
      <x:c r="I316" s="4" t="str">
        <x:f>IF(E316="","BELUM_DIREVIEW",IF(E316="TUNDA","DITUNDA",IF(TRIM(Panduan!$B$5)="","ISI_REVIEWER",IF(AND(E316&lt;&gt;"SETUJU_USULAN",E316&lt;&gt;"KOREKSI"),"CEK_KEPUTUSAN",IF(AND(E316="SETUJU_USULAN",F316&lt;&gt;""),"HAPUS_KOREKSI",IF(H316="","ISI_KOREKSI",IF(NOT(OR(H316="FLOOD",H316="EARTHQUAKE",H316="FIRE",H316="ACCIDENT",H316="NON_EVENT")),"CEK_LABEL",IF(AND(E316="KOREKSI",TRIM(G316)=""),"ISI_CATATAN","REVIEW_TERCATAT"))))))))</x:f>
        <x:v>REVIEW_TERCATAT</x:v>
      </x:c>
      <x:c r="J316" s="4" t="str">
        <x:v>Label dataset dan prediksi baseline sama; makna MVP belum direview. Kesepakatan keduanya belum membuktikan label final.</x:v>
      </x:c>
      <x:c r="K316" s="4" t="str">
        <x:v>NON_EVENT</x:v>
      </x:c>
      <x:c r="L316" s="14" t="n">
        <x:v>0.9870878458023071</x:v>
      </x:c>
    </x:row>
    <x:row r="317" ht="66" customHeight="1">
      <x:c r="A317" s="4" t="str">
        <x:v>GEM-01229</x:v>
      </x:c>
      <x:c r="B317" s="4" t="str">
        <x:v>negeri kita sedang dirundung duka setelah gempa bumi bertubi-tubi kemarin pesawat lion air juta 610 hilang dan ditemukan jatuh di perairan kerawang pesawat boing 737 mengalami kegagalan terbang ingat bukan karena dosa manusia tetapi hidup dan mati ada di tangan tuhan</x:v>
      </x:c>
      <x:c r="C317" s="4" t="str">
        <x:v>NON_EVENT</x:v>
      </x:c>
      <x:c r="D317" s="4" t="str">
        <x:v>NON_EVENT</x:v>
      </x:c>
      <x:c r="E317" s="12" t="str">
        <x:v>KOREKSI</x:v>
      </x:c>
      <x:c r="F317" s="12" t="str">
        <x:v>ACCIDENT</x:v>
      </x:c>
      <x:c r="G317" s="12" t="str">
        <x:v>Narasi secara spesifik menyatakan pesawat Lion Air JT610 hilang lalu ditemukan jatuh di perairan Kerawang. Gempa menjadi konteks umum sebelumnya; kecelakaan pesawat menjadi kejadian utama yang diuraikan. R1,R4.</x:v>
      </x:c>
      <x:c r="H317" s="4" t="str">
        <x:f>IF(E317="SETUJU_USULAN",D317,IF(E317="KOREKSI",F317,""))</x:f>
        <x:v>ACCIDENT</x:v>
      </x:c>
      <x:c r="I317" s="4" t="str">
        <x:f>IF(E317="","BELUM_DIREVIEW",IF(E317="TUNDA","DITUNDA",IF(TRIM(Panduan!$B$5)="","ISI_REVIEWER",IF(AND(E317&lt;&gt;"SETUJU_USULAN",E317&lt;&gt;"KOREKSI"),"CEK_KEPUTUSAN",IF(AND(E317="SETUJU_USULAN",F317&lt;&gt;""),"HAPUS_KOREKSI",IF(H317="","ISI_KOREKSI",IF(NOT(OR(H317="FLOOD",H317="EARTHQUAKE",H317="FIRE",H317="ACCIDENT",H317="NON_EVENT")),"CEK_LABEL",IF(AND(E317="KOREKSI",TRIM(G317)=""),"ISI_CATATAN","REVIEW_TERCATAT"))))))))</x:f>
        <x:v>REVIEW_TERCATAT</x:v>
      </x:c>
      <x:c r="J317" s="4" t="str">
        <x:v>Label dataset dan prediksi baseline sama; makna MVP belum direview. Kesepakatan keduanya belum membuktikan label final.</x:v>
      </x:c>
      <x:c r="K317" s="4" t="str">
        <x:v>NON_EVENT</x:v>
      </x:c>
      <x:c r="L317" s="14" t="n">
        <x:v>0.9870983958244324</x:v>
      </x:c>
    </x:row>
    <x:row r="318" ht="64" customHeight="1">
      <x:c r="A318" s="4" t="str">
        <x:v>KEB-00774</x:v>
      </x:c>
      <x:c r="B318" s="4" t="str">
        <x:v>5 unit damkar diterjunkan untuk memadamkan kantor kejaksaan agung yang terbakar terjadi kebakaran di kantor kejaksaan agung , jalan sultan hasanudin dalam , kebayoran baru , jakarta selatan .</x:v>
      </x:c>
      <x:c r="C318" s="4" t="str">
        <x:v>FIRE</x:v>
      </x:c>
      <x:c r="D318" s="4" t="str">
        <x:v>FIRE</x:v>
      </x:c>
      <x:c r="E318" s="12" t="str">
        <x:v>SETUJU_USULAN</x:v>
      </x:c>
      <x:c r="F318" s="12" t="str"/>
      <x:c r="G318" s="12" t="str">
        <x:v>Narasi menyatakan kejadian kebakaran yang terjadi atau telah terjadi. Label mengikuti isi kejadian, termasuk penanganan dan dampak yang disebut. R1,R4.</x:v>
      </x:c>
      <x:c r="H318" s="4" t="str">
        <x:f>IF(E318="SETUJU_USULAN",D318,IF(E318="KOREKSI",F318,""))</x:f>
        <x:v>FIRE</x:v>
      </x:c>
      <x:c r="I318" s="4" t="str">
        <x:f>IF(E318="","BELUM_DIREVIEW",IF(E318="TUNDA","DITUNDA",IF(TRIM(Panduan!$B$5)="","ISI_REVIEWER",IF(AND(E318&lt;&gt;"SETUJU_USULAN",E318&lt;&gt;"KOREKSI"),"CEK_KEPUTUSAN",IF(AND(E318="SETUJU_USULAN",F318&lt;&gt;""),"HAPUS_KOREKSI",IF(H318="","ISI_KOREKSI",IF(NOT(OR(H318="FLOOD",H318="EARTHQUAKE",H318="FIRE",H318="ACCIDENT",H318="NON_EVENT")),"CEK_LABEL",IF(AND(E318="KOREKSI",TRIM(G318)=""),"ISI_CATATAN","REVIEW_TERCATAT"))))))))</x:f>
        <x:v>REVIEW_TERCATAT</x:v>
      </x:c>
      <x:c r="J318" s="4" t="str">
        <x:v>Label dataset dan prediksi baseline sama; makna MVP belum direview. Kesepakatan keduanya belum membuktikan label final.</x:v>
      </x:c>
      <x:c r="K318" s="4" t="str">
        <x:v>FIRE</x:v>
      </x:c>
      <x:c r="L318" s="14" t="n">
        <x:v>0.9871292114257812</x:v>
      </x:c>
    </x:row>
    <x:row r="319" ht="64" customHeight="1">
      <x:c r="A319" s="4" t="str">
        <x:v>BAN-01473</x:v>
      </x:c>
      <x:c r="B319" s="4" t="str">
        <x:v>yang jelas yang hoax bukan pemilih prabowo sandi karena komennya menyerang anies|ramai foto banjir rendam motor disebut di jakarta faktanya di vietnam</x:v>
      </x:c>
      <x:c r="C319" s="4" t="str">
        <x:v>NON_EVENT</x:v>
      </x:c>
      <x:c r="D319" s="4" t="str">
        <x:v>NON_EVENT</x:v>
      </x:c>
      <x:c r="E319" s="12" t="str">
        <x:v>KOREKSI</x:v>
      </x:c>
      <x:c r="F319" s="12" t="str">
        <x:v>FLOOD</x:v>
      </x:c>
      <x:c r="G319" s="12" t="str">
        <x:v>Koreksi hoaks mengubah lokasi banjir perendam motor dari Jakarta menjadi Vietnam. Yang disangkal ialah lokasi semula, bukan keberadaan banjir dalam klaim teks. R1,R2,R4,R5.</x:v>
      </x:c>
      <x:c r="H319" s="4" t="str">
        <x:f>IF(E319="SETUJU_USULAN",D319,IF(E319="KOREKSI",F319,""))</x:f>
        <x:v>FLOOD</x:v>
      </x:c>
      <x:c r="I319" s="4" t="str">
        <x:f>IF(E319="","BELUM_DIREVIEW",IF(E319="TUNDA","DITUNDA",IF(TRIM(Panduan!$B$5)="","ISI_REVIEWER",IF(AND(E319&lt;&gt;"SETUJU_USULAN",E319&lt;&gt;"KOREKSI"),"CEK_KEPUTUSAN",IF(AND(E319="SETUJU_USULAN",F319&lt;&gt;""),"HAPUS_KOREKSI",IF(H319="","ISI_KOREKSI",IF(NOT(OR(H319="FLOOD",H319="EARTHQUAKE",H319="FIRE",H319="ACCIDENT",H319="NON_EVENT")),"CEK_LABEL",IF(AND(E319="KOREKSI",TRIM(G319)=""),"ISI_CATATAN","REVIEW_TERCATAT"))))))))</x:f>
        <x:v>REVIEW_TERCATAT</x:v>
      </x:c>
      <x:c r="J319" s="4" t="str">
        <x:v>Label dataset dan prediksi baseline sama; makna MVP belum direview. Kesepakatan keduanya belum membuktikan label final.</x:v>
      </x:c>
      <x:c r="K319" s="4" t="str">
        <x:v>NON_EVENT</x:v>
      </x:c>
      <x:c r="L319" s="14" t="n">
        <x:v>0.9871760010719299</x:v>
      </x:c>
    </x:row>
    <x:row r="320" ht="66" customHeight="1">
      <x:c r="A320" s="4" t="str">
        <x:v>KEB-00744</x:v>
      </x:c>
      <x:c r="B320" s="4" t="str">
        <x:v>gudang obat batik di jalan pramuka pabean , padukuhan kraton , terbakar pada senin ( 17/08/2020 ) sekitar pukul 0 wib . penyebab terjadi nya kebakaran belum di ketahui , dugaan sementara berasal dari korsleting listrik . beruntung api berhasil di padamkan . via</x:v>
      </x:c>
      <x:c r="C320" s="4" t="str">
        <x:v>FIRE</x:v>
      </x:c>
      <x:c r="D320" s="4" t="str">
        <x:v>FIRE</x:v>
      </x:c>
      <x:c r="E320" s="12" t="str">
        <x:v>SETUJU_USULAN</x:v>
      </x:c>
      <x:c r="F320" s="12" t="str"/>
      <x:c r="G320" s="12" t="str">
        <x:v>Narasi menyatakan kejadian kebakaran yang terjadi atau telah terjadi. Label mengikuti isi kejadian, termasuk penanganan dan dampak yang disebut. R1,R4.</x:v>
      </x:c>
      <x:c r="H320" s="4" t="str">
        <x:f>IF(E320="SETUJU_USULAN",D320,IF(E320="KOREKSI",F320,""))</x:f>
        <x:v>FIRE</x:v>
      </x:c>
      <x:c r="I320" s="4" t="str">
        <x:f>IF(E320="","BELUM_DIREVIEW",IF(E320="TUNDA","DITUNDA",IF(TRIM(Panduan!$B$5)="","ISI_REVIEWER",IF(AND(E320&lt;&gt;"SETUJU_USULAN",E320&lt;&gt;"KOREKSI"),"CEK_KEPUTUSAN",IF(AND(E320="SETUJU_USULAN",F320&lt;&gt;""),"HAPUS_KOREKSI",IF(H320="","ISI_KOREKSI",IF(NOT(OR(H320="FLOOD",H320="EARTHQUAKE",H320="FIRE",H320="ACCIDENT",H320="NON_EVENT")),"CEK_LABEL",IF(AND(E320="KOREKSI",TRIM(G320)=""),"ISI_CATATAN","REVIEW_TERCATAT"))))))))</x:f>
        <x:v>REVIEW_TERCATAT</x:v>
      </x:c>
      <x:c r="J320" s="4" t="str">
        <x:v>Label dataset dan prediksi baseline sama; makna MVP belum direview. Kesepakatan keduanya belum membuktikan label final.</x:v>
      </x:c>
      <x:c r="K320" s="4" t="str">
        <x:v>FIRE</x:v>
      </x:c>
      <x:c r="L320" s="14" t="n">
        <x:v>0.9872261881828308</x:v>
      </x:c>
    </x:row>
    <x:row r="321" ht="64" customHeight="1">
      <x:c r="A321" s="4" t="str">
        <x:v>BAN-01272</x:v>
      </x:c>
      <x:c r="B321" s="4" t="str">
        <x:v>nih cuangki soto rasa baru juga soto jamur juga rasa baru yang suka pedas mencoba seblak banjir 20rb/cup yuk order di aku</x:v>
      </x:c>
      <x:c r="C321" s="4" t="str">
        <x:v>NON_EVENT</x:v>
      </x:c>
      <x:c r="D321" s="4" t="str">
        <x:v>NON_EVENT</x:v>
      </x:c>
      <x:c r="E321" s="12" t="str">
        <x:v>SETUJU_USULAN</x:v>
      </x:c>
      <x:c r="F321" s="12" t="str"/>
      <x:c r="G321" s="12" t="str">
        <x:v>Seblak banjir adalah sebutan produk makanan. R3.</x:v>
      </x:c>
      <x:c r="H321" s="4" t="str">
        <x:f>IF(E321="SETUJU_USULAN",D321,IF(E321="KOREKSI",F321,""))</x:f>
        <x:v>NON_EVENT</x:v>
      </x:c>
      <x:c r="I321" s="4" t="str">
        <x:f>IF(E321="","BELUM_DIREVIEW",IF(E321="TUNDA","DITUNDA",IF(TRIM(Panduan!$B$5)="","ISI_REVIEWER",IF(AND(E321&lt;&gt;"SETUJU_USULAN",E321&lt;&gt;"KOREKSI"),"CEK_KEPUTUSAN",IF(AND(E321="SETUJU_USULAN",F321&lt;&gt;""),"HAPUS_KOREKSI",IF(H321="","ISI_KOREKSI",IF(NOT(OR(H321="FLOOD",H321="EARTHQUAKE",H321="FIRE",H321="ACCIDENT",H321="NON_EVENT")),"CEK_LABEL",IF(AND(E321="KOREKSI",TRIM(G321)=""),"ISI_CATATAN","REVIEW_TERCATAT"))))))))</x:f>
        <x:v>REVIEW_TERCATAT</x:v>
      </x:c>
      <x:c r="J321" s="4" t="str">
        <x:v>Label dataset dan prediksi baseline sama; makna MVP belum direview. Kesepakatan keduanya belum membuktikan label final.</x:v>
      </x:c>
      <x:c r="K321" s="4" t="str">
        <x:v>NON_EVENT</x:v>
      </x:c>
      <x:c r="L321" s="14" t="n">
        <x:v>0.9872602224349976</x:v>
      </x:c>
    </x:row>
    <x:row r="322" ht="64" customHeight="1">
      <x:c r="A322" s="4" t="str">
        <x:v>BAN-01815</x:v>
      </x:c>
      <x:c r="B322" s="4" t="str">
        <x:v>persiapkan momen saat idul fitri dengan promo fujifilm bedug ramadan ! nikmati diskon dan banjir bonusnya hanya disini lebih mudah tanya-tanya dan belanja melalui chat whatsapp di nomor 0811-11-3466 happy shopping all</x:v>
      </x:c>
      <x:c r="C322" s="4" t="str">
        <x:v>NON_EVENT</x:v>
      </x:c>
      <x:c r="D322" s="4" t="str">
        <x:v>NON_EVENT</x:v>
      </x:c>
      <x:c r="E322" s="12" t="str">
        <x:v>SETUJU_USULAN</x:v>
      </x:c>
      <x:c r="F322" s="12" t="str"/>
      <x:c r="G322" s="12" t="str">
        <x:v>Banjir bonus adalah ungkapan promosi belanja. R3.</x:v>
      </x:c>
      <x:c r="H322" s="4" t="str">
        <x:f>IF(E322="SETUJU_USULAN",D322,IF(E322="KOREKSI",F322,""))</x:f>
        <x:v>NON_EVENT</x:v>
      </x:c>
      <x:c r="I322" s="4" t="str">
        <x:f>IF(E322="","BELUM_DIREVIEW",IF(E322="TUNDA","DITUNDA",IF(TRIM(Panduan!$B$5)="","ISI_REVIEWER",IF(AND(E322&lt;&gt;"SETUJU_USULAN",E322&lt;&gt;"KOREKSI"),"CEK_KEPUTUSAN",IF(AND(E322="SETUJU_USULAN",F322&lt;&gt;""),"HAPUS_KOREKSI",IF(H322="","ISI_KOREKSI",IF(NOT(OR(H322="FLOOD",H322="EARTHQUAKE",H322="FIRE",H322="ACCIDENT",H322="NON_EVENT")),"CEK_LABEL",IF(AND(E322="KOREKSI",TRIM(G322)=""),"ISI_CATATAN","REVIEW_TERCATAT"))))))))</x:f>
        <x:v>REVIEW_TERCATAT</x:v>
      </x:c>
      <x:c r="J322" s="4" t="str">
        <x:v>Label dataset dan prediksi baseline sama; makna MVP belum direview. Kesepakatan keduanya belum membuktikan label final.</x:v>
      </x:c>
      <x:c r="K322" s="4" t="str">
        <x:v>NON_EVENT</x:v>
      </x:c>
      <x:c r="L322" s="14" t="n">
        <x:v>0.9873069524765015</x:v>
      </x:c>
    </x:row>
    <x:row r="323" ht="64" customHeight="1">
      <x:c r="A323" s="4" t="str">
        <x:v>BAN-01872</x:v>
      </x:c>
      <x:c r="B323" s="4" t="str">
        <x:v>subhanallah fpi memang terbukti radikal dalam membantu dan menolong korban yang terkena musibah banjir ormas di seberang sana yang hobbinya membubarkan pengajian itu tentu tidak akan pernah muncul di area banjir seperti ini -</x:v>
      </x:c>
      <x:c r="C323" s="4" t="str">
        <x:v>NON_EVENT</x:v>
      </x:c>
      <x:c r="D323" s="4" t="str">
        <x:v>NON_EVENT</x:v>
      </x:c>
      <x:c r="E323" s="12" t="str">
        <x:v>KOREKSI</x:v>
      </x:c>
      <x:c r="F323" s="12" t="str">
        <x:v>FLOOD</x:v>
      </x:c>
      <x:c r="G323" s="12" t="str">
        <x:v>Perdebatan organisasi menyebut tindakan membantu korban musibah banjir dan area banjir tertentu. Tidak ada penyangkalan kejadian. R1,R4,R5.</x:v>
      </x:c>
      <x:c r="H323" s="4" t="str">
        <x:f>IF(E323="SETUJU_USULAN",D323,IF(E323="KOREKSI",F323,""))</x:f>
        <x:v>FLOOD</x:v>
      </x:c>
      <x:c r="I323" s="4" t="str">
        <x:f>IF(E323="","BELUM_DIREVIEW",IF(E323="TUNDA","DITUNDA",IF(TRIM(Panduan!$B$5)="","ISI_REVIEWER",IF(AND(E323&lt;&gt;"SETUJU_USULAN",E323&lt;&gt;"KOREKSI"),"CEK_KEPUTUSAN",IF(AND(E323="SETUJU_USULAN",F323&lt;&gt;""),"HAPUS_KOREKSI",IF(H323="","ISI_KOREKSI",IF(NOT(OR(H323="FLOOD",H323="EARTHQUAKE",H323="FIRE",H323="ACCIDENT",H323="NON_EVENT")),"CEK_LABEL",IF(AND(E323="KOREKSI",TRIM(G323)=""),"ISI_CATATAN","REVIEW_TERCATAT"))))))))</x:f>
        <x:v>REVIEW_TERCATAT</x:v>
      </x:c>
      <x:c r="J323" s="4" t="str">
        <x:v>Label dataset dan prediksi baseline sama; makna MVP belum direview. Kesepakatan keduanya belum membuktikan label final.</x:v>
      </x:c>
      <x:c r="K323" s="4" t="str">
        <x:v>NON_EVENT</x:v>
      </x:c>
      <x:c r="L323" s="14" t="n">
        <x:v>0.9873453974723816</x:v>
      </x:c>
    </x:row>
    <x:row r="324" ht="64" customHeight="1">
      <x:c r="A324" s="4" t="str">
        <x:v>BAN-01757</x:v>
      </x:c>
      <x:c r="B324" s="4" t="str">
        <x:v>gerakan akal sehat yang membantu masyarakat dalam pelayanan kesehatan pasca banjir di jakarta bukti cinta terhadap nkri bergerak membantu sesama bersama</x:v>
      </x:c>
      <x:c r="C324" s="4" t="str">
        <x:v>NON_EVENT</x:v>
      </x:c>
      <x:c r="D324" s="4" t="str">
        <x:v>NON_EVENT</x:v>
      </x:c>
      <x:c r="E324" s="12" t="str">
        <x:v>KOREKSI</x:v>
      </x:c>
      <x:c r="F324" s="12" t="str">
        <x:v>FLOOD</x:v>
      </x:c>
      <x:c r="G324" s="12" t="str">
        <x:v>Pelayanan kesehatan disebut dilakukan pascabanjir di Jakarta. Aktivitas bantuan merujuk kejadian yang telah terjadi. R1,R5.</x:v>
      </x:c>
      <x:c r="H324" s="4" t="str">
        <x:f>IF(E324="SETUJU_USULAN",D324,IF(E324="KOREKSI",F324,""))</x:f>
        <x:v>FLOOD</x:v>
      </x:c>
      <x:c r="I324" s="4" t="str">
        <x:f>IF(E324="","BELUM_DIREVIEW",IF(E324="TUNDA","DITUNDA",IF(TRIM(Panduan!$B$5)="","ISI_REVIEWER",IF(AND(E324&lt;&gt;"SETUJU_USULAN",E324&lt;&gt;"KOREKSI"),"CEK_KEPUTUSAN",IF(AND(E324="SETUJU_USULAN",F324&lt;&gt;""),"HAPUS_KOREKSI",IF(H324="","ISI_KOREKSI",IF(NOT(OR(H324="FLOOD",H324="EARTHQUAKE",H324="FIRE",H324="ACCIDENT",H324="NON_EVENT")),"CEK_LABEL",IF(AND(E324="KOREKSI",TRIM(G324)=""),"ISI_CATATAN","REVIEW_TERCATAT"))))))))</x:f>
        <x:v>REVIEW_TERCATAT</x:v>
      </x:c>
      <x:c r="J324" s="4" t="str">
        <x:v>Label dataset dan prediksi baseline sama; makna MVP belum direview. Kesepakatan keduanya belum membuktikan label final.</x:v>
      </x:c>
      <x:c r="K324" s="4" t="str">
        <x:v>NON_EVENT</x:v>
      </x:c>
      <x:c r="L324" s="14" t="n">
        <x:v>0.9873980283737183</x:v>
      </x:c>
    </x:row>
    <x:row r="325" ht="64" customHeight="1">
      <x:c r="A325" s="4" t="str">
        <x:v>GEM-01295</x:v>
      </x:c>
      <x:c r="B325" s="4" t="str">
        <x:v>fao membantu petani dan nelayan indonesia bangkit setelah gempa bumi dan tsunami di sulawesi tengah lebih dari 70000 orang akan kembali memproduksi makanan untuk jangka panjang selengkapnya di :</x:v>
      </x:c>
      <x:c r="C325" s="4" t="str">
        <x:v>NON_EVENT</x:v>
      </x:c>
      <x:c r="D325" s="4" t="str">
        <x:v>NON_EVENT</x:v>
      </x:c>
      <x:c r="E325" s="12" t="str">
        <x:v>KOREKSI</x:v>
      </x:c>
      <x:c r="F325" s="12" t="str">
        <x:v>EARTHQUAKE</x:v>
      </x:c>
      <x:c r="G325" s="12" t="str">
        <x:v>Bantuan FAO kepada petani dan nelayan disebut dilakukan setelah gempa dan tsunami Sulawesi Tengah. R1,R5.</x:v>
      </x:c>
      <x:c r="H325" s="4" t="str">
        <x:f>IF(E325="SETUJU_USULAN",D325,IF(E325="KOREKSI",F325,""))</x:f>
        <x:v>EARTHQUAKE</x:v>
      </x:c>
      <x:c r="I325" s="4" t="str">
        <x:f>IF(E325="","BELUM_DIREVIEW",IF(E325="TUNDA","DITUNDA",IF(TRIM(Panduan!$B$5)="","ISI_REVIEWER",IF(AND(E325&lt;&gt;"SETUJU_USULAN",E325&lt;&gt;"KOREKSI"),"CEK_KEPUTUSAN",IF(AND(E325="SETUJU_USULAN",F325&lt;&gt;""),"HAPUS_KOREKSI",IF(H325="","ISI_KOREKSI",IF(NOT(OR(H325="FLOOD",H325="EARTHQUAKE",H325="FIRE",H325="ACCIDENT",H325="NON_EVENT")),"CEK_LABEL",IF(AND(E325="KOREKSI",TRIM(G325)=""),"ISI_CATATAN","REVIEW_TERCATAT"))))))))</x:f>
        <x:v>REVIEW_TERCATAT</x:v>
      </x:c>
      <x:c r="J325" s="4" t="str">
        <x:v>Label dataset dan prediksi baseline sama; makna MVP belum direview. Kesepakatan keduanya belum membuktikan label final.</x:v>
      </x:c>
      <x:c r="K325" s="4" t="str">
        <x:v>NON_EVENT</x:v>
      </x:c>
      <x:c r="L325" s="14" t="n">
        <x:v>0.9874459505081177</x:v>
      </x:c>
    </x:row>
    <x:row r="326" ht="64" customHeight="1">
      <x:c r="A326" s="4" t="str">
        <x:v>GEM-01128</x:v>
      </x:c>
      <x:c r="B326" s="4" t="str">
        <x:v>membantu masyarakat yang persiapan membuat tenda disekitar rumahnya masyarakat sudah jenuh tinggal dipengungsian mereka ingin kembali dan tinggal dekat dirumahnya yang rusak akibat gempa bumi di sigi</x:v>
      </x:c>
      <x:c r="C326" s="4" t="str">
        <x:v>NON_EVENT</x:v>
      </x:c>
      <x:c r="D326" s="4" t="str">
        <x:v>NON_EVENT</x:v>
      </x:c>
      <x:c r="E326" s="12" t="str">
        <x:v>KOREKSI</x:v>
      </x:c>
      <x:c r="F326" s="12" t="str">
        <x:v>EARTHQUAKE</x:v>
      </x:c>
      <x:c r="G326" s="12" t="str">
        <x:v>Rumah masyarakat di Sigi dinyatakan rusak akibat gempa dan mereka tinggal di pengungsian. R1,R5.</x:v>
      </x:c>
      <x:c r="H326" s="4" t="str">
        <x:f>IF(E326="SETUJU_USULAN",D326,IF(E326="KOREKSI",F326,""))</x:f>
        <x:v>EARTHQUAKE</x:v>
      </x:c>
      <x:c r="I326" s="4" t="str">
        <x:f>IF(E326="","BELUM_DIREVIEW",IF(E326="TUNDA","DITUNDA",IF(TRIM(Panduan!$B$5)="","ISI_REVIEWER",IF(AND(E326&lt;&gt;"SETUJU_USULAN",E326&lt;&gt;"KOREKSI"),"CEK_KEPUTUSAN",IF(AND(E326="SETUJU_USULAN",F326&lt;&gt;""),"HAPUS_KOREKSI",IF(H326="","ISI_KOREKSI",IF(NOT(OR(H326="FLOOD",H326="EARTHQUAKE",H326="FIRE",H326="ACCIDENT",H326="NON_EVENT")),"CEK_LABEL",IF(AND(E326="KOREKSI",TRIM(G326)=""),"ISI_CATATAN","REVIEW_TERCATAT"))))))))</x:f>
        <x:v>REVIEW_TERCATAT</x:v>
      </x:c>
      <x:c r="J326" s="4" t="str">
        <x:v>Label dataset dan prediksi baseline sama; makna MVP belum direview. Kesepakatan keduanya belum membuktikan label final.</x:v>
      </x:c>
      <x:c r="K326" s="4" t="str">
        <x:v>NON_EVENT</x:v>
      </x:c>
      <x:c r="L326" s="14" t="n">
        <x:v>0.987461268901825</x:v>
      </x:c>
    </x:row>
    <x:row r="327" ht="64" customHeight="1">
      <x:c r="A327" s="4" t="str">
        <x:v>KEC-01331</x:v>
      </x:c>
      <x:c r="B327" s="4" t="str">
        <x:v>masyazalloh n innalillahi mskin banyak musibah kecelakaan di lebaran moga3 penikmat mudik lebaran ini dilindungi allah n semua selamatbkembali ke tempat masing-masing amin</x:v>
      </x:c>
      <x:c r="C327" s="4" t="str">
        <x:v>NON_EVENT</x:v>
      </x:c>
      <x:c r="D327" s="4" t="str">
        <x:v>NON_EVENT</x:v>
      </x:c>
      <x:c r="E327" s="12" t="str">
        <x:v>SETUJU_USULAN</x:v>
      </x:c>
      <x:c r="F327" s="12" t="str"/>
      <x:c r="G327" s="12" t="str">
        <x:v>Doa mengenai banyaknya kecelakaan pada masa Lebaran merupakan pernyataan umum, tanpa kasus tertentu. R3.</x:v>
      </x:c>
      <x:c r="H327" s="4" t="str">
        <x:f>IF(E327="SETUJU_USULAN",D327,IF(E327="KOREKSI",F327,""))</x:f>
        <x:v>NON_EVENT</x:v>
      </x:c>
      <x:c r="I327" s="4" t="str">
        <x:f>IF(E327="","BELUM_DIREVIEW",IF(E327="TUNDA","DITUNDA",IF(TRIM(Panduan!$B$5)="","ISI_REVIEWER",IF(AND(E327&lt;&gt;"SETUJU_USULAN",E327&lt;&gt;"KOREKSI"),"CEK_KEPUTUSAN",IF(AND(E327="SETUJU_USULAN",F327&lt;&gt;""),"HAPUS_KOREKSI",IF(H327="","ISI_KOREKSI",IF(NOT(OR(H327="FLOOD",H327="EARTHQUAKE",H327="FIRE",H327="ACCIDENT",H327="NON_EVENT")),"CEK_LABEL",IF(AND(E327="KOREKSI",TRIM(G327)=""),"ISI_CATATAN","REVIEW_TERCATAT"))))))))</x:f>
        <x:v>REVIEW_TERCATAT</x:v>
      </x:c>
      <x:c r="J327" s="4" t="str">
        <x:v>Label dataset dan prediksi baseline sama; makna MVP belum direview. Kesepakatan keduanya belum membuktikan label final.</x:v>
      </x:c>
      <x:c r="K327" s="4" t="str">
        <x:v>NON_EVENT</x:v>
      </x:c>
      <x:c r="L327" s="14" t="n">
        <x:v>0.987519383430481</x:v>
      </x:c>
    </x:row>
    <x:row r="328" ht="64" customHeight="1">
      <x:c r="A328" s="4" t="str">
        <x:v>GEM-01211</x:v>
      </x:c>
      <x:c r="B328" s="4" t="str">
        <x:v>menteri agama mengatakan bahwa kejadian gempa bumi di lombok ntb dan palu-donggala sulteng menjadi ujian yang berat bagi bangsa indonesia</x:v>
      </x:c>
      <x:c r="C328" s="4" t="str">
        <x:v>NON_EVENT</x:v>
      </x:c>
      <x:c r="D328" s="4" t="str">
        <x:v>NON_EVENT</x:v>
      </x:c>
      <x:c r="E328" s="12" t="str">
        <x:v>KOREKSI</x:v>
      </x:c>
      <x:c r="F328" s="12" t="str">
        <x:v>EARTHQUAKE</x:v>
      </x:c>
      <x:c r="G328" s="12" t="str">
        <x:v>Pernyataan menteri merujuk kejadian gempa di Lombok dan Palu-Donggala. Makna ujian bagi bangsa tidak menghapus klaim kejadian. R1,R5.</x:v>
      </x:c>
      <x:c r="H328" s="4" t="str">
        <x:f>IF(E328="SETUJU_USULAN",D328,IF(E328="KOREKSI",F328,""))</x:f>
        <x:v>EARTHQUAKE</x:v>
      </x:c>
      <x:c r="I328" s="4" t="str">
        <x:f>IF(E328="","BELUM_DIREVIEW",IF(E328="TUNDA","DITUNDA",IF(TRIM(Panduan!$B$5)="","ISI_REVIEWER",IF(AND(E328&lt;&gt;"SETUJU_USULAN",E328&lt;&gt;"KOREKSI"),"CEK_KEPUTUSAN",IF(AND(E328="SETUJU_USULAN",F328&lt;&gt;""),"HAPUS_KOREKSI",IF(H328="","ISI_KOREKSI",IF(NOT(OR(H328="FLOOD",H328="EARTHQUAKE",H328="FIRE",H328="ACCIDENT",H328="NON_EVENT")),"CEK_LABEL",IF(AND(E328="KOREKSI",TRIM(G328)=""),"ISI_CATATAN","REVIEW_TERCATAT"))))))))</x:f>
        <x:v>REVIEW_TERCATAT</x:v>
      </x:c>
      <x:c r="J328" s="4" t="str">
        <x:v>Label dataset dan prediksi baseline sama; makna MVP belum direview. Kesepakatan keduanya belum membuktikan label final.</x:v>
      </x:c>
      <x:c r="K328" s="4" t="str">
        <x:v>NON_EVENT</x:v>
      </x:c>
      <x:c r="L328" s="14" t="n">
        <x:v>0.9875204563140869</x:v>
      </x:c>
    </x:row>
    <x:row r="329" ht="64" customHeight="1">
      <x:c r="A329" s="4" t="str">
        <x:v>GEM-01365</x:v>
      </x:c>
      <x:c r="B329" s="4" t="str">
        <x:v>pemerintah terus melakukan berbagai upaya dalam masa pemulihan kerusakan pascabencana gempa bumi yang disertai tsunami dan likuifaksi yang terjadi di sejumlah wilayah di sulawesi tengah</x:v>
      </x:c>
      <x:c r="C329" s="4" t="str">
        <x:v>NON_EVENT</x:v>
      </x:c>
      <x:c r="D329" s="4" t="str">
        <x:v>NON_EVENT</x:v>
      </x:c>
      <x:c r="E329" s="12" t="str">
        <x:v>KOREKSI</x:v>
      </x:c>
      <x:c r="F329" s="12" t="str">
        <x:v>EARTHQUAKE</x:v>
      </x:c>
      <x:c r="G329" s="12" t="str">
        <x:v>Pemulihan kerusakan secara eksplisit merujuk gempa yang terjadi di Sulawesi Tengah. R1,R5.</x:v>
      </x:c>
      <x:c r="H329" s="4" t="str">
        <x:f>IF(E329="SETUJU_USULAN",D329,IF(E329="KOREKSI",F329,""))</x:f>
        <x:v>EARTHQUAKE</x:v>
      </x:c>
      <x:c r="I329" s="4" t="str">
        <x:f>IF(E329="","BELUM_DIREVIEW",IF(E329="TUNDA","DITUNDA",IF(TRIM(Panduan!$B$5)="","ISI_REVIEWER",IF(AND(E329&lt;&gt;"SETUJU_USULAN",E329&lt;&gt;"KOREKSI"),"CEK_KEPUTUSAN",IF(AND(E329="SETUJU_USULAN",F329&lt;&gt;""),"HAPUS_KOREKSI",IF(H329="","ISI_KOREKSI",IF(NOT(OR(H329="FLOOD",H329="EARTHQUAKE",H329="FIRE",H329="ACCIDENT",H329="NON_EVENT")),"CEK_LABEL",IF(AND(E329="KOREKSI",TRIM(G329)=""),"ISI_CATATAN","REVIEW_TERCATAT"))))))))</x:f>
        <x:v>REVIEW_TERCATAT</x:v>
      </x:c>
      <x:c r="J329" s="4" t="str">
        <x:v>Label dataset dan prediksi baseline sama; makna MVP belum direview. Kesepakatan keduanya belum membuktikan label final.</x:v>
      </x:c>
      <x:c r="K329" s="4" t="str">
        <x:v>NON_EVENT</x:v>
      </x:c>
      <x:c r="L329" s="14" t="n">
        <x:v>0.9875232577323914</x:v>
      </x:c>
    </x:row>
    <x:row r="330" ht="66" customHeight="1">
      <x:c r="A330" s="4" t="str">
        <x:v>BAN-01695</x:v>
      </x:c>
      <x:c r="B330" s="4" t="str">
        <x:v>wawancara berhubung isu banjir kilat di taman mutiara gombak 2 semua langkah pencegahan telah diambil dan usaha pelaksanaannya telah dimulakan saya yakin dengan komitmen dan kerjasama utuh semua agensi kerajaan kita mampu menyelesaikan keresahan rakyat</x:v>
      </x:c>
      <x:c r="C330" s="4" t="str">
        <x:v>NON_EVENT</x:v>
      </x:c>
      <x:c r="D330" s="4" t="str">
        <x:v>NON_EVENT</x:v>
      </x:c>
      <x:c r="E330" s="12" t="str">
        <x:v>SETUJU_USULAN</x:v>
      </x:c>
      <x:c r="F330" s="12" t="str"/>
      <x:c r="G330" s="12" t="str">
        <x:v>Wawancara membahas isu banjir serta langkah pencegahan, tanpa menyatakan satu episode banjir telah terjadi. R3.</x:v>
      </x:c>
      <x:c r="H330" s="4" t="str">
        <x:f>IF(E330="SETUJU_USULAN",D330,IF(E330="KOREKSI",F330,""))</x:f>
        <x:v>NON_EVENT</x:v>
      </x:c>
      <x:c r="I330" s="4" t="str">
        <x:f>IF(E330="","BELUM_DIREVIEW",IF(E330="TUNDA","DITUNDA",IF(TRIM(Panduan!$B$5)="","ISI_REVIEWER",IF(AND(E330&lt;&gt;"SETUJU_USULAN",E330&lt;&gt;"KOREKSI"),"CEK_KEPUTUSAN",IF(AND(E330="SETUJU_USULAN",F330&lt;&gt;""),"HAPUS_KOREKSI",IF(H330="","ISI_KOREKSI",IF(NOT(OR(H330="FLOOD",H330="EARTHQUAKE",H330="FIRE",H330="ACCIDENT",H330="NON_EVENT")),"CEK_LABEL",IF(AND(E330="KOREKSI",TRIM(G330)=""),"ISI_CATATAN","REVIEW_TERCATAT"))))))))</x:f>
        <x:v>REVIEW_TERCATAT</x:v>
      </x:c>
      <x:c r="J330" s="4" t="str">
        <x:v>Label dataset dan prediksi baseline sama; makna MVP belum direview. Kesepakatan keduanya belum membuktikan label final.</x:v>
      </x:c>
      <x:c r="K330" s="4" t="str">
        <x:v>NON_EVENT</x:v>
      </x:c>
      <x:c r="L330" s="14" t="n">
        <x:v>0.9875355362892151</x:v>
      </x:c>
    </x:row>
    <x:row r="331" ht="64" customHeight="1">
      <x:c r="A331" s="4" t="str">
        <x:v>KEC-00351</x:v>
      </x:c>
      <x:c r="B331" s="4" t="str">
        <x:v>sehabis baca salah satu artikel mengenai kecelakaan di tanjakan emen itu semakin khawatir kalau bystander effect di masyarakat kita semakin tinggi ya gila saja orang kecelakaan begitu malah sibuk direkamin bukan dibantuin</x:v>
      </x:c>
      <x:c r="C331" s="4" t="str">
        <x:v>NON_EVENT</x:v>
      </x:c>
      <x:c r="D331" s="4" t="str">
        <x:v>NON_EVENT</x:v>
      </x:c>
      <x:c r="E331" s="12" t="str">
        <x:v>KOREKSI</x:v>
      </x:c>
      <x:c r="F331" s="12" t="str">
        <x:v>ACCIDENT</x:v>
      </x:c>
      <x:c r="G331" s="12" t="str">
        <x:v>Komentar tentang perilaku penonton merujuk artikel kecelakaan Tanjakan Emen. Kritik bystander effect tetap memuat kejadian konkret. R1,R5.</x:v>
      </x:c>
      <x:c r="H331" s="4" t="str">
        <x:f>IF(E331="SETUJU_USULAN",D331,IF(E331="KOREKSI",F331,""))</x:f>
        <x:v>ACCIDENT</x:v>
      </x:c>
      <x:c r="I331" s="4" t="str">
        <x:f>IF(E331="","BELUM_DIREVIEW",IF(E331="TUNDA","DITUNDA",IF(TRIM(Panduan!$B$5)="","ISI_REVIEWER",IF(AND(E331&lt;&gt;"SETUJU_USULAN",E331&lt;&gt;"KOREKSI"),"CEK_KEPUTUSAN",IF(AND(E331="SETUJU_USULAN",F331&lt;&gt;""),"HAPUS_KOREKSI",IF(H331="","ISI_KOREKSI",IF(NOT(OR(H331="FLOOD",H331="EARTHQUAKE",H331="FIRE",H331="ACCIDENT",H331="NON_EVENT")),"CEK_LABEL",IF(AND(E331="KOREKSI",TRIM(G331)=""),"ISI_CATATAN","REVIEW_TERCATAT"))))))))</x:f>
        <x:v>REVIEW_TERCATAT</x:v>
      </x:c>
      <x:c r="J331" s="4" t="str">
        <x:v>Label dataset dan prediksi baseline sama; makna MVP belum direview. Kesepakatan keduanya belum membuktikan label final.</x:v>
      </x:c>
      <x:c r="K331" s="4" t="str">
        <x:v>NON_EVENT</x:v>
      </x:c>
      <x:c r="L331" s="14" t="n">
        <x:v>0.9875455498695374</x:v>
      </x:c>
    </x:row>
    <x:row r="332" ht="64" customHeight="1">
      <x:c r="A332" s="4" t="str">
        <x:v>BAN-01950</x:v>
      </x:c>
      <x:c r="B332" s="4" t="str">
        <x:v>mencoba pakai sunscreen saja terus ke pasar lah kok banjir keringet begini apakah nantinya lemak di wajahku akan berkurang ?</x:v>
      </x:c>
      <x:c r="C332" s="4" t="str">
        <x:v>NON_EVENT</x:v>
      </x:c>
      <x:c r="D332" s="4" t="str">
        <x:v>NON_EVENT</x:v>
      </x:c>
      <x:c r="E332" s="12" t="str">
        <x:v>SETUJU_USULAN</x:v>
      </x:c>
      <x:c r="F332" s="12" t="str"/>
      <x:c r="G332" s="12" t="str">
        <x:v>Banjir keringat berarti banyak berkeringat. Tidak ada banjir air. R3.</x:v>
      </x:c>
      <x:c r="H332" s="4" t="str">
        <x:f>IF(E332="SETUJU_USULAN",D332,IF(E332="KOREKSI",F332,""))</x:f>
        <x:v>NON_EVENT</x:v>
      </x:c>
      <x:c r="I332" s="4" t="str">
        <x:f>IF(E332="","BELUM_DIREVIEW",IF(E332="TUNDA","DITUNDA",IF(TRIM(Panduan!$B$5)="","ISI_REVIEWER",IF(AND(E332&lt;&gt;"SETUJU_USULAN",E332&lt;&gt;"KOREKSI"),"CEK_KEPUTUSAN",IF(AND(E332="SETUJU_USULAN",F332&lt;&gt;""),"HAPUS_KOREKSI",IF(H332="","ISI_KOREKSI",IF(NOT(OR(H332="FLOOD",H332="EARTHQUAKE",H332="FIRE",H332="ACCIDENT",H332="NON_EVENT")),"CEK_LABEL",IF(AND(E332="KOREKSI",TRIM(G332)=""),"ISI_CATATAN","REVIEW_TERCATAT"))))))))</x:f>
        <x:v>REVIEW_TERCATAT</x:v>
      </x:c>
      <x:c r="J332" s="4" t="str">
        <x:v>Label dataset dan prediksi baseline sama; makna MVP belum direview. Kesepakatan keduanya belum membuktikan label final.</x:v>
      </x:c>
      <x:c r="K332" s="4" t="str">
        <x:v>NON_EVENT</x:v>
      </x:c>
      <x:c r="L332" s="14" t="n">
        <x:v>0.9875667095184326</x:v>
      </x:c>
    </x:row>
    <x:row r="333" ht="66" customHeight="1">
      <x:c r="A333" s="4" t="str">
        <x:v>BAN-01754</x:v>
      </x:c>
      <x:c r="B333" s="4" t="str">
        <x:v>habis menonton avenger dan ternyata 5 tahun setelah thanos menjetikkan jari universe nya masih lambat pembangunan dan masih banyak kota hancur banjir di cawang oke-oce bangkrut parkir liar meluas tanah abang macet we need mr comeback</x:v>
      </x:c>
      <x:c r="C333" s="4" t="str">
        <x:v>NON_EVENT</x:v>
      </x:c>
      <x:c r="D333" s="4" t="str">
        <x:v>NON_EVENT</x:v>
      </x:c>
      <x:c r="E333" s="12" t="str">
        <x:v>SETUJU_USULAN</x:v>
      </x:c>
      <x:c r="F333" s="12" t="str"/>
      <x:c r="G333" s="12" t="str">
        <x:v>Rangkaian kehancuran dan banjir ditempatkan dalam pengandaian dunia Avengers setelah jentikan Thanos. Teks merupakan perbandingan fiksi dan sindiran. R3.</x:v>
      </x:c>
      <x:c r="H333" s="4" t="str">
        <x:f>IF(E333="SETUJU_USULAN",D333,IF(E333="KOREKSI",F333,""))</x:f>
        <x:v>NON_EVENT</x:v>
      </x:c>
      <x:c r="I333" s="4" t="str">
        <x:f>IF(E333="","BELUM_DIREVIEW",IF(E333="TUNDA","DITUNDA",IF(TRIM(Panduan!$B$5)="","ISI_REVIEWER",IF(AND(E333&lt;&gt;"SETUJU_USULAN",E333&lt;&gt;"KOREKSI"),"CEK_KEPUTUSAN",IF(AND(E333="SETUJU_USULAN",F333&lt;&gt;""),"HAPUS_KOREKSI",IF(H333="","ISI_KOREKSI",IF(NOT(OR(H333="FLOOD",H333="EARTHQUAKE",H333="FIRE",H333="ACCIDENT",H333="NON_EVENT")),"CEK_LABEL",IF(AND(E333="KOREKSI",TRIM(G333)=""),"ISI_CATATAN","REVIEW_TERCATAT"))))))))</x:f>
        <x:v>REVIEW_TERCATAT</x:v>
      </x:c>
      <x:c r="J333" s="4" t="str">
        <x:v>Label dataset dan prediksi baseline sama; makna MVP belum direview. Kesepakatan keduanya belum membuktikan label final.</x:v>
      </x:c>
      <x:c r="K333" s="4" t="str">
        <x:v>NON_EVENT</x:v>
      </x:c>
      <x:c r="L333" s="14" t="n">
        <x:v>0.9875929951667786</x:v>
      </x:c>
    </x:row>
    <x:row r="334" ht="66" customHeight="1">
      <x:c r="A334" s="4" t="str">
        <x:v>KEC-01254</x:v>
      </x:c>
      <x:c r="B334" s="4" t="str">
        <x:v>+ memantau haesoo dan lingkungan sekitarnya yoonsoo masih memiliki tugas untuk mengetahui siapa yang melakukan kecelakaan ini kepada adiknya roman wajahnya kontan berubah menjadi dingin sebentar hanya sampai staf di sana menyelesaikan tugasnya `` ada +</x:v>
      </x:c>
      <x:c r="C334" s="4" t="str">
        <x:v>NON_EVENT</x:v>
      </x:c>
      <x:c r="D334" s="4" t="str">
        <x:v>NON_EVENT</x:v>
      </x:c>
      <x:c r="E334" s="12" t="str">
        <x:v>SETUJU_USULAN</x:v>
      </x:c>
      <x:c r="F334" s="12" t="str"/>
      <x:c r="G334" s="12" t="str">
        <x:v>Kecelakaan menjadi bagian narasi tokoh dan dialog Haesoo-Yoonsoo, bukan bentuk laporan kejadian nyata. R3.</x:v>
      </x:c>
      <x:c r="H334" s="4" t="str">
        <x:f>IF(E334="SETUJU_USULAN",D334,IF(E334="KOREKSI",F334,""))</x:f>
        <x:v>NON_EVENT</x:v>
      </x:c>
      <x:c r="I334" s="4" t="str">
        <x:f>IF(E334="","BELUM_DIREVIEW",IF(E334="TUNDA","DITUNDA",IF(TRIM(Panduan!$B$5)="","ISI_REVIEWER",IF(AND(E334&lt;&gt;"SETUJU_USULAN",E334&lt;&gt;"KOREKSI"),"CEK_KEPUTUSAN",IF(AND(E334="SETUJU_USULAN",F334&lt;&gt;""),"HAPUS_KOREKSI",IF(H334="","ISI_KOREKSI",IF(NOT(OR(H334="FLOOD",H334="EARTHQUAKE",H334="FIRE",H334="ACCIDENT",H334="NON_EVENT")),"CEK_LABEL",IF(AND(E334="KOREKSI",TRIM(G334)=""),"ISI_CATATAN","REVIEW_TERCATAT"))))))))</x:f>
        <x:v>REVIEW_TERCATAT</x:v>
      </x:c>
      <x:c r="J334" s="4" t="str">
        <x:v>Label dataset dan prediksi baseline sama; makna MVP belum direview. Kesepakatan keduanya belum membuktikan label final.</x:v>
      </x:c>
      <x:c r="K334" s="4" t="str">
        <x:v>NON_EVENT</x:v>
      </x:c>
      <x:c r="L334" s="14" t="n">
        <x:v>0.9876232147216797</x:v>
      </x:c>
    </x:row>
    <x:row r="335" ht="64" customHeight="1">
      <x:c r="A335" s="4" t="str">
        <x:v>BAN-01595</x:v>
      </x:c>
      <x:c r="B335" s="4" t="str">
        <x:v>kami akan menyumbangkan 100 % keuntungan dari acara ini untuk korban bencana banjir bandang di sentani jayapura silakan beli tiket dan sekaligus membantu saudara-saudara yang tertimpa bencana salam</x:v>
      </x:c>
      <x:c r="C335" s="4" t="str">
        <x:v>NON_EVENT</x:v>
      </x:c>
      <x:c r="D335" s="4" t="str">
        <x:v>NON_EVENT</x:v>
      </x:c>
      <x:c r="E335" s="12" t="str">
        <x:v>KOREKSI</x:v>
      </x:c>
      <x:c r="F335" s="12" t="str">
        <x:v>FLOOD</x:v>
      </x:c>
      <x:c r="G335" s="12" t="str">
        <x:v>Rencana sumbangan keuntungan acara merujuk korban banjir bandang Sentani, Jayapura. R1,R5.</x:v>
      </x:c>
      <x:c r="H335" s="4" t="str">
        <x:f>IF(E335="SETUJU_USULAN",D335,IF(E335="KOREKSI",F335,""))</x:f>
        <x:v>FLOOD</x:v>
      </x:c>
      <x:c r="I335" s="4" t="str">
        <x:f>IF(E335="","BELUM_DIREVIEW",IF(E335="TUNDA","DITUNDA",IF(TRIM(Panduan!$B$5)="","ISI_REVIEWER",IF(AND(E335&lt;&gt;"SETUJU_USULAN",E335&lt;&gt;"KOREKSI"),"CEK_KEPUTUSAN",IF(AND(E335="SETUJU_USULAN",F335&lt;&gt;""),"HAPUS_KOREKSI",IF(H335="","ISI_KOREKSI",IF(NOT(OR(H335="FLOOD",H335="EARTHQUAKE",H335="FIRE",H335="ACCIDENT",H335="NON_EVENT")),"CEK_LABEL",IF(AND(E335="KOREKSI",TRIM(G335)=""),"ISI_CATATAN","REVIEW_TERCATAT"))))))))</x:f>
        <x:v>REVIEW_TERCATAT</x:v>
      </x:c>
      <x:c r="J335" s="4" t="str">
        <x:v>Label dataset dan prediksi baseline sama; makna MVP belum direview. Kesepakatan keduanya belum membuktikan label final.</x:v>
      </x:c>
      <x:c r="K335" s="4" t="str">
        <x:v>NON_EVENT</x:v>
      </x:c>
      <x:c r="L335" s="14" t="n">
        <x:v>0.9877840876579285</x:v>
      </x:c>
    </x:row>
    <x:row r="336" ht="64" customHeight="1">
      <x:c r="A336" s="4" t="str">
        <x:v>KEB-00584</x:v>
      </x:c>
      <x:c r="B336" s="4" t="str">
        <x:v>seorang pemilik warung tewas dalam kebakaran di natuna .</x:v>
      </x:c>
      <x:c r="C336" s="4" t="str">
        <x:v>FIRE</x:v>
      </x:c>
      <x:c r="D336" s="4" t="str">
        <x:v>FIRE</x:v>
      </x:c>
      <x:c r="E336" s="12" t="str">
        <x:v>SETUJU_USULAN</x:v>
      </x:c>
      <x:c r="F336" s="12" t="str"/>
      <x:c r="G336" s="12" t="str">
        <x:v>Narasi menyatakan kejadian kebakaran yang terjadi atau telah terjadi. Label mengikuti isi kejadian, termasuk penanganan dan dampak yang disebut. R1,R4.</x:v>
      </x:c>
      <x:c r="H336" s="4" t="str">
        <x:f>IF(E336="SETUJU_USULAN",D336,IF(E336="KOREKSI",F336,""))</x:f>
        <x:v>FIRE</x:v>
      </x:c>
      <x:c r="I336" s="4" t="str">
        <x:f>IF(E336="","BELUM_DIREVIEW",IF(E336="TUNDA","DITUNDA",IF(TRIM(Panduan!$B$5)="","ISI_REVIEWER",IF(AND(E336&lt;&gt;"SETUJU_USULAN",E336&lt;&gt;"KOREKSI"),"CEK_KEPUTUSAN",IF(AND(E336="SETUJU_USULAN",F336&lt;&gt;""),"HAPUS_KOREKSI",IF(H336="","ISI_KOREKSI",IF(NOT(OR(H336="FLOOD",H336="EARTHQUAKE",H336="FIRE",H336="ACCIDENT",H336="NON_EVENT")),"CEK_LABEL",IF(AND(E336="KOREKSI",TRIM(G336)=""),"ISI_CATATAN","REVIEW_TERCATAT"))))))))</x:f>
        <x:v>REVIEW_TERCATAT</x:v>
      </x:c>
      <x:c r="J336" s="4" t="str">
        <x:v>Label dataset dan prediksi baseline sama; makna MVP belum direview. Kesepakatan keduanya belum membuktikan label final.</x:v>
      </x:c>
      <x:c r="K336" s="4" t="str">
        <x:v>FIRE</x:v>
      </x:c>
      <x:c r="L336" s="14" t="n">
        <x:v>0.987831175327301</x:v>
      </x:c>
    </x:row>
    <x:row r="337" ht="64" customHeight="1">
      <x:c r="A337" s="4" t="str">
        <x:v>KEB-00834</x:v>
      </x:c>
      <x:c r="B337" s="4" t="str">
        <x:v>kebakaran terjadi di astanaanyar kota bandung , sedikitnya 8-10 ruko terbakar</x:v>
      </x:c>
      <x:c r="C337" s="4" t="str">
        <x:v>FIRE</x:v>
      </x:c>
      <x:c r="D337" s="4" t="str">
        <x:v>FIRE</x:v>
      </x:c>
      <x:c r="E337" s="12" t="str">
        <x:v>SETUJU_USULAN</x:v>
      </x:c>
      <x:c r="F337" s="12" t="str"/>
      <x:c r="G337" s="12" t="str">
        <x:v>Narasi menyatakan kejadian kebakaran yang terjadi atau telah terjadi. Label mengikuti isi kejadian, termasuk penanganan dan dampak yang disebut. R1,R4.</x:v>
      </x:c>
      <x:c r="H337" s="4" t="str">
        <x:f>IF(E337="SETUJU_USULAN",D337,IF(E337="KOREKSI",F337,""))</x:f>
        <x:v>FIRE</x:v>
      </x:c>
      <x:c r="I337" s="4" t="str">
        <x:f>IF(E337="","BELUM_DIREVIEW",IF(E337="TUNDA","DITUNDA",IF(TRIM(Panduan!$B$5)="","ISI_REVIEWER",IF(AND(E337&lt;&gt;"SETUJU_USULAN",E337&lt;&gt;"KOREKSI"),"CEK_KEPUTUSAN",IF(AND(E337="SETUJU_USULAN",F337&lt;&gt;""),"HAPUS_KOREKSI",IF(H337="","ISI_KOREKSI",IF(NOT(OR(H337="FLOOD",H337="EARTHQUAKE",H337="FIRE",H337="ACCIDENT",H337="NON_EVENT")),"CEK_LABEL",IF(AND(E337="KOREKSI",TRIM(G337)=""),"ISI_CATATAN","REVIEW_TERCATAT"))))))))</x:f>
        <x:v>REVIEW_TERCATAT</x:v>
      </x:c>
      <x:c r="J337" s="4" t="str">
        <x:v>Label dataset dan prediksi baseline sama; makna MVP belum direview. Kesepakatan keduanya belum membuktikan label final.</x:v>
      </x:c>
      <x:c r="K337" s="4" t="str">
        <x:v>FIRE</x:v>
      </x:c>
      <x:c r="L337" s="14" t="n">
        <x:v>0.9878344535827637</x:v>
      </x:c>
    </x:row>
    <x:row r="338" ht="66" customHeight="1">
      <x:c r="A338" s="4" t="str">
        <x:v>GEM-01050</x:v>
      </x:c>
      <x:c r="B338" s="4" t="str">
        <x:v>tim survey unsyiah telah berada di kota palu sejak sabtu ( 13/10 ) dalam rangka melakukan asesment kerusakan akibat gempa bumi &amp; tsunami di kota palu &amp; sekitarnya assesment ini dilakukan untuk bisa menvalidasi hasil kajian terkait kompleksitas gempa dan tsunami di sana</x:v>
      </x:c>
      <x:c r="C338" s="4" t="str">
        <x:v>NON_EVENT</x:v>
      </x:c>
      <x:c r="D338" s="4" t="str">
        <x:v>NON_EVENT</x:v>
      </x:c>
      <x:c r="E338" s="12" t="str">
        <x:v>KOREKSI</x:v>
      </x:c>
      <x:c r="F338" s="12" t="str">
        <x:v>EARTHQUAKE</x:v>
      </x:c>
      <x:c r="G338" s="12" t="str">
        <x:v>Survei kerusakan secara eksplisit menyebut akibat gempa dan tsunami di Palu. R1,R5.</x:v>
      </x:c>
      <x:c r="H338" s="4" t="str">
        <x:f>IF(E338="SETUJU_USULAN",D338,IF(E338="KOREKSI",F338,""))</x:f>
        <x:v>EARTHQUAKE</x:v>
      </x:c>
      <x:c r="I338" s="4" t="str">
        <x:f>IF(E338="","BELUM_DIREVIEW",IF(E338="TUNDA","DITUNDA",IF(TRIM(Panduan!$B$5)="","ISI_REVIEWER",IF(AND(E338&lt;&gt;"SETUJU_USULAN",E338&lt;&gt;"KOREKSI"),"CEK_KEPUTUSAN",IF(AND(E338="SETUJU_USULAN",F338&lt;&gt;""),"HAPUS_KOREKSI",IF(H338="","ISI_KOREKSI",IF(NOT(OR(H338="FLOOD",H338="EARTHQUAKE",H338="FIRE",H338="ACCIDENT",H338="NON_EVENT")),"CEK_LABEL",IF(AND(E338="KOREKSI",TRIM(G338)=""),"ISI_CATATAN","REVIEW_TERCATAT"))))))))</x:f>
        <x:v>REVIEW_TERCATAT</x:v>
      </x:c>
      <x:c r="J338" s="4" t="str">
        <x:v>Label dataset dan prediksi baseline sama; makna MVP belum direview. Kesepakatan keduanya belum membuktikan label final.</x:v>
      </x:c>
      <x:c r="K338" s="4" t="str">
        <x:v>NON_EVENT</x:v>
      </x:c>
      <x:c r="L338" s="14" t="n">
        <x:v>0.9878365397453308</x:v>
      </x:c>
    </x:row>
    <x:row r="339" ht="66" customHeight="1">
      <x:c r="A339" s="4" t="str">
        <x:v>BAN-01746</x:v>
      </x:c>
      <x:c r="B339" s="4" t="str">
        <x:v>eh bagaimana gimana ? indikator banjir kiriman kan bukan ada di tma manggarai tapi ada di tma bendung katulampa tanpa ai pun kecerdasan yang melekat di warga pinggir sungai sudah membuat mereka harus tukeran kontak sama yang jaga di katulampa kali</x:v>
      </x:c>
      <x:c r="C339" s="4" t="str">
        <x:v>NON_EVENT</x:v>
      </x:c>
      <x:c r="D339" s="4" t="str">
        <x:v>NON_EVENT</x:v>
      </x:c>
      <x:c r="E339" s="12" t="str">
        <x:v>SETUJU_USULAN</x:v>
      </x:c>
      <x:c r="F339" s="12" t="str"/>
      <x:c r="G339" s="12" t="str">
        <x:v>Penjelasan indikator dan sistem peringatan banjir tidak menyatakan satu kejadian. R3.</x:v>
      </x:c>
      <x:c r="H339" s="4" t="str">
        <x:f>IF(E339="SETUJU_USULAN",D339,IF(E339="KOREKSI",F339,""))</x:f>
        <x:v>NON_EVENT</x:v>
      </x:c>
      <x:c r="I339" s="4" t="str">
        <x:f>IF(E339="","BELUM_DIREVIEW",IF(E339="TUNDA","DITUNDA",IF(TRIM(Panduan!$B$5)="","ISI_REVIEWER",IF(AND(E339&lt;&gt;"SETUJU_USULAN",E339&lt;&gt;"KOREKSI"),"CEK_KEPUTUSAN",IF(AND(E339="SETUJU_USULAN",F339&lt;&gt;""),"HAPUS_KOREKSI",IF(H339="","ISI_KOREKSI",IF(NOT(OR(H339="FLOOD",H339="EARTHQUAKE",H339="FIRE",H339="ACCIDENT",H339="NON_EVENT")),"CEK_LABEL",IF(AND(E339="KOREKSI",TRIM(G339)=""),"ISI_CATATAN","REVIEW_TERCATAT"))))))))</x:f>
        <x:v>REVIEW_TERCATAT</x:v>
      </x:c>
      <x:c r="J339" s="4" t="str">
        <x:v>Label dataset dan prediksi baseline sama; makna MVP belum direview. Kesepakatan keduanya belum membuktikan label final.</x:v>
      </x:c>
      <x:c r="K339" s="4" t="str">
        <x:v>NON_EVENT</x:v>
      </x:c>
      <x:c r="L339" s="14" t="n">
        <x:v>0.987869918346405</x:v>
      </x:c>
    </x:row>
    <x:row r="340" ht="64" customHeight="1">
      <x:c r="A340" s="4" t="str">
        <x:v>KEC-01167</x:v>
      </x:c>
      <x:c r="B340" s="4" t="str">
        <x:v>semalem lewat depan imigrasi kayak ada ribut-ribut entah kecelakaan entah maling tapi lihat orang enggak pakai baju geletak di jalan dan orang-orang pada mengambek masih kepikiran sampai sekarang itu tuh kenapa ? : (</x:v>
      </x:c>
      <x:c r="C340" s="4" t="str">
        <x:v>NON_EVENT</x:v>
      </x:c>
      <x:c r="D340" s="4" t="str">
        <x:v>NON_EVENT</x:v>
      </x:c>
      <x:c r="E340" s="12" t="str">
        <x:v>SETUJU_USULAN</x:v>
      </x:c>
      <x:c r="F340" s="12" t="str"/>
      <x:c r="G340" s="12" t="str">
        <x:v>Pelapor hanya memastikan melihat keributan dan orang tergeletak. Entah kecelakaan entah maling mempertanyakan keberadaan kategori kejadian. R1,R2.</x:v>
      </x:c>
      <x:c r="H340" s="4" t="str">
        <x:f>IF(E340="SETUJU_USULAN",D340,IF(E340="KOREKSI",F340,""))</x:f>
        <x:v>NON_EVENT</x:v>
      </x:c>
      <x:c r="I340" s="4" t="str">
        <x:f>IF(E340="","BELUM_DIREVIEW",IF(E340="TUNDA","DITUNDA",IF(TRIM(Panduan!$B$5)="","ISI_REVIEWER",IF(AND(E340&lt;&gt;"SETUJU_USULAN",E340&lt;&gt;"KOREKSI"),"CEK_KEPUTUSAN",IF(AND(E340="SETUJU_USULAN",F340&lt;&gt;""),"HAPUS_KOREKSI",IF(H340="","ISI_KOREKSI",IF(NOT(OR(H340="FLOOD",H340="EARTHQUAKE",H340="FIRE",H340="ACCIDENT",H340="NON_EVENT")),"CEK_LABEL",IF(AND(E340="KOREKSI",TRIM(G340)=""),"ISI_CATATAN","REVIEW_TERCATAT"))))))))</x:f>
        <x:v>REVIEW_TERCATAT</x:v>
      </x:c>
      <x:c r="J340" s="4" t="str">
        <x:v>Label dataset dan prediksi baseline sama; makna MVP belum direview. Kesepakatan keduanya belum membuktikan label final.</x:v>
      </x:c>
      <x:c r="K340" s="4" t="str">
        <x:v>NON_EVENT</x:v>
      </x:c>
      <x:c r="L340" s="14" t="n">
        <x:v>0.9879091382026672</x:v>
      </x:c>
    </x:row>
    <x:row r="341" ht="66" customHeight="1">
      <x:c r="A341" s="4" t="str">
        <x:v>KEC-01144</x:v>
      </x:c>
      <x:c r="B341" s="4" t="str">
        <x:v>intinya lady diana nikah sama ayah harry itu kayak dipaksa begitu terus terjadilah perselingkuhan sampai akhirnya sih lady diana meninggal dalam kecelakaan yang sepertinya di setting oleh pihak '' tertentu karena sih lady di hamil dan yang anak dalam perutnya saat itu ya milik siselingkuhannya</x:v>
      </x:c>
      <x:c r="C341" s="4" t="str">
        <x:v>NON_EVENT</x:v>
      </x:c>
      <x:c r="D341" s="4" t="str">
        <x:v>NON_EVENT</x:v>
      </x:c>
      <x:c r="E341" s="12" t="str">
        <x:v>KOREKSI</x:v>
      </x:c>
      <x:c r="F341" s="12" t="str">
        <x:v>ACCIDENT</x:v>
      </x:c>
      <x:c r="G341" s="12" t="str">
        <x:v>Teks menyatakan Lady Diana meninggal dalam kecelakaan. Dugaan rekayasa menyangkut sebab, bukan menyangkal kecelakaan yang dirujuk. R1,R2,R6.</x:v>
      </x:c>
      <x:c r="H341" s="4" t="str">
        <x:f>IF(E341="SETUJU_USULAN",D341,IF(E341="KOREKSI",F341,""))</x:f>
        <x:v>ACCIDENT</x:v>
      </x:c>
      <x:c r="I341" s="4" t="str">
        <x:f>IF(E341="","BELUM_DIREVIEW",IF(E341="TUNDA","DITUNDA",IF(TRIM(Panduan!$B$5)="","ISI_REVIEWER",IF(AND(E341&lt;&gt;"SETUJU_USULAN",E341&lt;&gt;"KOREKSI"),"CEK_KEPUTUSAN",IF(AND(E341="SETUJU_USULAN",F341&lt;&gt;""),"HAPUS_KOREKSI",IF(H341="","ISI_KOREKSI",IF(NOT(OR(H341="FLOOD",H341="EARTHQUAKE",H341="FIRE",H341="ACCIDENT",H341="NON_EVENT")),"CEK_LABEL",IF(AND(E341="KOREKSI",TRIM(G341)=""),"ISI_CATATAN","REVIEW_TERCATAT"))))))))</x:f>
        <x:v>REVIEW_TERCATAT</x:v>
      </x:c>
      <x:c r="J341" s="4" t="str">
        <x:v>Label dataset dan prediksi baseline sama; makna MVP belum direview. Kesepakatan keduanya belum membuktikan label final.</x:v>
      </x:c>
      <x:c r="K341" s="4" t="str">
        <x:v>NON_EVENT</x:v>
      </x:c>
      <x:c r="L341" s="14" t="n">
        <x:v>0.9879232048988342</x:v>
      </x:c>
    </x:row>
    <x:row r="342" ht="66" customHeight="1">
      <x:c r="A342" s="4" t="str">
        <x:v>KEB-00743</x:v>
      </x:c>
      <x:c r="B342" s="4" t="str">
        <x:v>1.27 : kebakaran gudang obat batik di jl . pramuka pabean , pekalongan , jateng pukul 0 wib . penyebab kebakaran belum di ketahui , dugaan sementara berasal dari korsleting listrik dan api berhasil di padamkan . via instagram wulanmeliliaaa</x:v>
      </x:c>
      <x:c r="C342" s="4" t="str">
        <x:v>FIRE</x:v>
      </x:c>
      <x:c r="D342" s="4" t="str">
        <x:v>FIRE</x:v>
      </x:c>
      <x:c r="E342" s="12" t="str">
        <x:v>SETUJU_USULAN</x:v>
      </x:c>
      <x:c r="F342" s="12" t="str"/>
      <x:c r="G342" s="12" t="str">
        <x:v>Narasi menyatakan kejadian kebakaran yang terjadi atau telah terjadi. Label mengikuti isi kejadian, termasuk penanganan dan dampak yang disebut. R1,R4.</x:v>
      </x:c>
      <x:c r="H342" s="4" t="str">
        <x:f>IF(E342="SETUJU_USULAN",D342,IF(E342="KOREKSI",F342,""))</x:f>
        <x:v>FIRE</x:v>
      </x:c>
      <x:c r="I342" s="4" t="str">
        <x:f>IF(E342="","BELUM_DIREVIEW",IF(E342="TUNDA","DITUNDA",IF(TRIM(Panduan!$B$5)="","ISI_REVIEWER",IF(AND(E342&lt;&gt;"SETUJU_USULAN",E342&lt;&gt;"KOREKSI"),"CEK_KEPUTUSAN",IF(AND(E342="SETUJU_USULAN",F342&lt;&gt;""),"HAPUS_KOREKSI",IF(H342="","ISI_KOREKSI",IF(NOT(OR(H342="FLOOD",H342="EARTHQUAKE",H342="FIRE",H342="ACCIDENT",H342="NON_EVENT")),"CEK_LABEL",IF(AND(E342="KOREKSI",TRIM(G342)=""),"ISI_CATATAN","REVIEW_TERCATAT"))))))))</x:f>
        <x:v>REVIEW_TERCATAT</x:v>
      </x:c>
      <x:c r="J342" s="4" t="str">
        <x:v>Label dataset dan prediksi baseline sama; makna MVP belum direview. Kesepakatan keduanya belum membuktikan label final.</x:v>
      </x:c>
      <x:c r="K342" s="4" t="str">
        <x:v>FIRE</x:v>
      </x:c>
      <x:c r="L342" s="14" t="n">
        <x:v>0.9879512190818787</x:v>
      </x:c>
    </x:row>
    <x:row r="343" ht="64" customHeight="1">
      <x:c r="A343" s="4" t="str">
        <x:v>KEC-00321</x:v>
      </x:c>
      <x:c r="B343" s="4" t="str">
        <x:v>kami segenap jajaran turut berbelasungkawa sedalam-dalamnya atas kejadian kecelakaan bus di tanjakan emen subang semoga keluarga korban yang ditinggalkan diberi ketabahan amin</x:v>
      </x:c>
      <x:c r="C343" s="4" t="str">
        <x:v>NON_EVENT</x:v>
      </x:c>
      <x:c r="D343" s="4" t="str">
        <x:v>NON_EVENT</x:v>
      </x:c>
      <x:c r="E343" s="12" t="str">
        <x:v>KOREKSI</x:v>
      </x:c>
      <x:c r="F343" s="12" t="str">
        <x:v>ACCIDENT</x:v>
      </x:c>
      <x:c r="G343" s="12" t="str">
        <x:v>Belasungkawa ditujukan atas kejadian kecelakaan bus Tanjakan Emen, Subang. R1,R5.</x:v>
      </x:c>
      <x:c r="H343" s="4" t="str">
        <x:f>IF(E343="SETUJU_USULAN",D343,IF(E343="KOREKSI",F343,""))</x:f>
        <x:v>ACCIDENT</x:v>
      </x:c>
      <x:c r="I343" s="4" t="str">
        <x:f>IF(E343="","BELUM_DIREVIEW",IF(E343="TUNDA","DITUNDA",IF(TRIM(Panduan!$B$5)="","ISI_REVIEWER",IF(AND(E343&lt;&gt;"SETUJU_USULAN",E343&lt;&gt;"KOREKSI"),"CEK_KEPUTUSAN",IF(AND(E343="SETUJU_USULAN",F343&lt;&gt;""),"HAPUS_KOREKSI",IF(H343="","ISI_KOREKSI",IF(NOT(OR(H343="FLOOD",H343="EARTHQUAKE",H343="FIRE",H343="ACCIDENT",H343="NON_EVENT")),"CEK_LABEL",IF(AND(E343="KOREKSI",TRIM(G343)=""),"ISI_CATATAN","REVIEW_TERCATAT"))))))))</x:f>
        <x:v>REVIEW_TERCATAT</x:v>
      </x:c>
      <x:c r="J343" s="4" t="str">
        <x:v>Label dataset dan prediksi baseline sama; makna MVP belum direview. Kesepakatan keduanya belum membuktikan label final.</x:v>
      </x:c>
      <x:c r="K343" s="4" t="str">
        <x:v>NON_EVENT</x:v>
      </x:c>
      <x:c r="L343" s="14" t="n">
        <x:v>0.987984836101532</x:v>
      </x:c>
    </x:row>
    <x:row r="344" ht="64" customHeight="1">
      <x:c r="A344" s="4" t="str">
        <x:v>KEB-00557</x:v>
      </x:c>
      <x:c r="B344" s="4" t="str">
        <x:v>video kebakaran gudang di jl mulawarman rt 59 no . 49 kel . sepinggan kec . balikpapan selatan kota balikpapan kaltim video lengkap nya di youtobe . . link : jangan lupa di subcribe , like</x:v>
      </x:c>
      <x:c r="C344" s="4" t="str">
        <x:v>FIRE</x:v>
      </x:c>
      <x:c r="D344" s="4" t="str">
        <x:v>FIRE</x:v>
      </x:c>
      <x:c r="E344" s="12" t="str">
        <x:v>SETUJU_USULAN</x:v>
      </x:c>
      <x:c r="F344" s="12" t="str"/>
      <x:c r="G344" s="12" t="str">
        <x:v>Narasi menyatakan kejadian kebakaran yang terjadi atau telah terjadi. Label mengikuti isi kejadian, termasuk penanganan dan dampak yang disebut. R1,R4.</x:v>
      </x:c>
      <x:c r="H344" s="4" t="str">
        <x:f>IF(E344="SETUJU_USULAN",D344,IF(E344="KOREKSI",F344,""))</x:f>
        <x:v>FIRE</x:v>
      </x:c>
      <x:c r="I344" s="4" t="str">
        <x:f>IF(E344="","BELUM_DIREVIEW",IF(E344="TUNDA","DITUNDA",IF(TRIM(Panduan!$B$5)="","ISI_REVIEWER",IF(AND(E344&lt;&gt;"SETUJU_USULAN",E344&lt;&gt;"KOREKSI"),"CEK_KEPUTUSAN",IF(AND(E344="SETUJU_USULAN",F344&lt;&gt;""),"HAPUS_KOREKSI",IF(H344="","ISI_KOREKSI",IF(NOT(OR(H344="FLOOD",H344="EARTHQUAKE",H344="FIRE",H344="ACCIDENT",H344="NON_EVENT")),"CEK_LABEL",IF(AND(E344="KOREKSI",TRIM(G344)=""),"ISI_CATATAN","REVIEW_TERCATAT"))))))))</x:f>
        <x:v>REVIEW_TERCATAT</x:v>
      </x:c>
      <x:c r="J344" s="4" t="str">
        <x:v>Label dataset dan prediksi baseline sama; makna MVP belum direview. Kesepakatan keduanya belum membuktikan label final.</x:v>
      </x:c>
      <x:c r="K344" s="4" t="str">
        <x:v>FIRE</x:v>
      </x:c>
      <x:c r="L344" s="14" t="n">
        <x:v>0.988089382648468</x:v>
      </x:c>
    </x:row>
    <x:row r="345" ht="64" customHeight="1">
      <x:c r="A345" s="4" t="str">
        <x:v>KEB-01113</x:v>
      </x:c>
      <x:c r="B345" s="4" t="str">
        <x:v>bencana kok milih2 fpi harus menolong korban gunung merapi sono . . . korban banjir bandang yg parah di jayapura . bantuan kebakaran di depok . ke pulau sanga2 gak pernah tuuuh . . . .</x:v>
      </x:c>
      <x:c r="C345" s="4" t="str">
        <x:v>NON_EVENT</x:v>
      </x:c>
      <x:c r="D345" s="4" t="str">
        <x:v>NON_EVENT</x:v>
      </x:c>
      <x:c r="E345" s="12" t="str">
        <x:v>TUNDA</x:v>
      </x:c>
      <x:c r="F345" s="12" t="str"/>
      <x:c r="G345" s="12" t="str">
        <x:v>Kritik penyaluran bantuan menyebut banjir bandang Jayapura dan kebakaran Depok sekaligus. Kedua kategori MVP tidak memiliki kejadian utama yang jelas; perlu adjudikasi kategori utama. R1,R5.</x:v>
      </x:c>
      <x:c r="H345" s="4" t="str">
        <x:f>IF(E345="SETUJU_USULAN",D345,IF(E345="KOREKSI",F345,""))</x:f>
      </x:c>
      <x:c r="I345" s="4" t="str">
        <x:f>IF(E345="","BELUM_DIREVIEW",IF(E345="TUNDA","DITUNDA",IF(TRIM(Panduan!$B$5)="","ISI_REVIEWER",IF(AND(E345&lt;&gt;"SETUJU_USULAN",E345&lt;&gt;"KOREKSI"),"CEK_KEPUTUSAN",IF(AND(E345="SETUJU_USULAN",F345&lt;&gt;""),"HAPUS_KOREKSI",IF(H345="","ISI_KOREKSI",IF(NOT(OR(H345="FLOOD",H345="EARTHQUAKE",H345="FIRE",H345="ACCIDENT",H345="NON_EVENT")),"CEK_LABEL",IF(AND(E345="KOREKSI",TRIM(G345)=""),"ISI_CATATAN","REVIEW_TERCATAT"))))))))</x:f>
        <x:v>DITUNDA</x:v>
      </x:c>
      <x:c r="J345" s="4" t="str">
        <x:v>Label dataset dan prediksi baseline sama; makna MVP belum direview. Kesepakatan keduanya belum membuktikan label final.</x:v>
      </x:c>
      <x:c r="K345" s="4" t="str">
        <x:v>NON_EVENT</x:v>
      </x:c>
      <x:c r="L345" s="14" t="n">
        <x:v>0.9880937933921814</x:v>
      </x:c>
    </x:row>
    <x:row r="346" ht="64" customHeight="1">
      <x:c r="A346" s="4" t="str">
        <x:v>KEC-01449</x:v>
      </x:c>
      <x:c r="B346" s="4" t="str">
        <x:v>beranda fbku dipenuhi oleh foto - foto korban kecelakaan kapal di kabupaten selayar sulawesi selatan turut sedih melihatnya semoga keluarga korban diberikan kesabaran dan ketabahan !</x:v>
      </x:c>
      <x:c r="C346" s="4" t="str">
        <x:v>NON_EVENT</x:v>
      </x:c>
      <x:c r="D346" s="4" t="str">
        <x:v>NON_EVENT</x:v>
      </x:c>
      <x:c r="E346" s="12" t="str">
        <x:v>KOREKSI</x:v>
      </x:c>
      <x:c r="F346" s="12" t="str">
        <x:v>ACCIDENT</x:v>
      </x:c>
      <x:c r="G346" s="12" t="str">
        <x:v>Foto dan dukacita merujuk korban kecelakaan kapal di Kabupaten Selayar. Penilaian mengikuti teks, tanpa menyimpulkan isi foto. R1,R4,R5.</x:v>
      </x:c>
      <x:c r="H346" s="4" t="str">
        <x:f>IF(E346="SETUJU_USULAN",D346,IF(E346="KOREKSI",F346,""))</x:f>
        <x:v>ACCIDENT</x:v>
      </x:c>
      <x:c r="I346" s="4" t="str">
        <x:f>IF(E346="","BELUM_DIREVIEW",IF(E346="TUNDA","DITUNDA",IF(TRIM(Panduan!$B$5)="","ISI_REVIEWER",IF(AND(E346&lt;&gt;"SETUJU_USULAN",E346&lt;&gt;"KOREKSI"),"CEK_KEPUTUSAN",IF(AND(E346="SETUJU_USULAN",F346&lt;&gt;""),"HAPUS_KOREKSI",IF(H346="","ISI_KOREKSI",IF(NOT(OR(H346="FLOOD",H346="EARTHQUAKE",H346="FIRE",H346="ACCIDENT",H346="NON_EVENT")),"CEK_LABEL",IF(AND(E346="KOREKSI",TRIM(G346)=""),"ISI_CATATAN","REVIEW_TERCATAT"))))))))</x:f>
        <x:v>REVIEW_TERCATAT</x:v>
      </x:c>
      <x:c r="J346" s="4" t="str">
        <x:v>Label dataset dan prediksi baseline sama; makna MVP belum direview. Kesepakatan keduanya belum membuktikan label final.</x:v>
      </x:c>
      <x:c r="K346" s="4" t="str">
        <x:v>NON_EVENT</x:v>
      </x:c>
      <x:c r="L346" s="14" t="n">
        <x:v>0.9881178736686707</x:v>
      </x:c>
    </x:row>
    <x:row r="347" ht="64" customHeight="1">
      <x:c r="A347" s="4" t="str">
        <x:v>BAN-01068</x:v>
      </x:c>
      <x:c r="B347" s="4" t="str">
        <x:v>jakartans iri menengok surabaya padalan masih mending kalian di jakarta sana masih ada usaha narok karung goni ngatasin banjir kami di medan ? disuruh doa</x:v>
      </x:c>
      <x:c r="C347" s="4" t="str">
        <x:v>NON_EVENT</x:v>
      </x:c>
      <x:c r="D347" s="4" t="str">
        <x:v>NON_EVENT</x:v>
      </x:c>
      <x:c r="E347" s="12" t="str">
        <x:v>KOREKSI</x:v>
      </x:c>
      <x:c r="F347" s="12" t="str">
        <x:v>FLOOD</x:v>
      </x:c>
      <x:c r="G347" s="12" t="str">
        <x:v>Keluhan membandingkan tindakan menaruh karung untuk mengatasi banjir di Jakarta dengan respons di Medan. Tindakan penanganan merujuk banjir literal. R1,R5.</x:v>
      </x:c>
      <x:c r="H347" s="4" t="str">
        <x:f>IF(E347="SETUJU_USULAN",D347,IF(E347="KOREKSI",F347,""))</x:f>
        <x:v>FLOOD</x:v>
      </x:c>
      <x:c r="I347" s="4" t="str">
        <x:f>IF(E347="","BELUM_DIREVIEW",IF(E347="TUNDA","DITUNDA",IF(TRIM(Panduan!$B$5)="","ISI_REVIEWER",IF(AND(E347&lt;&gt;"SETUJU_USULAN",E347&lt;&gt;"KOREKSI"),"CEK_KEPUTUSAN",IF(AND(E347="SETUJU_USULAN",F347&lt;&gt;""),"HAPUS_KOREKSI",IF(H347="","ISI_KOREKSI",IF(NOT(OR(H347="FLOOD",H347="EARTHQUAKE",H347="FIRE",H347="ACCIDENT",H347="NON_EVENT")),"CEK_LABEL",IF(AND(E347="KOREKSI",TRIM(G347)=""),"ISI_CATATAN","REVIEW_TERCATAT"))))))))</x:f>
        <x:v>REVIEW_TERCATAT</x:v>
      </x:c>
      <x:c r="J347" s="4" t="str">
        <x:v>Label dataset dan prediksi baseline sama; makna MVP belum direview. Kesepakatan keduanya belum membuktikan label final.</x:v>
      </x:c>
      <x:c r="K347" s="4" t="str">
        <x:v>NON_EVENT</x:v>
      </x:c>
      <x:c r="L347" s="14" t="n">
        <x:v>0.9881457090377808</x:v>
      </x:c>
    </x:row>
    <x:row r="348" ht="64" customHeight="1">
      <x:c r="A348" s="4" t="str">
        <x:v>BAN-01621</x:v>
      </x:c>
      <x:c r="B348" s="4" t="str">
        <x:v>tinggal dilereng takut longsor tinggal digunung takut meletus tinggal dipesisir takut tsunami tinggal dideket sungai takut banjir pengennya tuh tinggal di hatimu aman</x:v>
      </x:c>
      <x:c r="C348" s="4" t="str">
        <x:v>NON_EVENT</x:v>
      </x:c>
      <x:c r="D348" s="4" t="str">
        <x:v>NON_EVENT</x:v>
      </x:c>
      <x:c r="E348" s="12" t="str">
        <x:v>SETUJU_USULAN</x:v>
      </x:c>
      <x:c r="F348" s="12" t="str"/>
      <x:c r="G348" s="12" t="str">
        <x:v>Ketakutan terhadap berbagai bencana dipakai dalam ungkapan romantis, tanpa kejadian. R3.</x:v>
      </x:c>
      <x:c r="H348" s="4" t="str">
        <x:f>IF(E348="SETUJU_USULAN",D348,IF(E348="KOREKSI",F348,""))</x:f>
        <x:v>NON_EVENT</x:v>
      </x:c>
      <x:c r="I348" s="4" t="str">
        <x:f>IF(E348="","BELUM_DIREVIEW",IF(E348="TUNDA","DITUNDA",IF(TRIM(Panduan!$B$5)="","ISI_REVIEWER",IF(AND(E348&lt;&gt;"SETUJU_USULAN",E348&lt;&gt;"KOREKSI"),"CEK_KEPUTUSAN",IF(AND(E348="SETUJU_USULAN",F348&lt;&gt;""),"HAPUS_KOREKSI",IF(H348="","ISI_KOREKSI",IF(NOT(OR(H348="FLOOD",H348="EARTHQUAKE",H348="FIRE",H348="ACCIDENT",H348="NON_EVENT")),"CEK_LABEL",IF(AND(E348="KOREKSI",TRIM(G348)=""),"ISI_CATATAN","REVIEW_TERCATAT"))))))))</x:f>
        <x:v>REVIEW_TERCATAT</x:v>
      </x:c>
      <x:c r="J348" s="4" t="str">
        <x:v>Label dataset dan prediksi baseline sama; makna MVP belum direview. Kesepakatan keduanya belum membuktikan label final.</x:v>
      </x:c>
      <x:c r="K348" s="4" t="str">
        <x:v>NON_EVENT</x:v>
      </x:c>
      <x:c r="L348" s="14" t="n">
        <x:v>0.9881545305252075</x:v>
      </x:c>
    </x:row>
    <x:row r="349" ht="66" customHeight="1">
      <x:c r="A349" s="4" t="str">
        <x:v>BAN-01854</x:v>
      </x:c>
      <x:c r="B349" s="4" t="str">
        <x:v>pembangunan ideal ala kampret yang ideal adalah kota jakarta 1 jualan di trotoar 2 banjir diamkan saja nanti surut sendiri 3 perusuh kotanya akan di hadiahin perawatan gratis 4 kebijakan gubernur sebrlumnya selalu salah 5 yang penting seiman 6 goblok rakyatnya bahagia gabernernya</x:v>
      </x:c>
      <x:c r="C349" s="4" t="str">
        <x:v>NON_EVENT</x:v>
      </x:c>
      <x:c r="D349" s="4" t="str">
        <x:v>NON_EVENT</x:v>
      </x:c>
      <x:c r="E349" s="12" t="str">
        <x:v>SETUJU_USULAN</x:v>
      </x:c>
      <x:c r="F349" s="12" t="str"/>
      <x:c r="G349" s="12" t="str">
        <x:v>Daftar sindiran kebijakan tidak menyatakan episode banjir tertentu. R3.</x:v>
      </x:c>
      <x:c r="H349" s="4" t="str">
        <x:f>IF(E349="SETUJU_USULAN",D349,IF(E349="KOREKSI",F349,""))</x:f>
        <x:v>NON_EVENT</x:v>
      </x:c>
      <x:c r="I349" s="4" t="str">
        <x:f>IF(E349="","BELUM_DIREVIEW",IF(E349="TUNDA","DITUNDA",IF(TRIM(Panduan!$B$5)="","ISI_REVIEWER",IF(AND(E349&lt;&gt;"SETUJU_USULAN",E349&lt;&gt;"KOREKSI"),"CEK_KEPUTUSAN",IF(AND(E349="SETUJU_USULAN",F349&lt;&gt;""),"HAPUS_KOREKSI",IF(H349="","ISI_KOREKSI",IF(NOT(OR(H349="FLOOD",H349="EARTHQUAKE",H349="FIRE",H349="ACCIDENT",H349="NON_EVENT")),"CEK_LABEL",IF(AND(E349="KOREKSI",TRIM(G349)=""),"ISI_CATATAN","REVIEW_TERCATAT"))))))))</x:f>
        <x:v>REVIEW_TERCATAT</x:v>
      </x:c>
      <x:c r="J349" s="4" t="str">
        <x:v>Label dataset dan prediksi baseline sama; makna MVP belum direview. Kesepakatan keduanya belum membuktikan label final.</x:v>
      </x:c>
      <x:c r="K349" s="4" t="str">
        <x:v>NON_EVENT</x:v>
      </x:c>
      <x:c r="L349" s="14" t="n">
        <x:v>0.9883130192756653</x:v>
      </x:c>
    </x:row>
    <x:row r="350" ht="66" customHeight="1">
      <x:c r="A350" s="4" t="str">
        <x:v>GEM-01400</x:v>
      </x:c>
      <x:c r="B350" s="4" t="str">
        <x:v>dalam masa pemulihan kerusakan pascabencana gempa bumi dan tsunami serta likuifikasi di sulawesi tengah pemerintah terus melakukan berbagai upaya salah satunya adalah dengan hunian transit bagi para pengungsi huntara ( hunian sementara ) yang sedang dikerjakan kementerian pupr</x:v>
      </x:c>
      <x:c r="C350" s="4" t="str">
        <x:v>NON_EVENT</x:v>
      </x:c>
      <x:c r="D350" s="4" t="str">
        <x:v>NON_EVENT</x:v>
      </x:c>
      <x:c r="E350" s="12" t="str">
        <x:v>KOREKSI</x:v>
      </x:c>
      <x:c r="F350" s="12" t="str">
        <x:v>EARTHQUAKE</x:v>
      </x:c>
      <x:c r="G350" s="12" t="str">
        <x:v>Hunian transit dibangun dalam pemulihan kerusakan pascagempa Sulawesi Tengah. R1,R5.</x:v>
      </x:c>
      <x:c r="H350" s="4" t="str">
        <x:f>IF(E350="SETUJU_USULAN",D350,IF(E350="KOREKSI",F350,""))</x:f>
        <x:v>EARTHQUAKE</x:v>
      </x:c>
      <x:c r="I350" s="4" t="str">
        <x:f>IF(E350="","BELUM_DIREVIEW",IF(E350="TUNDA","DITUNDA",IF(TRIM(Panduan!$B$5)="","ISI_REVIEWER",IF(AND(E350&lt;&gt;"SETUJU_USULAN",E350&lt;&gt;"KOREKSI"),"CEK_KEPUTUSAN",IF(AND(E350="SETUJU_USULAN",F350&lt;&gt;""),"HAPUS_KOREKSI",IF(H350="","ISI_KOREKSI",IF(NOT(OR(H350="FLOOD",H350="EARTHQUAKE",H350="FIRE",H350="ACCIDENT",H350="NON_EVENT")),"CEK_LABEL",IF(AND(E350="KOREKSI",TRIM(G350)=""),"ISI_CATATAN","REVIEW_TERCATAT"))))))))</x:f>
        <x:v>REVIEW_TERCATAT</x:v>
      </x:c>
      <x:c r="J350" s="4" t="str">
        <x:v>Label dataset dan prediksi baseline sama; makna MVP belum direview. Kesepakatan keduanya belum membuktikan label final.</x:v>
      </x:c>
      <x:c r="K350" s="4" t="str">
        <x:v>NON_EVENT</x:v>
      </x:c>
      <x:c r="L350" s="14" t="n">
        <x:v>0.9883565306663513</x:v>
      </x:c>
    </x:row>
    <x:row r="351" ht="64" customHeight="1">
      <x:c r="A351" s="4" t="str">
        <x:v>GEM-01115</x:v>
      </x:c>
      <x:c r="B351" s="4" t="str">
        <x:v>new tax regulation update keputusan dirjen pajak no kep-271/pj/2018 tentang kebijakan perpajakan sehubungan dengan bencana alam gempa bumi dan tsunami di wilayah donggala - palu - dan sekitarnya selengkapnya silakan klik</x:v>
      </x:c>
      <x:c r="C351" s="4" t="str">
        <x:v>NON_EVENT</x:v>
      </x:c>
      <x:c r="D351" s="4" t="str">
        <x:v>NON_EVENT</x:v>
      </x:c>
      <x:c r="E351" s="12" t="str">
        <x:v>KOREKSI</x:v>
      </x:c>
      <x:c r="F351" s="12" t="str">
        <x:v>EARTHQUAKE</x:v>
      </x:c>
      <x:c r="G351" s="12" t="str">
        <x:v>Informasi kebijakan pajak secara eksplisit merujuk bencana gempa dan tsunami di Donggala-Palu. Tujuan administratif tidak menghapus rujukan kejadian. R1,R5.</x:v>
      </x:c>
      <x:c r="H351" s="4" t="str">
        <x:f>IF(E351="SETUJU_USULAN",D351,IF(E351="KOREKSI",F351,""))</x:f>
        <x:v>EARTHQUAKE</x:v>
      </x:c>
      <x:c r="I351" s="4" t="str">
        <x:f>IF(E351="","BELUM_DIREVIEW",IF(E351="TUNDA","DITUNDA",IF(TRIM(Panduan!$B$5)="","ISI_REVIEWER",IF(AND(E351&lt;&gt;"SETUJU_USULAN",E351&lt;&gt;"KOREKSI"),"CEK_KEPUTUSAN",IF(AND(E351="SETUJU_USULAN",F351&lt;&gt;""),"HAPUS_KOREKSI",IF(H351="","ISI_KOREKSI",IF(NOT(OR(H351="FLOOD",H351="EARTHQUAKE",H351="FIRE",H351="ACCIDENT",H351="NON_EVENT")),"CEK_LABEL",IF(AND(E351="KOREKSI",TRIM(G351)=""),"ISI_CATATAN","REVIEW_TERCATAT"))))))))</x:f>
        <x:v>REVIEW_TERCATAT</x:v>
      </x:c>
      <x:c r="J351" s="4" t="str">
        <x:v>Label dataset dan prediksi baseline sama; makna MVP belum direview. Kesepakatan keduanya belum membuktikan label final.</x:v>
      </x:c>
      <x:c r="K351" s="4" t="str">
        <x:v>NON_EVENT</x:v>
      </x:c>
      <x:c r="L351" s="14" t="n">
        <x:v>0.988375186920166</x:v>
      </x:c>
    </x:row>
    <x:row r="352" ht="64" customHeight="1">
      <x:c r="A352" s="4" t="str">
        <x:v>KEB-00439</x:v>
      </x:c>
      <x:c r="B352" s="4" t="str">
        <x:v>damkar banda aceh : kebakaran rumah berkonstruksi kayu di gampong keuramat</x:v>
      </x:c>
      <x:c r="C352" s="4" t="str">
        <x:v>FIRE</x:v>
      </x:c>
      <x:c r="D352" s="4" t="str">
        <x:v>FIRE</x:v>
      </x:c>
      <x:c r="E352" s="12" t="str">
        <x:v>SETUJU_USULAN</x:v>
      </x:c>
      <x:c r="F352" s="12" t="str"/>
      <x:c r="G352" s="12" t="str">
        <x:v>Narasi menyatakan kejadian kebakaran yang terjadi atau telah terjadi. Label mengikuti isi kejadian, termasuk penanganan dan dampak yang disebut. R1,R4.</x:v>
      </x:c>
      <x:c r="H352" s="4" t="str">
        <x:f>IF(E352="SETUJU_USULAN",D352,IF(E352="KOREKSI",F352,""))</x:f>
        <x:v>FIRE</x:v>
      </x:c>
      <x:c r="I352" s="4" t="str">
        <x:f>IF(E352="","BELUM_DIREVIEW",IF(E352="TUNDA","DITUNDA",IF(TRIM(Panduan!$B$5)="","ISI_REVIEWER",IF(AND(E352&lt;&gt;"SETUJU_USULAN",E352&lt;&gt;"KOREKSI"),"CEK_KEPUTUSAN",IF(AND(E352="SETUJU_USULAN",F352&lt;&gt;""),"HAPUS_KOREKSI",IF(H352="","ISI_KOREKSI",IF(NOT(OR(H352="FLOOD",H352="EARTHQUAKE",H352="FIRE",H352="ACCIDENT",H352="NON_EVENT")),"CEK_LABEL",IF(AND(E352="KOREKSI",TRIM(G352)=""),"ISI_CATATAN","REVIEW_TERCATAT"))))))))</x:f>
        <x:v>REVIEW_TERCATAT</x:v>
      </x:c>
      <x:c r="J352" s="4" t="str">
        <x:v>Label dataset dan prediksi baseline sama; makna MVP belum direview. Kesepakatan keduanya belum membuktikan label final.</x:v>
      </x:c>
      <x:c r="K352" s="4" t="str">
        <x:v>FIRE</x:v>
      </x:c>
      <x:c r="L352" s="14" t="n">
        <x:v>0.9884189963340759</x:v>
      </x:c>
    </x:row>
    <x:row r="353" ht="66" customHeight="1">
      <x:c r="A353" s="4" t="str">
        <x:v>GEM-01574</x:v>
      </x:c>
      <x:c r="B353" s="4" t="str">
        <x:v>`` kompleksnya tektonik selat sunda membuatnya memiliki potensi tsunamigenik yang beragam yaitu tsunamigenik dari gempa bumi erupsi gunung api bawah laut longsoran di pantai dan longsoran bawah laut -- yudhicara dan ke budiono ( 2008 )</x:v>
      </x:c>
      <x:c r="C353" s="4" t="str">
        <x:v>NON_EVENT</x:v>
      </x:c>
      <x:c r="D353" s="4" t="str">
        <x:v>NON_EVENT</x:v>
      </x:c>
      <x:c r="E353" s="12" t="str">
        <x:v>SETUJU_USULAN</x:v>
      </x:c>
      <x:c r="F353" s="12" t="str"/>
      <x:c r="G353" s="12" t="str">
        <x:v>Penjelasan potensi tsunamigenik dan tektonik merupakan informasi ilmiah umum. R3.</x:v>
      </x:c>
      <x:c r="H353" s="4" t="str">
        <x:f>IF(E353="SETUJU_USULAN",D353,IF(E353="KOREKSI",F353,""))</x:f>
        <x:v>NON_EVENT</x:v>
      </x:c>
      <x:c r="I353" s="4" t="str">
        <x:f>IF(E353="","BELUM_DIREVIEW",IF(E353="TUNDA","DITUNDA",IF(TRIM(Panduan!$B$5)="","ISI_REVIEWER",IF(AND(E353&lt;&gt;"SETUJU_USULAN",E353&lt;&gt;"KOREKSI"),"CEK_KEPUTUSAN",IF(AND(E353="SETUJU_USULAN",F353&lt;&gt;""),"HAPUS_KOREKSI",IF(H353="","ISI_KOREKSI",IF(NOT(OR(H353="FLOOD",H353="EARTHQUAKE",H353="FIRE",H353="ACCIDENT",H353="NON_EVENT")),"CEK_LABEL",IF(AND(E353="KOREKSI",TRIM(G353)=""),"ISI_CATATAN","REVIEW_TERCATAT"))))))))</x:f>
        <x:v>REVIEW_TERCATAT</x:v>
      </x:c>
      <x:c r="J353" s="4" t="str">
        <x:v>Label dataset dan prediksi baseline sama; makna MVP belum direview. Kesepakatan keduanya belum membuktikan label final.</x:v>
      </x:c>
      <x:c r="K353" s="4" t="str">
        <x:v>NON_EVENT</x:v>
      </x:c>
      <x:c r="L353" s="14" t="n">
        <x:v>0.9885106086730957</x:v>
      </x:c>
    </x:row>
    <x:row r="354" ht="64" customHeight="1">
      <x:c r="A354" s="4" t="str">
        <x:v>KEB-01088</x:v>
      </x:c>
      <x:c r="B354" s="4" t="str">
        <x:v>kebakaran hebat hanguskan puluhan rumah di medan</x:v>
      </x:c>
      <x:c r="C354" s="4" t="str">
        <x:v>FIRE</x:v>
      </x:c>
      <x:c r="D354" s="4" t="str">
        <x:v>FIRE</x:v>
      </x:c>
      <x:c r="E354" s="12" t="str">
        <x:v>SETUJU_USULAN</x:v>
      </x:c>
      <x:c r="F354" s="12" t="str"/>
      <x:c r="G354" s="12" t="str">
        <x:v>Narasi menyatakan kejadian kebakaran yang terjadi atau telah terjadi. Label mengikuti isi kejadian, termasuk penanganan dan dampak yang disebut. R1,R4.</x:v>
      </x:c>
      <x:c r="H354" s="4" t="str">
        <x:f>IF(E354="SETUJU_USULAN",D354,IF(E354="KOREKSI",F354,""))</x:f>
        <x:v>FIRE</x:v>
      </x:c>
      <x:c r="I354" s="4" t="str">
        <x:f>IF(E354="","BELUM_DIREVIEW",IF(E354="TUNDA","DITUNDA",IF(TRIM(Panduan!$B$5)="","ISI_REVIEWER",IF(AND(E354&lt;&gt;"SETUJU_USULAN",E354&lt;&gt;"KOREKSI"),"CEK_KEPUTUSAN",IF(AND(E354="SETUJU_USULAN",F354&lt;&gt;""),"HAPUS_KOREKSI",IF(H354="","ISI_KOREKSI",IF(NOT(OR(H354="FLOOD",H354="EARTHQUAKE",H354="FIRE",H354="ACCIDENT",H354="NON_EVENT")),"CEK_LABEL",IF(AND(E354="KOREKSI",TRIM(G354)=""),"ISI_CATATAN","REVIEW_TERCATAT"))))))))</x:f>
        <x:v>REVIEW_TERCATAT</x:v>
      </x:c>
      <x:c r="J354" s="4" t="str">
        <x:v>Label dataset dan prediksi baseline sama; makna MVP belum direview. Kesepakatan keduanya belum membuktikan label final.</x:v>
      </x:c>
      <x:c r="K354" s="4" t="str">
        <x:v>FIRE</x:v>
      </x:c>
      <x:c r="L354" s="14" t="n">
        <x:v>0.9885473251342773</x:v>
      </x:c>
    </x:row>
    <x:row r="355" ht="64" customHeight="1">
      <x:c r="A355" s="4" t="str">
        <x:v>KEB-00930</x:v>
      </x:c>
      <x:c r="B355" s="4" t="str">
        <x:v>terjadi kebakaran di kampung sawah baturajaoku</x:v>
      </x:c>
      <x:c r="C355" s="4" t="str">
        <x:v>FIRE</x:v>
      </x:c>
      <x:c r="D355" s="4" t="str">
        <x:v>FIRE</x:v>
      </x:c>
      <x:c r="E355" s="12" t="str">
        <x:v>SETUJU_USULAN</x:v>
      </x:c>
      <x:c r="F355" s="12" t="str"/>
      <x:c r="G355" s="12" t="str">
        <x:v>Narasi menyatakan kejadian kebakaran yang terjadi atau telah terjadi. Label mengikuti isi kejadian, termasuk penanganan dan dampak yang disebut. R1,R4.</x:v>
      </x:c>
      <x:c r="H355" s="4" t="str">
        <x:f>IF(E355="SETUJU_USULAN",D355,IF(E355="KOREKSI",F355,""))</x:f>
        <x:v>FIRE</x:v>
      </x:c>
      <x:c r="I355" s="4" t="str">
        <x:f>IF(E355="","BELUM_DIREVIEW",IF(E355="TUNDA","DITUNDA",IF(TRIM(Panduan!$B$5)="","ISI_REVIEWER",IF(AND(E355&lt;&gt;"SETUJU_USULAN",E355&lt;&gt;"KOREKSI"),"CEK_KEPUTUSAN",IF(AND(E355="SETUJU_USULAN",F355&lt;&gt;""),"HAPUS_KOREKSI",IF(H355="","ISI_KOREKSI",IF(NOT(OR(H355="FLOOD",H355="EARTHQUAKE",H355="FIRE",H355="ACCIDENT",H355="NON_EVENT")),"CEK_LABEL",IF(AND(E355="KOREKSI",TRIM(G355)=""),"ISI_CATATAN","REVIEW_TERCATAT"))))))))</x:f>
        <x:v>REVIEW_TERCATAT</x:v>
      </x:c>
      <x:c r="J355" s="4" t="str">
        <x:v>Label dataset dan prediksi baseline sama; makna MVP belum direview. Kesepakatan keduanya belum membuktikan label final.</x:v>
      </x:c>
      <x:c r="K355" s="4" t="str">
        <x:v>FIRE</x:v>
      </x:c>
      <x:c r="L355" s="14" t="n">
        <x:v>0.9886196851730347</x:v>
      </x:c>
    </x:row>
    <x:row r="356" ht="64" customHeight="1">
      <x:c r="A356" s="4" t="str">
        <x:v>GEM-01485</x:v>
      </x:c>
      <x:c r="B356" s="4" t="str">
        <x:v>setelah kemarin ada yang tetap nekad meneruskan shalat ketika gempa bumi dan masjid tempat shalatnya bergoyang kemudian ada yang shalat berjamaah di halte busway ada pula yang shalat di tengah gang gerbong kereta</x:v>
      </x:c>
      <x:c r="C356" s="4" t="str">
        <x:v>NON_EVENT</x:v>
      </x:c>
      <x:c r="D356" s="4" t="str">
        <x:v>NON_EVENT</x:v>
      </x:c>
      <x:c r="E356" s="12" t="str">
        <x:v>KOREKSI</x:v>
      </x:c>
      <x:c r="F356" s="12" t="str">
        <x:v>EARTHQUAKE</x:v>
      </x:c>
      <x:c r="G356" s="12" t="str">
        <x:v>Teks mengingat seseorang tetap salat saat gempa hingga masjid bergoyang. Contoh perilaku tersebut memuat klaim kejadian literal. R1,R4,R6.</x:v>
      </x:c>
      <x:c r="H356" s="4" t="str">
        <x:f>IF(E356="SETUJU_USULAN",D356,IF(E356="KOREKSI",F356,""))</x:f>
        <x:v>EARTHQUAKE</x:v>
      </x:c>
      <x:c r="I356" s="4" t="str">
        <x:f>IF(E356="","BELUM_DIREVIEW",IF(E356="TUNDA","DITUNDA",IF(TRIM(Panduan!$B$5)="","ISI_REVIEWER",IF(AND(E356&lt;&gt;"SETUJU_USULAN",E356&lt;&gt;"KOREKSI"),"CEK_KEPUTUSAN",IF(AND(E356="SETUJU_USULAN",F356&lt;&gt;""),"HAPUS_KOREKSI",IF(H356="","ISI_KOREKSI",IF(NOT(OR(H356="FLOOD",H356="EARTHQUAKE",H356="FIRE",H356="ACCIDENT",H356="NON_EVENT")),"CEK_LABEL",IF(AND(E356="KOREKSI",TRIM(G356)=""),"ISI_CATATAN","REVIEW_TERCATAT"))))))))</x:f>
        <x:v>REVIEW_TERCATAT</x:v>
      </x:c>
      <x:c r="J356" s="4" t="str">
        <x:v>Label dataset dan prediksi baseline sama; makna MVP belum direview. Kesepakatan keduanya belum membuktikan label final.</x:v>
      </x:c>
      <x:c r="K356" s="4" t="str">
        <x:v>NON_EVENT</x:v>
      </x:c>
      <x:c r="L356" s="14" t="n">
        <x:v>0.9886226058006287</x:v>
      </x:c>
    </x:row>
    <x:row r="357" ht="64" customHeight="1">
      <x:c r="A357" s="4" t="str">
        <x:v>KEC-01030</x:v>
      </x:c>
      <x:c r="B357" s="4" t="str">
        <x:v>pagi2 deh ada kecelakaan di kamu 37-38 arah cikunir</x:v>
      </x:c>
      <x:c r="C357" s="4" t="str">
        <x:v>ACCIDENT</x:v>
      </x:c>
      <x:c r="D357" s="4" t="str">
        <x:v>ACCIDENT</x:v>
      </x:c>
      <x:c r="E357" s="12" t="str">
        <x:v>SETUJU_USULAN</x:v>
      </x:c>
      <x:c r="F357" s="12" t="str"/>
      <x:c r="G357" s="12" t="str">
        <x:v>Narasi menyatakan kejadian kecelakaan yang terjadi atau telah terjadi. Label mengikuti isi kejadian, termasuk penanganan dan dampak yang disebut. R1,R4.</x:v>
      </x:c>
      <x:c r="H357" s="4" t="str">
        <x:f>IF(E357="SETUJU_USULAN",D357,IF(E357="KOREKSI",F357,""))</x:f>
        <x:v>ACCIDENT</x:v>
      </x:c>
      <x:c r="I357" s="4" t="str">
        <x:f>IF(E357="","BELUM_DIREVIEW",IF(E357="TUNDA","DITUNDA",IF(TRIM(Panduan!$B$5)="","ISI_REVIEWER",IF(AND(E357&lt;&gt;"SETUJU_USULAN",E357&lt;&gt;"KOREKSI"),"CEK_KEPUTUSAN",IF(AND(E357="SETUJU_USULAN",F357&lt;&gt;""),"HAPUS_KOREKSI",IF(H357="","ISI_KOREKSI",IF(NOT(OR(H357="FLOOD",H357="EARTHQUAKE",H357="FIRE",H357="ACCIDENT",H357="NON_EVENT")),"CEK_LABEL",IF(AND(E357="KOREKSI",TRIM(G357)=""),"ISI_CATATAN","REVIEW_TERCATAT"))))))))</x:f>
        <x:v>REVIEW_TERCATAT</x:v>
      </x:c>
      <x:c r="J357" s="4" t="str">
        <x:v>Label dataset dan prediksi baseline sama; makna MVP belum direview. Kesepakatan keduanya belum membuktikan label final.</x:v>
      </x:c>
      <x:c r="K357" s="4" t="str">
        <x:v>ACCIDENT</x:v>
      </x:c>
      <x:c r="L357" s="14" t="n">
        <x:v>0.9886534810066223</x:v>
      </x:c>
    </x:row>
    <x:row r="358" ht="64" customHeight="1">
      <x:c r="A358" s="4" t="str">
        <x:v>GEM-01586</x:v>
      </x:c>
      <x:c r="B358" s="4" t="str">
        <x:v>aceh pidie - memperingati 14 tahun gempa bumi dan tsunami yang terjadi di aceh tahun 2004 lalu pemda kabupaten aceh pidie menggelar acara dzikir dan doa bersama kegiatan yang di</x:v>
      </x:c>
      <x:c r="C358" s="4" t="str">
        <x:v>NON_EVENT</x:v>
      </x:c>
      <x:c r="D358" s="4" t="str">
        <x:v>NON_EVENT</x:v>
      </x:c>
      <x:c r="E358" s="12" t="str">
        <x:v>KOREKSI</x:v>
      </x:c>
      <x:c r="F358" s="12" t="str">
        <x:v>EARTHQUAKE</x:v>
      </x:c>
      <x:c r="G358" s="12" t="str">
        <x:v>Peringatan dan doa merujuk gempa serta tsunami Aceh tahun 2004. Kejadian historis tetap termasuk. R1,R5,R6.</x:v>
      </x:c>
      <x:c r="H358" s="4" t="str">
        <x:f>IF(E358="SETUJU_USULAN",D358,IF(E358="KOREKSI",F358,""))</x:f>
        <x:v>EARTHQUAKE</x:v>
      </x:c>
      <x:c r="I358" s="4" t="str">
        <x:f>IF(E358="","BELUM_DIREVIEW",IF(E358="TUNDA","DITUNDA",IF(TRIM(Panduan!$B$5)="","ISI_REVIEWER",IF(AND(E358&lt;&gt;"SETUJU_USULAN",E358&lt;&gt;"KOREKSI"),"CEK_KEPUTUSAN",IF(AND(E358="SETUJU_USULAN",F358&lt;&gt;""),"HAPUS_KOREKSI",IF(H358="","ISI_KOREKSI",IF(NOT(OR(H358="FLOOD",H358="EARTHQUAKE",H358="FIRE",H358="ACCIDENT",H358="NON_EVENT")),"CEK_LABEL",IF(AND(E358="KOREKSI",TRIM(G358)=""),"ISI_CATATAN","REVIEW_TERCATAT"))))))))</x:f>
        <x:v>REVIEW_TERCATAT</x:v>
      </x:c>
      <x:c r="J358" s="4" t="str">
        <x:v>Label dataset dan prediksi baseline sama; makna MVP belum direview. Kesepakatan keduanya belum membuktikan label final.</x:v>
      </x:c>
      <x:c r="K358" s="4" t="str">
        <x:v>NON_EVENT</x:v>
      </x:c>
      <x:c r="L358" s="14" t="n">
        <x:v>0.9886630177497864</x:v>
      </x:c>
    </x:row>
    <x:row r="359" ht="64" customHeight="1">
      <x:c r="A359" s="4" t="str">
        <x:v>GEM-01641</x:v>
      </x:c>
      <x:c r="B359" s="4" t="str">
        <x:v>kementerian pupr tlh menyelesaikan 190 dari total 699 unit hunian sementara untuk korban bencana gempa bumi di kota palu kabupaten sigi dan donggala sulawesi tengah</x:v>
      </x:c>
      <x:c r="C359" s="4" t="str">
        <x:v>NON_EVENT</x:v>
      </x:c>
      <x:c r="D359" s="4" t="str">
        <x:v>NON_EVENT</x:v>
      </x:c>
      <x:c r="E359" s="12" t="str">
        <x:v>KOREKSI</x:v>
      </x:c>
      <x:c r="F359" s="12" t="str">
        <x:v>EARTHQUAKE</x:v>
      </x:c>
      <x:c r="G359" s="12" t="str">
        <x:v>Penyelesaian hunian sementara merujuk korban gempa Palu, Sigi dan Donggala. R1,R5.</x:v>
      </x:c>
      <x:c r="H359" s="4" t="str">
        <x:f>IF(E359="SETUJU_USULAN",D359,IF(E359="KOREKSI",F359,""))</x:f>
        <x:v>EARTHQUAKE</x:v>
      </x:c>
      <x:c r="I359" s="4" t="str">
        <x:f>IF(E359="","BELUM_DIREVIEW",IF(E359="TUNDA","DITUNDA",IF(TRIM(Panduan!$B$5)="","ISI_REVIEWER",IF(AND(E359&lt;&gt;"SETUJU_USULAN",E359&lt;&gt;"KOREKSI"),"CEK_KEPUTUSAN",IF(AND(E359="SETUJU_USULAN",F359&lt;&gt;""),"HAPUS_KOREKSI",IF(H359="","ISI_KOREKSI",IF(NOT(OR(H359="FLOOD",H359="EARTHQUAKE",H359="FIRE",H359="ACCIDENT",H359="NON_EVENT")),"CEK_LABEL",IF(AND(E359="KOREKSI",TRIM(G359)=""),"ISI_CATATAN","REVIEW_TERCATAT"))))))))</x:f>
        <x:v>REVIEW_TERCATAT</x:v>
      </x:c>
      <x:c r="J359" s="4" t="str">
        <x:v>Label dataset dan prediksi baseline sama; makna MVP belum direview. Kesepakatan keduanya belum membuktikan label final.</x:v>
      </x:c>
      <x:c r="K359" s="4" t="str">
        <x:v>NON_EVENT</x:v>
      </x:c>
      <x:c r="L359" s="14" t="n">
        <x:v>0.9887265563011169</x:v>
      </x:c>
    </x:row>
    <x:row r="360" ht="66" customHeight="1">
      <x:c r="A360" s="4" t="str">
        <x:v>GEM-01369</x:v>
      </x:c>
      <x:c r="B360" s="4" t="str">
        <x:v>budikaryas : 1 kami memberikan penghormatan kepada almarhum anthonius gunawan agung petugas air traffic control ( atc ) yang gugur saat bertugas pada musibah gempa bumi di palu-donggala pada 28 september 2018 sebagai bentuk apresiasi pemerintah memakamkan almar</x:v>
      </x:c>
      <x:c r="C360" s="4" t="str">
        <x:v>NON_EVENT</x:v>
      </x:c>
      <x:c r="D360" s="4" t="str">
        <x:v>NON_EVENT</x:v>
      </x:c>
      <x:c r="E360" s="12" t="str">
        <x:v>KOREKSI</x:v>
      </x:c>
      <x:c r="F360" s="12" t="str">
        <x:v>EARTHQUAKE</x:v>
      </x:c>
      <x:c r="G360" s="12" t="str">
        <x:v>Penghormatan kepada petugas ATC merujuk korban yang gugur saat gempa Palu-Donggala pada 28 September 2018. R1,R5,R6.</x:v>
      </x:c>
      <x:c r="H360" s="4" t="str">
        <x:f>IF(E360="SETUJU_USULAN",D360,IF(E360="KOREKSI",F360,""))</x:f>
        <x:v>EARTHQUAKE</x:v>
      </x:c>
      <x:c r="I360" s="4" t="str">
        <x:f>IF(E360="","BELUM_DIREVIEW",IF(E360="TUNDA","DITUNDA",IF(TRIM(Panduan!$B$5)="","ISI_REVIEWER",IF(AND(E360&lt;&gt;"SETUJU_USULAN",E360&lt;&gt;"KOREKSI"),"CEK_KEPUTUSAN",IF(AND(E360="SETUJU_USULAN",F360&lt;&gt;""),"HAPUS_KOREKSI",IF(H360="","ISI_KOREKSI",IF(NOT(OR(H360="FLOOD",H360="EARTHQUAKE",H360="FIRE",H360="ACCIDENT",H360="NON_EVENT")),"CEK_LABEL",IF(AND(E360="KOREKSI",TRIM(G360)=""),"ISI_CATATAN","REVIEW_TERCATAT"))))))))</x:f>
        <x:v>REVIEW_TERCATAT</x:v>
      </x:c>
      <x:c r="J360" s="4" t="str">
        <x:v>Label dataset dan prediksi baseline sama; makna MVP belum direview. Kesepakatan keduanya belum membuktikan label final.</x:v>
      </x:c>
      <x:c r="K360" s="4" t="str">
        <x:v>NON_EVENT</x:v>
      </x:c>
      <x:c r="L360" s="14" t="n">
        <x:v>0.9887980818748474</x:v>
      </x:c>
    </x:row>
    <x:row r="361" ht="64" customHeight="1">
      <x:c r="A361" s="4" t="str">
        <x:v>BAN-01797</x:v>
      </x:c>
      <x:c r="B361" s="4" t="str">
        <x:v>kalteng atau kaltim cocok buat ibu kota negara lahan yang luas bebas gempa &amp; banjir &amp; garis pantai yang panjang dan yang penting terletak di tengah wilayah nkri</x:v>
      </x:c>
      <x:c r="C361" s="4" t="str">
        <x:v>NON_EVENT</x:v>
      </x:c>
      <x:c r="D361" s="4" t="str">
        <x:v>NON_EVENT</x:v>
      </x:c>
      <x:c r="E361" s="12" t="str">
        <x:v>SETUJU_USULAN</x:v>
      </x:c>
      <x:c r="F361" s="12" t="str"/>
      <x:c r="G361" s="12" t="str">
        <x:v>Teks menyatakan wilayah bebas gempa dan banjir untuk usulan ibu kota. Tidak mengklaim kejadian. R2,R3.</x:v>
      </x:c>
      <x:c r="H361" s="4" t="str">
        <x:f>IF(E361="SETUJU_USULAN",D361,IF(E361="KOREKSI",F361,""))</x:f>
        <x:v>NON_EVENT</x:v>
      </x:c>
      <x:c r="I361" s="4" t="str">
        <x:f>IF(E361="","BELUM_DIREVIEW",IF(E361="TUNDA","DITUNDA",IF(TRIM(Panduan!$B$5)="","ISI_REVIEWER",IF(AND(E361&lt;&gt;"SETUJU_USULAN",E361&lt;&gt;"KOREKSI"),"CEK_KEPUTUSAN",IF(AND(E361="SETUJU_USULAN",F361&lt;&gt;""),"HAPUS_KOREKSI",IF(H361="","ISI_KOREKSI",IF(NOT(OR(H361="FLOOD",H361="EARTHQUAKE",H361="FIRE",H361="ACCIDENT",H361="NON_EVENT")),"CEK_LABEL",IF(AND(E361="KOREKSI",TRIM(G361)=""),"ISI_CATATAN","REVIEW_TERCATAT"))))))))</x:f>
        <x:v>REVIEW_TERCATAT</x:v>
      </x:c>
      <x:c r="J361" s="4" t="str">
        <x:v>Label dataset dan prediksi baseline sama; makna MVP belum direview. Kesepakatan keduanya belum membuktikan label final.</x:v>
      </x:c>
      <x:c r="K361" s="4" t="str">
        <x:v>NON_EVENT</x:v>
      </x:c>
      <x:c r="L361" s="14" t="n">
        <x:v>0.988807201385498</x:v>
      </x:c>
    </x:row>
    <x:row r="362" ht="66" customHeight="1">
      <x:c r="A362" s="4" t="str">
        <x:v>BAN-01633</x:v>
      </x:c>
      <x:c r="B362" s="4" t="str">
        <x:v>sore sahabat malam tadi dirjen memberi arahan dan kepala bnpb kepada bppw papua untuk berkolaborasi bersama sipur tni membangun intake air minum di sumber air yang baru ditemukan oleh tim bnpb untuk dapat membantu menyalurkan air di daerah banjir di sentani</x:v>
      </x:c>
      <x:c r="C362" s="4" t="str">
        <x:v>NON_EVENT</x:v>
      </x:c>
      <x:c r="D362" s="4" t="str">
        <x:v>NON_EVENT</x:v>
      </x:c>
      <x:c r="E362" s="12" t="str">
        <x:v>KOREKSI</x:v>
      </x:c>
      <x:c r="F362" s="12" t="str">
        <x:v>FLOOD</x:v>
      </x:c>
      <x:c r="G362" s="12" t="str">
        <x:v>Pembangunan intake air minum ditujukan untuk membantu daerah banjir di Sentani. Konteks bantuan tetap memuat rujukan kejadian. R1,R5.</x:v>
      </x:c>
      <x:c r="H362" s="4" t="str">
        <x:f>IF(E362="SETUJU_USULAN",D362,IF(E362="KOREKSI",F362,""))</x:f>
        <x:v>FLOOD</x:v>
      </x:c>
      <x:c r="I362" s="4" t="str">
        <x:f>IF(E362="","BELUM_DIREVIEW",IF(E362="TUNDA","DITUNDA",IF(TRIM(Panduan!$B$5)="","ISI_REVIEWER",IF(AND(E362&lt;&gt;"SETUJU_USULAN",E362&lt;&gt;"KOREKSI"),"CEK_KEPUTUSAN",IF(AND(E362="SETUJU_USULAN",F362&lt;&gt;""),"HAPUS_KOREKSI",IF(H362="","ISI_KOREKSI",IF(NOT(OR(H362="FLOOD",H362="EARTHQUAKE",H362="FIRE",H362="ACCIDENT",H362="NON_EVENT")),"CEK_LABEL",IF(AND(E362="KOREKSI",TRIM(G362)=""),"ISI_CATATAN","REVIEW_TERCATAT"))))))))</x:f>
        <x:v>REVIEW_TERCATAT</x:v>
      </x:c>
      <x:c r="J362" s="4" t="str">
        <x:v>Label dataset dan prediksi baseline sama; makna MVP belum direview. Kesepakatan keduanya belum membuktikan label final.</x:v>
      </x:c>
      <x:c r="K362" s="4" t="str">
        <x:v>NON_EVENT</x:v>
      </x:c>
      <x:c r="L362" s="14" t="n">
        <x:v>0.9888962507247925</x:v>
      </x:c>
    </x:row>
    <x:row r="363" ht="64" customHeight="1">
      <x:c r="A363" s="4" t="str">
        <x:v>BAN-01513</x:v>
      </x:c>
      <x:c r="B363" s="4" t="str">
        <x:v>zayn malik ig-nya banyak foto selfie likenya jutaan dan banjir pujian gantenglah lucu lah keren lah gua ngepost foto selfie di ig langsung di bully `` laki kok selfie mulu '' hidup memang tergantung muka</x:v>
      </x:c>
      <x:c r="C363" s="4" t="str">
        <x:v>NON_EVENT</x:v>
      </x:c>
      <x:c r="D363" s="4" t="str">
        <x:v>NON_EVENT</x:v>
      </x:c>
      <x:c r="E363" s="12" t="str">
        <x:v>SETUJU_USULAN</x:v>
      </x:c>
      <x:c r="F363" s="12" t="str"/>
      <x:c r="G363" s="12" t="str">
        <x:v>Banjir pujian merupakan kiasan banyaknya pujian pada foto. R3.</x:v>
      </x:c>
      <x:c r="H363" s="4" t="str">
        <x:f>IF(E363="SETUJU_USULAN",D363,IF(E363="KOREKSI",F363,""))</x:f>
        <x:v>NON_EVENT</x:v>
      </x:c>
      <x:c r="I363" s="4" t="str">
        <x:f>IF(E363="","BELUM_DIREVIEW",IF(E363="TUNDA","DITUNDA",IF(TRIM(Panduan!$B$5)="","ISI_REVIEWER",IF(AND(E363&lt;&gt;"SETUJU_USULAN",E363&lt;&gt;"KOREKSI"),"CEK_KEPUTUSAN",IF(AND(E363="SETUJU_USULAN",F363&lt;&gt;""),"HAPUS_KOREKSI",IF(H363="","ISI_KOREKSI",IF(NOT(OR(H363="FLOOD",H363="EARTHQUAKE",H363="FIRE",H363="ACCIDENT",H363="NON_EVENT")),"CEK_LABEL",IF(AND(E363="KOREKSI",TRIM(G363)=""),"ISI_CATATAN","REVIEW_TERCATAT"))))))))</x:f>
        <x:v>REVIEW_TERCATAT</x:v>
      </x:c>
      <x:c r="J363" s="4" t="str">
        <x:v>Label dataset dan prediksi baseline sama; makna MVP belum direview. Kesepakatan keduanya belum membuktikan label final.</x:v>
      </x:c>
      <x:c r="K363" s="4" t="str">
        <x:v>NON_EVENT</x:v>
      </x:c>
      <x:c r="L363" s="14" t="n">
        <x:v>0.9889300465583801</x:v>
      </x:c>
    </x:row>
    <x:row r="364" ht="66" customHeight="1">
      <x:c r="A364" s="4" t="str">
        <x:v>KEB-00759</x:v>
      </x:c>
      <x:c r="B364" s="4" t="str">
        <x:v>lagi gotong royong buat mademin api kebakaran di kebun bambu itu gua langsung sembunyi di balik tiang listrik dan gua doa dalam hati gini semoga aja bukan karna petasan tadi yang di mainim dan di lempar ke kebun bambu " gua berdoa iti sambil hati yang deg deg an karna takut wkwk "</x:v>
      </x:c>
      <x:c r="C364" s="4" t="str">
        <x:v>NON_EVENT</x:v>
      </x:c>
      <x:c r="D364" s="4" t="str">
        <x:v>NON_EVENT</x:v>
      </x:c>
      <x:c r="E364" s="12" t="str">
        <x:v>KOREKSI</x:v>
      </x:c>
      <x:c r="F364" s="12" t="str">
        <x:v>FIRE</x:v>
      </x:c>
      <x:c r="G364" s="12" t="str">
        <x:v>Pelapor menceritakan pemadaman kebakaran kebun bambu. Keraguan apakah petasan menjadi penyebab tidak menyangkal kebakarannya. R1,R2,R4.</x:v>
      </x:c>
      <x:c r="H364" s="4" t="str">
        <x:f>IF(E364="SETUJU_USULAN",D364,IF(E364="KOREKSI",F364,""))</x:f>
        <x:v>FIRE</x:v>
      </x:c>
      <x:c r="I364" s="4" t="str">
        <x:f>IF(E364="","BELUM_DIREVIEW",IF(E364="TUNDA","DITUNDA",IF(TRIM(Panduan!$B$5)="","ISI_REVIEWER",IF(AND(E364&lt;&gt;"SETUJU_USULAN",E364&lt;&gt;"KOREKSI"),"CEK_KEPUTUSAN",IF(AND(E364="SETUJU_USULAN",F364&lt;&gt;""),"HAPUS_KOREKSI",IF(H364="","ISI_KOREKSI",IF(NOT(OR(H364="FLOOD",H364="EARTHQUAKE",H364="FIRE",H364="ACCIDENT",H364="NON_EVENT")),"CEK_LABEL",IF(AND(E364="KOREKSI",TRIM(G364)=""),"ISI_CATATAN","REVIEW_TERCATAT"))))))))</x:f>
        <x:v>REVIEW_TERCATAT</x:v>
      </x:c>
      <x:c r="J364" s="4" t="str">
        <x:v>Label dataset dan prediksi baseline sama; makna MVP belum direview. Kesepakatan keduanya belum membuktikan label final.</x:v>
      </x:c>
      <x:c r="K364" s="4" t="str">
        <x:v>NON_EVENT</x:v>
      </x:c>
      <x:c r="L364" s="14" t="n">
        <x:v>0.988934338092804</x:v>
      </x:c>
    </x:row>
    <x:row r="365" ht="64" customHeight="1">
      <x:c r="A365" s="4" t="str">
        <x:v>KEC-01424</x:v>
      </x:c>
      <x:c r="B365" s="4" t="str">
        <x:v>radio andika 603 kecelakaan sepeda motor di ngantru tulungagung dini hari tadi akp maga fidri isdiawan kapolsek ngantru tulungagung yang dikonfirmasi gatekeeper radio andika menyampaikan kecelakaan ini adalah</x:v>
      </x:c>
      <x:c r="C365" s="4" t="str">
        <x:v>ACCIDENT</x:v>
      </x:c>
      <x:c r="D365" s="4" t="str">
        <x:v>ACCIDENT</x:v>
      </x:c>
      <x:c r="E365" s="12" t="str">
        <x:v>SETUJU_USULAN</x:v>
      </x:c>
      <x:c r="F365" s="12" t="str"/>
      <x:c r="G365" s="12" t="str">
        <x:v>Narasi menyatakan kejadian kecelakaan yang terjadi atau telah terjadi. Label mengikuti isi kejadian, termasuk penanganan dan dampak yang disebut. R1,R4.</x:v>
      </x:c>
      <x:c r="H365" s="4" t="str">
        <x:f>IF(E365="SETUJU_USULAN",D365,IF(E365="KOREKSI",F365,""))</x:f>
        <x:v>ACCIDENT</x:v>
      </x:c>
      <x:c r="I365" s="4" t="str">
        <x:f>IF(E365="","BELUM_DIREVIEW",IF(E365="TUNDA","DITUNDA",IF(TRIM(Panduan!$B$5)="","ISI_REVIEWER",IF(AND(E365&lt;&gt;"SETUJU_USULAN",E365&lt;&gt;"KOREKSI"),"CEK_KEPUTUSAN",IF(AND(E365="SETUJU_USULAN",F365&lt;&gt;""),"HAPUS_KOREKSI",IF(H365="","ISI_KOREKSI",IF(NOT(OR(H365="FLOOD",H365="EARTHQUAKE",H365="FIRE",H365="ACCIDENT",H365="NON_EVENT")),"CEK_LABEL",IF(AND(E365="KOREKSI",TRIM(G365)=""),"ISI_CATATAN","REVIEW_TERCATAT"))))))))</x:f>
        <x:v>REVIEW_TERCATAT</x:v>
      </x:c>
      <x:c r="J365" s="4" t="str">
        <x:v>Label dataset dan prediksi baseline sama; makna MVP belum direview. Kesepakatan keduanya belum membuktikan label final.</x:v>
      </x:c>
      <x:c r="K365" s="4" t="str">
        <x:v>ACCIDENT</x:v>
      </x:c>
      <x:c r="L365" s="14" t="n">
        <x:v>0.9889723658561707</x:v>
      </x:c>
    </x:row>
    <x:row r="366" ht="64" customHeight="1">
      <x:c r="A366" s="4" t="str">
        <x:v>KEB-00454</x:v>
      </x:c>
      <x:c r="B366" s="4" t="str">
        <x:v>kebakaran toko sembako di jalan jatibunder rt.006/009 kelurahan kebin melati , kecamatan tanah abang , jakarta pusat , jumat dini hari ( 12/6 ) . . achmad syahroni , danton sektor 2 tanah abang mengatakan kita menerima</x:v>
      </x:c>
      <x:c r="C366" s="4" t="str">
        <x:v>FIRE</x:v>
      </x:c>
      <x:c r="D366" s="4" t="str">
        <x:v>FIRE</x:v>
      </x:c>
      <x:c r="E366" s="12" t="str">
        <x:v>SETUJU_USULAN</x:v>
      </x:c>
      <x:c r="F366" s="12" t="str"/>
      <x:c r="G366" s="12" t="str">
        <x:v>Narasi menyatakan kejadian kebakaran yang terjadi atau telah terjadi. Label mengikuti isi kejadian, termasuk penanganan dan dampak yang disebut. R1,R4.</x:v>
      </x:c>
      <x:c r="H366" s="4" t="str">
        <x:f>IF(E366="SETUJU_USULAN",D366,IF(E366="KOREKSI",F366,""))</x:f>
        <x:v>FIRE</x:v>
      </x:c>
      <x:c r="I366" s="4" t="str">
        <x:f>IF(E366="","BELUM_DIREVIEW",IF(E366="TUNDA","DITUNDA",IF(TRIM(Panduan!$B$5)="","ISI_REVIEWER",IF(AND(E366&lt;&gt;"SETUJU_USULAN",E366&lt;&gt;"KOREKSI"),"CEK_KEPUTUSAN",IF(AND(E366="SETUJU_USULAN",F366&lt;&gt;""),"HAPUS_KOREKSI",IF(H366="","ISI_KOREKSI",IF(NOT(OR(H366="FLOOD",H366="EARTHQUAKE",H366="FIRE",H366="ACCIDENT",H366="NON_EVENT")),"CEK_LABEL",IF(AND(E366="KOREKSI",TRIM(G366)=""),"ISI_CATATAN","REVIEW_TERCATAT"))))))))</x:f>
        <x:v>REVIEW_TERCATAT</x:v>
      </x:c>
      <x:c r="J366" s="4" t="str">
        <x:v>Label dataset dan prediksi baseline sama; makna MVP belum direview. Kesepakatan keduanya belum membuktikan label final.</x:v>
      </x:c>
      <x:c r="K366" s="4" t="str">
        <x:v>FIRE</x:v>
      </x:c>
      <x:c r="L366" s="14" t="n">
        <x:v>0.9890051484107971</x:v>
      </x:c>
    </x:row>
    <x:row r="367" ht="64" customHeight="1">
      <x:c r="A367" s="4" t="str">
        <x:v>KEB-00764</x:v>
      </x:c>
      <x:c r="B367" s="4" t="str">
        <x:v>kebakaran hebat melanda sebuah bangunan yang dijadikan usaha pabrik pengolahan udang impor milik pt sarana ayu semesta ( sas ) di jalan titi pahlawan kelurahan paya pasir kecamatan medan marelan , kamis ( 20/8/2020 ) malam .</x:v>
      </x:c>
      <x:c r="C367" s="4" t="str">
        <x:v>FIRE</x:v>
      </x:c>
      <x:c r="D367" s="4" t="str">
        <x:v>FIRE</x:v>
      </x:c>
      <x:c r="E367" s="12" t="str">
        <x:v>SETUJU_USULAN</x:v>
      </x:c>
      <x:c r="F367" s="12" t="str"/>
      <x:c r="G367" s="12" t="str">
        <x:v>Narasi menyatakan kejadian kebakaran yang terjadi atau telah terjadi. Label mengikuti isi kejadian, termasuk penanganan dan dampak yang disebut. R1,R4.</x:v>
      </x:c>
      <x:c r="H367" s="4" t="str">
        <x:f>IF(E367="SETUJU_USULAN",D367,IF(E367="KOREKSI",F367,""))</x:f>
        <x:v>FIRE</x:v>
      </x:c>
      <x:c r="I367" s="4" t="str">
        <x:f>IF(E367="","BELUM_DIREVIEW",IF(E367="TUNDA","DITUNDA",IF(TRIM(Panduan!$B$5)="","ISI_REVIEWER",IF(AND(E367&lt;&gt;"SETUJU_USULAN",E367&lt;&gt;"KOREKSI"),"CEK_KEPUTUSAN",IF(AND(E367="SETUJU_USULAN",F367&lt;&gt;""),"HAPUS_KOREKSI",IF(H367="","ISI_KOREKSI",IF(NOT(OR(H367="FLOOD",H367="EARTHQUAKE",H367="FIRE",H367="ACCIDENT",H367="NON_EVENT")),"CEK_LABEL",IF(AND(E367="KOREKSI",TRIM(G367)=""),"ISI_CATATAN","REVIEW_TERCATAT"))))))))</x:f>
        <x:v>REVIEW_TERCATAT</x:v>
      </x:c>
      <x:c r="J367" s="4" t="str">
        <x:v>Label dataset dan prediksi baseline sama; makna MVP belum direview. Kesepakatan keduanya belum membuktikan label final.</x:v>
      </x:c>
      <x:c r="K367" s="4" t="str">
        <x:v>FIRE</x:v>
      </x:c>
      <x:c r="L367" s="14" t="n">
        <x:v>0.9890194535255432</x:v>
      </x:c>
    </x:row>
    <x:row r="368" ht="64" customHeight="1">
      <x:c r="A368" s="4" t="str">
        <x:v>GEM-01394</x:v>
      </x:c>
      <x:c r="B368" s="4" t="str">
        <x:v>penanggulangan bencana gempa bumi tsunami dan likuifaksi membantu pembangunan sekolah dasar bagi anak-anak korban bencana alam yang terjadi di sulawesi tengah</x:v>
      </x:c>
      <x:c r="C368" s="4" t="str">
        <x:v>NON_EVENT</x:v>
      </x:c>
      <x:c r="D368" s="4" t="str">
        <x:v>NON_EVENT</x:v>
      </x:c>
      <x:c r="E368" s="12" t="str">
        <x:v>KOREKSI</x:v>
      </x:c>
      <x:c r="F368" s="12" t="str">
        <x:v>EARTHQUAKE</x:v>
      </x:c>
      <x:c r="G368" s="12" t="str">
        <x:v>Pembangunan sekolah ditujukan bagi anak korban gempa dan bencana terkait di Sulawesi Tengah. R1,R5.</x:v>
      </x:c>
      <x:c r="H368" s="4" t="str">
        <x:f>IF(E368="SETUJU_USULAN",D368,IF(E368="KOREKSI",F368,""))</x:f>
        <x:v>EARTHQUAKE</x:v>
      </x:c>
      <x:c r="I368" s="4" t="str">
        <x:f>IF(E368="","BELUM_DIREVIEW",IF(E368="TUNDA","DITUNDA",IF(TRIM(Panduan!$B$5)="","ISI_REVIEWER",IF(AND(E368&lt;&gt;"SETUJU_USULAN",E368&lt;&gt;"KOREKSI"),"CEK_KEPUTUSAN",IF(AND(E368="SETUJU_USULAN",F368&lt;&gt;""),"HAPUS_KOREKSI",IF(H368="","ISI_KOREKSI",IF(NOT(OR(H368="FLOOD",H368="EARTHQUAKE",H368="FIRE",H368="ACCIDENT",H368="NON_EVENT")),"CEK_LABEL",IF(AND(E368="KOREKSI",TRIM(G368)=""),"ISI_CATATAN","REVIEW_TERCATAT"))))))))</x:f>
        <x:v>REVIEW_TERCATAT</x:v>
      </x:c>
      <x:c r="J368" s="4" t="str">
        <x:v>Label dataset dan prediksi baseline sama; makna MVP belum direview. Kesepakatan keduanya belum membuktikan label final.</x:v>
      </x:c>
      <x:c r="K368" s="4" t="str">
        <x:v>NON_EVENT</x:v>
      </x:c>
      <x:c r="L368" s="14" t="n">
        <x:v>0.9890210032463074</x:v>
      </x:c>
    </x:row>
    <x:row r="369" ht="64" customHeight="1">
      <x:c r="A369" s="4" t="str">
        <x:v>KEB-00895</x:v>
      </x:c>
      <x:c r="B369" s="4" t="str">
        <x:v>satu unit truk ikut terbakar pada kebakaran gudang di margomulyo surabaya</x:v>
      </x:c>
      <x:c r="C369" s="4" t="str">
        <x:v>FIRE</x:v>
      </x:c>
      <x:c r="D369" s="4" t="str">
        <x:v>FIRE</x:v>
      </x:c>
      <x:c r="E369" s="12" t="str">
        <x:v>SETUJU_USULAN</x:v>
      </x:c>
      <x:c r="F369" s="12" t="str"/>
      <x:c r="G369" s="12" t="str">
        <x:v>Narasi menyatakan kejadian kebakaran yang terjadi atau telah terjadi. Label mengikuti isi kejadian, termasuk penanganan dan dampak yang disebut. R1,R4.</x:v>
      </x:c>
      <x:c r="H369" s="4" t="str">
        <x:f>IF(E369="SETUJU_USULAN",D369,IF(E369="KOREKSI",F369,""))</x:f>
        <x:v>FIRE</x:v>
      </x:c>
      <x:c r="I369" s="4" t="str">
        <x:f>IF(E369="","BELUM_DIREVIEW",IF(E369="TUNDA","DITUNDA",IF(TRIM(Panduan!$B$5)="","ISI_REVIEWER",IF(AND(E369&lt;&gt;"SETUJU_USULAN",E369&lt;&gt;"KOREKSI"),"CEK_KEPUTUSAN",IF(AND(E369="SETUJU_USULAN",F369&lt;&gt;""),"HAPUS_KOREKSI",IF(H369="","ISI_KOREKSI",IF(NOT(OR(H369="FLOOD",H369="EARTHQUAKE",H369="FIRE",H369="ACCIDENT",H369="NON_EVENT")),"CEK_LABEL",IF(AND(E369="KOREKSI",TRIM(G369)=""),"ISI_CATATAN","REVIEW_TERCATAT"))))))))</x:f>
        <x:v>REVIEW_TERCATAT</x:v>
      </x:c>
      <x:c r="J369" s="4" t="str">
        <x:v>Label dataset dan prediksi baseline sama; makna MVP belum direview. Kesepakatan keduanya belum membuktikan label final.</x:v>
      </x:c>
      <x:c r="K369" s="4" t="str">
        <x:v>FIRE</x:v>
      </x:c>
      <x:c r="L369" s="14" t="n">
        <x:v>0.9890304207801819</x:v>
      </x:c>
    </x:row>
    <x:row r="370" ht="66" customHeight="1">
      <x:c r="A370" s="4" t="str">
        <x:v>BAN-01775</x:v>
      </x:c>
      <x:c r="B370" s="4" t="str">
        <x:v>sahabat insya allah selama 30 hari di bulan ramadhan ini humanity food truck 20 akan terus berkeliling menyajikan ribuan porsi iftar gratis di daerah yang membutuhkan truk lainnya juga saat ini tengah berupaya membagikan ribuan makanan gratis untuk korban banjir di bengkulu</x:v>
      </x:c>
      <x:c r="C370" s="4" t="str">
        <x:v>NON_EVENT</x:v>
      </x:c>
      <x:c r="D370" s="4" t="str">
        <x:v>NON_EVENT</x:v>
      </x:c>
      <x:c r="E370" s="12" t="str">
        <x:v>KOREKSI</x:v>
      </x:c>
      <x:c r="F370" s="12" t="str">
        <x:v>FLOOD</x:v>
      </x:c>
      <x:c r="G370" s="12" t="str">
        <x:v>Pembagian makanan secara eksplisit ditujukan kepada korban banjir di Bengkulu. R1,R5.</x:v>
      </x:c>
      <x:c r="H370" s="4" t="str">
        <x:f>IF(E370="SETUJU_USULAN",D370,IF(E370="KOREKSI",F370,""))</x:f>
        <x:v>FLOOD</x:v>
      </x:c>
      <x:c r="I370" s="4" t="str">
        <x:f>IF(E370="","BELUM_DIREVIEW",IF(E370="TUNDA","DITUNDA",IF(TRIM(Panduan!$B$5)="","ISI_REVIEWER",IF(AND(E370&lt;&gt;"SETUJU_USULAN",E370&lt;&gt;"KOREKSI"),"CEK_KEPUTUSAN",IF(AND(E370="SETUJU_USULAN",F370&lt;&gt;""),"HAPUS_KOREKSI",IF(H370="","ISI_KOREKSI",IF(NOT(OR(H370="FLOOD",H370="EARTHQUAKE",H370="FIRE",H370="ACCIDENT",H370="NON_EVENT")),"CEK_LABEL",IF(AND(E370="KOREKSI",TRIM(G370)=""),"ISI_CATATAN","REVIEW_TERCATAT"))))))))</x:f>
        <x:v>REVIEW_TERCATAT</x:v>
      </x:c>
      <x:c r="J370" s="4" t="str">
        <x:v>Label dataset dan prediksi baseline sama; makna MVP belum direview. Kesepakatan keduanya belum membuktikan label final.</x:v>
      </x:c>
      <x:c r="K370" s="4" t="str">
        <x:v>NON_EVENT</x:v>
      </x:c>
      <x:c r="L370" s="14" t="n">
        <x:v>0.9890447854995728</x:v>
      </x:c>
    </x:row>
    <x:row r="371" ht="64" customHeight="1">
      <x:c r="A371" s="4" t="str">
        <x:v>KEB-00528</x:v>
      </x:c>
      <x:c r="B371" s="4" t="str">
        <x:v>seorang wanita lanjut usia bernama cinlan , 73 , meninggal dunia dalam sebuah kebakaran rumah yang terjadi di jalan kapten jumhana gang intan nomor 76c medan area , kota medan , sumut , pada sabtu ( 4/7 ) dini hari .</x:v>
      </x:c>
      <x:c r="C371" s="4" t="str">
        <x:v>FIRE</x:v>
      </x:c>
      <x:c r="D371" s="4" t="str">
        <x:v>FIRE</x:v>
      </x:c>
      <x:c r="E371" s="12" t="str">
        <x:v>SETUJU_USULAN</x:v>
      </x:c>
      <x:c r="F371" s="12" t="str"/>
      <x:c r="G371" s="12" t="str">
        <x:v>Narasi menyatakan kejadian kebakaran yang terjadi atau telah terjadi. Label mengikuti isi kejadian, termasuk penanganan dan dampak yang disebut. R1,R4.</x:v>
      </x:c>
      <x:c r="H371" s="4" t="str">
        <x:f>IF(E371="SETUJU_USULAN",D371,IF(E371="KOREKSI",F371,""))</x:f>
        <x:v>FIRE</x:v>
      </x:c>
      <x:c r="I371" s="4" t="str">
        <x:f>IF(E371="","BELUM_DIREVIEW",IF(E371="TUNDA","DITUNDA",IF(TRIM(Panduan!$B$5)="","ISI_REVIEWER",IF(AND(E371&lt;&gt;"SETUJU_USULAN",E371&lt;&gt;"KOREKSI"),"CEK_KEPUTUSAN",IF(AND(E371="SETUJU_USULAN",F371&lt;&gt;""),"HAPUS_KOREKSI",IF(H371="","ISI_KOREKSI",IF(NOT(OR(H371="FLOOD",H371="EARTHQUAKE",H371="FIRE",H371="ACCIDENT",H371="NON_EVENT")),"CEK_LABEL",IF(AND(E371="KOREKSI",TRIM(G371)=""),"ISI_CATATAN","REVIEW_TERCATAT"))))))))</x:f>
        <x:v>REVIEW_TERCATAT</x:v>
      </x:c>
      <x:c r="J371" s="4" t="str">
        <x:v>Label dataset dan prediksi baseline sama; makna MVP belum direview. Kesepakatan keduanya belum membuktikan label final.</x:v>
      </x:c>
      <x:c r="K371" s="4" t="str">
        <x:v>FIRE</x:v>
      </x:c>
      <x:c r="L371" s="14" t="n">
        <x:v>0.9891304969787598</x:v>
      </x:c>
    </x:row>
    <x:row r="372" ht="64" customHeight="1">
      <x:c r="A372" s="4" t="str">
        <x:v>KEB-00539</x:v>
      </x:c>
      <x:c r="B372" s="4" t="str">
        <x:v>video - kebakaran hanguskan delapan ruko di pasar bina usaha aceh barat , sejumlah warga pingsan</x:v>
      </x:c>
      <x:c r="C372" s="4" t="str">
        <x:v>FIRE</x:v>
      </x:c>
      <x:c r="D372" s="4" t="str">
        <x:v>FIRE</x:v>
      </x:c>
      <x:c r="E372" s="12" t="str">
        <x:v>SETUJU_USULAN</x:v>
      </x:c>
      <x:c r="F372" s="12" t="str"/>
      <x:c r="G372" s="12" t="str">
        <x:v>Narasi menyatakan kejadian kebakaran yang terjadi atau telah terjadi. Label mengikuti isi kejadian, termasuk penanganan dan dampak yang disebut. R1,R4.</x:v>
      </x:c>
      <x:c r="H372" s="4" t="str">
        <x:f>IF(E372="SETUJU_USULAN",D372,IF(E372="KOREKSI",F372,""))</x:f>
        <x:v>FIRE</x:v>
      </x:c>
      <x:c r="I372" s="4" t="str">
        <x:f>IF(E372="","BELUM_DIREVIEW",IF(E372="TUNDA","DITUNDA",IF(TRIM(Panduan!$B$5)="","ISI_REVIEWER",IF(AND(E372&lt;&gt;"SETUJU_USULAN",E372&lt;&gt;"KOREKSI"),"CEK_KEPUTUSAN",IF(AND(E372="SETUJU_USULAN",F372&lt;&gt;""),"HAPUS_KOREKSI",IF(H372="","ISI_KOREKSI",IF(NOT(OR(H372="FLOOD",H372="EARTHQUAKE",H372="FIRE",H372="ACCIDENT",H372="NON_EVENT")),"CEK_LABEL",IF(AND(E372="KOREKSI",TRIM(G372)=""),"ISI_CATATAN","REVIEW_TERCATAT"))))))))</x:f>
        <x:v>REVIEW_TERCATAT</x:v>
      </x:c>
      <x:c r="J372" s="4" t="str">
        <x:v>Label dataset dan prediksi baseline sama; makna MVP belum direview. Kesepakatan keduanya belum membuktikan label final.</x:v>
      </x:c>
      <x:c r="K372" s="4" t="str">
        <x:v>FIRE</x:v>
      </x:c>
      <x:c r="L372" s="14" t="n">
        <x:v>0.9891736507415771</x:v>
      </x:c>
    </x:row>
    <x:row r="373" ht="64" customHeight="1">
      <x:c r="A373" s="4" t="str">
        <x:v>KEB-00970</x:v>
      </x:c>
      <x:c r="B373" s="4" t="str">
        <x:v>kebakaran di bontang kuala diduga gara-gara arus pendek , sumber nya dari salah satu rumah makan - tribun kaltim</x:v>
      </x:c>
      <x:c r="C373" s="4" t="str">
        <x:v>FIRE</x:v>
      </x:c>
      <x:c r="D373" s="4" t="str">
        <x:v>FIRE</x:v>
      </x:c>
      <x:c r="E373" s="12" t="str">
        <x:v>SETUJU_USULAN</x:v>
      </x:c>
      <x:c r="F373" s="12" t="str"/>
      <x:c r="G373" s="12" t="str">
        <x:v>Narasi menyatakan kejadian kebakaran yang terjadi atau telah terjadi. Label mengikuti isi kejadian, termasuk penanganan dan dampak yang disebut. R1,R4.</x:v>
      </x:c>
      <x:c r="H373" s="4" t="str">
        <x:f>IF(E373="SETUJU_USULAN",D373,IF(E373="KOREKSI",F373,""))</x:f>
        <x:v>FIRE</x:v>
      </x:c>
      <x:c r="I373" s="4" t="str">
        <x:f>IF(E373="","BELUM_DIREVIEW",IF(E373="TUNDA","DITUNDA",IF(TRIM(Panduan!$B$5)="","ISI_REVIEWER",IF(AND(E373&lt;&gt;"SETUJU_USULAN",E373&lt;&gt;"KOREKSI"),"CEK_KEPUTUSAN",IF(AND(E373="SETUJU_USULAN",F373&lt;&gt;""),"HAPUS_KOREKSI",IF(H373="","ISI_KOREKSI",IF(NOT(OR(H373="FLOOD",H373="EARTHQUAKE",H373="FIRE",H373="ACCIDENT",H373="NON_EVENT")),"CEK_LABEL",IF(AND(E373="KOREKSI",TRIM(G373)=""),"ISI_CATATAN","REVIEW_TERCATAT"))))))))</x:f>
        <x:v>REVIEW_TERCATAT</x:v>
      </x:c>
      <x:c r="J373" s="4" t="str">
        <x:v>Label dataset dan prediksi baseline sama; makna MVP belum direview. Kesepakatan keduanya belum membuktikan label final.</x:v>
      </x:c>
      <x:c r="K373" s="4" t="str">
        <x:v>FIRE</x:v>
      </x:c>
      <x:c r="L373" s="14" t="n">
        <x:v>0.9891858100891113</x:v>
      </x:c>
    </x:row>
    <x:row r="374" ht="66" customHeight="1">
      <x:c r="A374" s="4" t="str">
        <x:v>KEB-00758</x:v>
      </x:c>
      <x:c r="B374" s="4" t="str">
        <x:v>ada yang kelupaan gua juga kaget ternyata yang mademin itu kebakaran bukan cuma tetangga ada juga 2 mobil pemadam kebakaran coy berarti ya luas banget anjirrr dan gua tau ada pemadam itu karena di ceritaim temen gua beberapa waktu lalu saat temen gua lagi ke bandung</x:v>
      </x:c>
      <x:c r="C374" s="4" t="str">
        <x:v>NON_EVENT</x:v>
      </x:c>
      <x:c r="D374" s="4" t="str">
        <x:v>NON_EVENT</x:v>
      </x:c>
      <x:c r="E374" s="12" t="str">
        <x:v>KOREKSI</x:v>
      </x:c>
      <x:c r="F374" s="12" t="str">
        <x:v>FIRE</x:v>
      </x:c>
      <x:c r="G374" s="12" t="str">
        <x:v>Cerita menyebut kebakaran pernah dipadamkan tetangga dan dua mobil pemadam. Tidak ada penanda bahwa kebakaran hanya simulasi atau kiasan. R1,R4,R6.</x:v>
      </x:c>
      <x:c r="H374" s="4" t="str">
        <x:f>IF(E374="SETUJU_USULAN",D374,IF(E374="KOREKSI",F374,""))</x:f>
        <x:v>FIRE</x:v>
      </x:c>
      <x:c r="I374" s="4" t="str">
        <x:f>IF(E374="","BELUM_DIREVIEW",IF(E374="TUNDA","DITUNDA",IF(TRIM(Panduan!$B$5)="","ISI_REVIEWER",IF(AND(E374&lt;&gt;"SETUJU_USULAN",E374&lt;&gt;"KOREKSI"),"CEK_KEPUTUSAN",IF(AND(E374="SETUJU_USULAN",F374&lt;&gt;""),"HAPUS_KOREKSI",IF(H374="","ISI_KOREKSI",IF(NOT(OR(H374="FLOOD",H374="EARTHQUAKE",H374="FIRE",H374="ACCIDENT",H374="NON_EVENT")),"CEK_LABEL",IF(AND(E374="KOREKSI",TRIM(G374)=""),"ISI_CATATAN","REVIEW_TERCATAT"))))))))</x:f>
        <x:v>REVIEW_TERCATAT</x:v>
      </x:c>
      <x:c r="J374" s="4" t="str">
        <x:v>Label dataset dan prediksi baseline sama; makna MVP belum direview. Kesepakatan keduanya belum membuktikan label final.</x:v>
      </x:c>
      <x:c r="K374" s="4" t="str">
        <x:v>NON_EVENT</x:v>
      </x:c>
      <x:c r="L374" s="14" t="n">
        <x:v>0.989213764667511</x:v>
      </x:c>
    </x:row>
    <x:row r="375" ht="64" customHeight="1">
      <x:c r="A375" s="4" t="str">
        <x:v>GEM-01324</x:v>
      </x:c>
      <x:c r="B375" s="4" t="str">
        <x:v>konser amal kemanusiaan olimpiade pecinta qur'an 2 assalaamu'alaikum ikhwahfillaah~ gempa bumi yang terjadi di lombok masih menyisakan kepedihan dan rasa pilu olimpiade pecinta</x:v>
      </x:c>
      <x:c r="C375" s="4" t="str">
        <x:v>NON_EVENT</x:v>
      </x:c>
      <x:c r="D375" s="4" t="str">
        <x:v>NON_EVENT</x:v>
      </x:c>
      <x:c r="E375" s="12" t="str">
        <x:v>KOREKSI</x:v>
      </x:c>
      <x:c r="F375" s="12" t="str">
        <x:v>EARTHQUAKE</x:v>
      </x:c>
      <x:c r="G375" s="12" t="str">
        <x:v>Konser amal merujuk gempa yang terjadi di Lombok dan kepedihan akibatnya. R1,R5.</x:v>
      </x:c>
      <x:c r="H375" s="4" t="str">
        <x:f>IF(E375="SETUJU_USULAN",D375,IF(E375="KOREKSI",F375,""))</x:f>
        <x:v>EARTHQUAKE</x:v>
      </x:c>
      <x:c r="I375" s="4" t="str">
        <x:f>IF(E375="","BELUM_DIREVIEW",IF(E375="TUNDA","DITUNDA",IF(TRIM(Panduan!$B$5)="","ISI_REVIEWER",IF(AND(E375&lt;&gt;"SETUJU_USULAN",E375&lt;&gt;"KOREKSI"),"CEK_KEPUTUSAN",IF(AND(E375="SETUJU_USULAN",F375&lt;&gt;""),"HAPUS_KOREKSI",IF(H375="","ISI_KOREKSI",IF(NOT(OR(H375="FLOOD",H375="EARTHQUAKE",H375="FIRE",H375="ACCIDENT",H375="NON_EVENT")),"CEK_LABEL",IF(AND(E375="KOREKSI",TRIM(G375)=""),"ISI_CATATAN","REVIEW_TERCATAT"))))))))</x:f>
        <x:v>REVIEW_TERCATAT</x:v>
      </x:c>
      <x:c r="J375" s="4" t="str">
        <x:v>Label dataset dan prediksi baseline sama; makna MVP belum direview. Kesepakatan keduanya belum membuktikan label final.</x:v>
      </x:c>
      <x:c r="K375" s="4" t="str">
        <x:v>NON_EVENT</x:v>
      </x:c>
      <x:c r="L375" s="14" t="n">
        <x:v>0.9892565608024597</x:v>
      </x:c>
    </x:row>
    <x:row r="376" ht="64" customHeight="1">
      <x:c r="A376" s="4" t="str">
        <x:v>KEC-01163</x:v>
      </x:c>
      <x:c r="B376" s="4" t="str">
        <x:v>dikira korban kecelakaan saat di perhatikan sepasang remaja ini melalukakan hal menjijikan berikut rekaman nya</x:v>
      </x:c>
      <x:c r="C376" s="4" t="str">
        <x:v>NON_EVENT</x:v>
      </x:c>
      <x:c r="D376" s="4" t="str">
        <x:v>NON_EVENT</x:v>
      </x:c>
      <x:c r="E376" s="12" t="str">
        <x:v>SETUJU_USULAN</x:v>
      </x:c>
      <x:c r="F376" s="12" t="str"/>
      <x:c r="G376" s="12" t="str">
        <x:v>Dugaan korban kecelakaan dikoreksi menjadi aktivitas lain. Tidak ada kecelakaan yang ditegaskan. R2.</x:v>
      </x:c>
      <x:c r="H376" s="4" t="str">
        <x:f>IF(E376="SETUJU_USULAN",D376,IF(E376="KOREKSI",F376,""))</x:f>
        <x:v>NON_EVENT</x:v>
      </x:c>
      <x:c r="I376" s="4" t="str">
        <x:f>IF(E376="","BELUM_DIREVIEW",IF(E376="TUNDA","DITUNDA",IF(TRIM(Panduan!$B$5)="","ISI_REVIEWER",IF(AND(E376&lt;&gt;"SETUJU_USULAN",E376&lt;&gt;"KOREKSI"),"CEK_KEPUTUSAN",IF(AND(E376="SETUJU_USULAN",F376&lt;&gt;""),"HAPUS_KOREKSI",IF(H376="","ISI_KOREKSI",IF(NOT(OR(H376="FLOOD",H376="EARTHQUAKE",H376="FIRE",H376="ACCIDENT",H376="NON_EVENT")),"CEK_LABEL",IF(AND(E376="KOREKSI",TRIM(G376)=""),"ISI_CATATAN","REVIEW_TERCATAT"))))))))</x:f>
        <x:v>REVIEW_TERCATAT</x:v>
      </x:c>
      <x:c r="J376" s="4" t="str">
        <x:v>Label dataset dan prediksi baseline sama; makna MVP belum direview. Kesepakatan keduanya belum membuktikan label final.</x:v>
      </x:c>
      <x:c r="K376" s="4" t="str">
        <x:v>NON_EVENT</x:v>
      </x:c>
      <x:c r="L376" s="14" t="n">
        <x:v>0.989264726638794</x:v>
      </x:c>
    </x:row>
    <x:row r="377" ht="64" customHeight="1">
      <x:c r="A377" s="4" t="str">
        <x:v>KEC-01469</x:v>
      </x:c>
      <x:c r="B377" s="4" t="str">
        <x:v>kemendikbud menyampaikan rasa duka yang mendalam kepada keluarga guru korban musibah kecelakaan kamu lestari maju di perairan kepulauan selayar semoga amal ibadahnya diterima oleh allah</x:v>
      </x:c>
      <x:c r="C377" s="4" t="str">
        <x:v>NON_EVENT</x:v>
      </x:c>
      <x:c r="D377" s="4" t="str">
        <x:v>NON_EVENT</x:v>
      </x:c>
      <x:c r="E377" s="12" t="str">
        <x:v>KOREKSI</x:v>
      </x:c>
      <x:c r="F377" s="12" t="str">
        <x:v>ACCIDENT</x:v>
      </x:c>
      <x:c r="G377" s="12" t="str">
        <x:v>Dukacita Kemendikbud merujuk guru korban kecelakaan Lestari Maju di perairan Selayar. R1,R4,R5.</x:v>
      </x:c>
      <x:c r="H377" s="4" t="str">
        <x:f>IF(E377="SETUJU_USULAN",D377,IF(E377="KOREKSI",F377,""))</x:f>
        <x:v>ACCIDENT</x:v>
      </x:c>
      <x:c r="I377" s="4" t="str">
        <x:f>IF(E377="","BELUM_DIREVIEW",IF(E377="TUNDA","DITUNDA",IF(TRIM(Panduan!$B$5)="","ISI_REVIEWER",IF(AND(E377&lt;&gt;"SETUJU_USULAN",E377&lt;&gt;"KOREKSI"),"CEK_KEPUTUSAN",IF(AND(E377="SETUJU_USULAN",F377&lt;&gt;""),"HAPUS_KOREKSI",IF(H377="","ISI_KOREKSI",IF(NOT(OR(H377="FLOOD",H377="EARTHQUAKE",H377="FIRE",H377="ACCIDENT",H377="NON_EVENT")),"CEK_LABEL",IF(AND(E377="KOREKSI",TRIM(G377)=""),"ISI_CATATAN","REVIEW_TERCATAT"))))))))</x:f>
        <x:v>REVIEW_TERCATAT</x:v>
      </x:c>
      <x:c r="J377" s="4" t="str">
        <x:v>Label dataset dan prediksi baseline sama; makna MVP belum direview. Kesepakatan keduanya belum membuktikan label final.</x:v>
      </x:c>
      <x:c r="K377" s="4" t="str">
        <x:v>NON_EVENT</x:v>
      </x:c>
      <x:c r="L377" s="14" t="n">
        <x:v>0.9892816543579102</x:v>
      </x:c>
    </x:row>
    <x:row r="378" ht="64" customHeight="1">
      <x:c r="A378" s="4" t="str">
        <x:v>KEC-00282</x:v>
      </x:c>
      <x:c r="B378" s="4" t="str">
        <x:v>terus kalo sinetron indonesia tiba-tiba ganti pemain begitu entar diceritain orangnya kecelakaan amnesia mukanya di operasi plastik jadi berubah waksss yang menggantikan ratu siapa dongs tiba-tiba berubah wajah begitu</x:v>
      </x:c>
      <x:c r="C378" s="4" t="str">
        <x:v>NON_EVENT</x:v>
      </x:c>
      <x:c r="D378" s="4" t="str">
        <x:v>NON_EVENT</x:v>
      </x:c>
      <x:c r="E378" s="12" t="str">
        <x:v>SETUJU_USULAN</x:v>
      </x:c>
      <x:c r="F378" s="12" t="str"/>
      <x:c r="G378" s="12" t="str">
        <x:v>Kecelakaan dijelaskan sebagai cara mengganti pemain dalam alur sinetron. R3.</x:v>
      </x:c>
      <x:c r="H378" s="4" t="str">
        <x:f>IF(E378="SETUJU_USULAN",D378,IF(E378="KOREKSI",F378,""))</x:f>
        <x:v>NON_EVENT</x:v>
      </x:c>
      <x:c r="I378" s="4" t="str">
        <x:f>IF(E378="","BELUM_DIREVIEW",IF(E378="TUNDA","DITUNDA",IF(TRIM(Panduan!$B$5)="","ISI_REVIEWER",IF(AND(E378&lt;&gt;"SETUJU_USULAN",E378&lt;&gt;"KOREKSI"),"CEK_KEPUTUSAN",IF(AND(E378="SETUJU_USULAN",F378&lt;&gt;""),"HAPUS_KOREKSI",IF(H378="","ISI_KOREKSI",IF(NOT(OR(H378="FLOOD",H378="EARTHQUAKE",H378="FIRE",H378="ACCIDENT",H378="NON_EVENT")),"CEK_LABEL",IF(AND(E378="KOREKSI",TRIM(G378)=""),"ISI_CATATAN","REVIEW_TERCATAT"))))))))</x:f>
        <x:v>REVIEW_TERCATAT</x:v>
      </x:c>
      <x:c r="J378" s="4" t="str">
        <x:v>Label dataset dan prediksi baseline sama; makna MVP belum direview. Kesepakatan keduanya belum membuktikan label final.</x:v>
      </x:c>
      <x:c r="K378" s="4" t="str">
        <x:v>NON_EVENT</x:v>
      </x:c>
      <x:c r="L378" s="14" t="n">
        <x:v>0.9893075823783875</x:v>
      </x:c>
    </x:row>
    <x:row r="379" ht="64" customHeight="1">
      <x:c r="A379" s="4" t="str">
        <x:v>GEM-01578</x:v>
      </x:c>
      <x:c r="B379" s="4" t="str">
        <x:v>syam organizer palu bersama sahabat syam indonesia menyalurkan bantuan huntara di kabupaten sigi bencana alam gempa bumi tsunami dan likuifaksi yang terjadi akhir september yang lalu melanda di sulawesi tengah</x:v>
      </x:c>
      <x:c r="C379" s="4" t="str">
        <x:v>NON_EVENT</x:v>
      </x:c>
      <x:c r="D379" s="4" t="str">
        <x:v>NON_EVENT</x:v>
      </x:c>
      <x:c r="E379" s="12" t="str">
        <x:v>KOREKSI</x:v>
      </x:c>
      <x:c r="F379" s="12" t="str">
        <x:v>EARTHQUAKE</x:v>
      </x:c>
      <x:c r="G379" s="12" t="str">
        <x:v>Penyaluran hunian sementara merujuk gempa Sulawesi Tengah akhir September yang lalu. R1,R5,R6.</x:v>
      </x:c>
      <x:c r="H379" s="4" t="str">
        <x:f>IF(E379="SETUJU_USULAN",D379,IF(E379="KOREKSI",F379,""))</x:f>
        <x:v>EARTHQUAKE</x:v>
      </x:c>
      <x:c r="I379" s="4" t="str">
        <x:f>IF(E379="","BELUM_DIREVIEW",IF(E379="TUNDA","DITUNDA",IF(TRIM(Panduan!$B$5)="","ISI_REVIEWER",IF(AND(E379&lt;&gt;"SETUJU_USULAN",E379&lt;&gt;"KOREKSI"),"CEK_KEPUTUSAN",IF(AND(E379="SETUJU_USULAN",F379&lt;&gt;""),"HAPUS_KOREKSI",IF(H379="","ISI_KOREKSI",IF(NOT(OR(H379="FLOOD",H379="EARTHQUAKE",H379="FIRE",H379="ACCIDENT",H379="NON_EVENT")),"CEK_LABEL",IF(AND(E379="KOREKSI",TRIM(G379)=""),"ISI_CATATAN","REVIEW_TERCATAT"))))))))</x:f>
        <x:v>REVIEW_TERCATAT</x:v>
      </x:c>
      <x:c r="J379" s="4" t="str">
        <x:v>Label dataset dan prediksi baseline sama; makna MVP belum direview. Kesepakatan keduanya belum membuktikan label final.</x:v>
      </x:c>
      <x:c r="K379" s="4" t="str">
        <x:v>NON_EVENT</x:v>
      </x:c>
      <x:c r="L379" s="14" t="n">
        <x:v>0.9893445372581482</x:v>
      </x:c>
    </x:row>
    <x:row r="380" ht="64" customHeight="1">
      <x:c r="A380" s="4" t="str">
        <x:v>GEM-01160</x:v>
      </x:c>
      <x:c r="B380" s="4" t="str">
        <x:v>- memberi makna apa makna terdalam bagi para relawan-relawan yang turun langsung ke daerah terdampak bencana gempa bumi tsunami dan likuifaksi di palu donggala dan</x:v>
      </x:c>
      <x:c r="C380" s="4" t="str">
        <x:v>NON_EVENT</x:v>
      </x:c>
      <x:c r="D380" s="4" t="str">
        <x:v>NON_EVENT</x:v>
      </x:c>
      <x:c r="E380" s="12" t="str">
        <x:v>KOREKSI</x:v>
      </x:c>
      <x:c r="F380" s="12" t="str">
        <x:v>EARTHQUAKE</x:v>
      </x:c>
      <x:c r="G380" s="12" t="str">
        <x:v>Refleksi relawan menyebut daerah terdampak gempa Palu-Donggala. Tujuan refleksi tetap merujuk kejadian konkret. R1,R5.</x:v>
      </x:c>
      <x:c r="H380" s="4" t="str">
        <x:f>IF(E380="SETUJU_USULAN",D380,IF(E380="KOREKSI",F380,""))</x:f>
        <x:v>EARTHQUAKE</x:v>
      </x:c>
      <x:c r="I380" s="4" t="str">
        <x:f>IF(E380="","BELUM_DIREVIEW",IF(E380="TUNDA","DITUNDA",IF(TRIM(Panduan!$B$5)="","ISI_REVIEWER",IF(AND(E380&lt;&gt;"SETUJU_USULAN",E380&lt;&gt;"KOREKSI"),"CEK_KEPUTUSAN",IF(AND(E380="SETUJU_USULAN",F380&lt;&gt;""),"HAPUS_KOREKSI",IF(H380="","ISI_KOREKSI",IF(NOT(OR(H380="FLOOD",H380="EARTHQUAKE",H380="FIRE",H380="ACCIDENT",H380="NON_EVENT")),"CEK_LABEL",IF(AND(E380="KOREKSI",TRIM(G380)=""),"ISI_CATATAN","REVIEW_TERCATAT"))))))))</x:f>
        <x:v>REVIEW_TERCATAT</x:v>
      </x:c>
      <x:c r="J380" s="4" t="str">
        <x:v>Label dataset dan prediksi baseline sama; makna MVP belum direview. Kesepakatan keduanya belum membuktikan label final.</x:v>
      </x:c>
      <x:c r="K380" s="4" t="str">
        <x:v>NON_EVENT</x:v>
      </x:c>
      <x:c r="L380" s="14" t="n">
        <x:v>0.9893479347229004</x:v>
      </x:c>
    </x:row>
    <x:row r="381" ht="64" customHeight="1">
      <x:c r="A381" s="4" t="str">
        <x:v>GEM-01151</x:v>
      </x:c>
      <x:c r="B381" s="4" t="str">
        <x:v>bantuan negara sahabat singapore air force untuk korban gempa bumi dan tsunami palu bergabung dengan satgasud tni au di lanud dhomber balikpapan</x:v>
      </x:c>
      <x:c r="C381" s="4" t="str">
        <x:v>NON_EVENT</x:v>
      </x:c>
      <x:c r="D381" s="4" t="str">
        <x:v>NON_EVENT</x:v>
      </x:c>
      <x:c r="E381" s="12" t="str">
        <x:v>KOREKSI</x:v>
      </x:c>
      <x:c r="F381" s="12" t="str">
        <x:v>EARTHQUAKE</x:v>
      </x:c>
      <x:c r="G381" s="12" t="str">
        <x:v>Bantuan negara sahabat ditujukan kepada korban gempa dan tsunami Palu. R1,R5.</x:v>
      </x:c>
      <x:c r="H381" s="4" t="str">
        <x:f>IF(E381="SETUJU_USULAN",D381,IF(E381="KOREKSI",F381,""))</x:f>
        <x:v>EARTHQUAKE</x:v>
      </x:c>
      <x:c r="I381" s="4" t="str">
        <x:f>IF(E381="","BELUM_DIREVIEW",IF(E381="TUNDA","DITUNDA",IF(TRIM(Panduan!$B$5)="","ISI_REVIEWER",IF(AND(E381&lt;&gt;"SETUJU_USULAN",E381&lt;&gt;"KOREKSI"),"CEK_KEPUTUSAN",IF(AND(E381="SETUJU_USULAN",F381&lt;&gt;""),"HAPUS_KOREKSI",IF(H381="","ISI_KOREKSI",IF(NOT(OR(H381="FLOOD",H381="EARTHQUAKE",H381="FIRE",H381="ACCIDENT",H381="NON_EVENT")),"CEK_LABEL",IF(AND(E381="KOREKSI",TRIM(G381)=""),"ISI_CATATAN","REVIEW_TERCATAT"))))))))</x:f>
        <x:v>REVIEW_TERCATAT</x:v>
      </x:c>
      <x:c r="J381" s="4" t="str">
        <x:v>Label dataset dan prediksi baseline sama; makna MVP belum direview. Kesepakatan keduanya belum membuktikan label final.</x:v>
      </x:c>
      <x:c r="K381" s="4" t="str">
        <x:v>NON_EVENT</x:v>
      </x:c>
      <x:c r="L381" s="14" t="n">
        <x:v>0.9893509745597839</x:v>
      </x:c>
    </x:row>
    <x:row r="382" ht="64" customHeight="1">
      <x:c r="A382" s="4" t="str">
        <x:v>BAN-01430</x:v>
      </x:c>
      <x:c r="B382" s="4" t="str">
        <x:v>penggundulan hutan membuat ribuan bencana di penjuru negeri seperti banjir tanah longsor dan kebakaran hutan dan lahan apa strategi kandidatmu atasi penggundulan hutan ? ayo tanyakan dengan sekali klik di !</x:v>
      </x:c>
      <x:c r="C382" s="4" t="str">
        <x:v>NON_EVENT</x:v>
      </x:c>
      <x:c r="D382" s="4" t="str">
        <x:v>NON_EVENT</x:v>
      </x:c>
      <x:c r="E382" s="12" t="str">
        <x:v>SETUJU_USULAN</x:v>
      </x:c>
      <x:c r="F382" s="12" t="str"/>
      <x:c r="G382" s="12" t="str">
        <x:v>Dampak penggundulan hutan disampaikan sebagai daftar bencana dan topik kebijakan umum. R3.</x:v>
      </x:c>
      <x:c r="H382" s="4" t="str">
        <x:f>IF(E382="SETUJU_USULAN",D382,IF(E382="KOREKSI",F382,""))</x:f>
        <x:v>NON_EVENT</x:v>
      </x:c>
      <x:c r="I382" s="4" t="str">
        <x:f>IF(E382="","BELUM_DIREVIEW",IF(E382="TUNDA","DITUNDA",IF(TRIM(Panduan!$B$5)="","ISI_REVIEWER",IF(AND(E382&lt;&gt;"SETUJU_USULAN",E382&lt;&gt;"KOREKSI"),"CEK_KEPUTUSAN",IF(AND(E382="SETUJU_USULAN",F382&lt;&gt;""),"HAPUS_KOREKSI",IF(H382="","ISI_KOREKSI",IF(NOT(OR(H382="FLOOD",H382="EARTHQUAKE",H382="FIRE",H382="ACCIDENT",H382="NON_EVENT")),"CEK_LABEL",IF(AND(E382="KOREKSI",TRIM(G382)=""),"ISI_CATATAN","REVIEW_TERCATAT"))))))))</x:f>
        <x:v>REVIEW_TERCATAT</x:v>
      </x:c>
      <x:c r="J382" s="4" t="str">
        <x:v>Label dataset dan prediksi baseline sama; makna MVP belum direview. Kesepakatan keduanya belum membuktikan label final.</x:v>
      </x:c>
      <x:c r="K382" s="4" t="str">
        <x:v>NON_EVENT</x:v>
      </x:c>
      <x:c r="L382" s="14" t="n">
        <x:v>0.9893753528594971</x:v>
      </x:c>
    </x:row>
    <x:row r="383" ht="64" customHeight="1">
      <x:c r="A383" s="4" t="str">
        <x:v>KEB-01077</x:v>
      </x:c>
      <x:c r="B383" s="4" t="str">
        <x:v>kebakaran di menteng atas , 23 rumah hangus dan 151 warga mengungsi : sebanyak 151 jiwa warga menteng atas , setiabudi , jakarta selatan , kehilangan tempat tinggal setelah 23 rumah mereka terbakar , sabtu dini hari .</x:v>
      </x:c>
      <x:c r="C383" s="4" t="str">
        <x:v>FIRE</x:v>
      </x:c>
      <x:c r="D383" s="4" t="str">
        <x:v>FIRE</x:v>
      </x:c>
      <x:c r="E383" s="12" t="str">
        <x:v>SETUJU_USULAN</x:v>
      </x:c>
      <x:c r="F383" s="12" t="str"/>
      <x:c r="G383" s="12" t="str">
        <x:v>Narasi menyatakan kejadian kebakaran yang terjadi atau telah terjadi. Label mengikuti isi kejadian, termasuk penanganan dan dampak yang disebut. R1,R4.</x:v>
      </x:c>
      <x:c r="H383" s="4" t="str">
        <x:f>IF(E383="SETUJU_USULAN",D383,IF(E383="KOREKSI",F383,""))</x:f>
        <x:v>FIRE</x:v>
      </x:c>
      <x:c r="I383" s="4" t="str">
        <x:f>IF(E383="","BELUM_DIREVIEW",IF(E383="TUNDA","DITUNDA",IF(TRIM(Panduan!$B$5)="","ISI_REVIEWER",IF(AND(E383&lt;&gt;"SETUJU_USULAN",E383&lt;&gt;"KOREKSI"),"CEK_KEPUTUSAN",IF(AND(E383="SETUJU_USULAN",F383&lt;&gt;""),"HAPUS_KOREKSI",IF(H383="","ISI_KOREKSI",IF(NOT(OR(H383="FLOOD",H383="EARTHQUAKE",H383="FIRE",H383="ACCIDENT",H383="NON_EVENT")),"CEK_LABEL",IF(AND(E383="KOREKSI",TRIM(G383)=""),"ISI_CATATAN","REVIEW_TERCATAT"))))))))</x:f>
        <x:v>REVIEW_TERCATAT</x:v>
      </x:c>
      <x:c r="J383" s="4" t="str">
        <x:v>Label dataset dan prediksi baseline sama; makna MVP belum direview. Kesepakatan keduanya belum membuktikan label final.</x:v>
      </x:c>
      <x:c r="K383" s="4" t="str">
        <x:v>FIRE</x:v>
      </x:c>
      <x:c r="L383" s="14" t="n">
        <x:v>0.9893938302993774</x:v>
      </x:c>
    </x:row>
    <x:row r="384" ht="64" customHeight="1">
      <x:c r="A384" s="4" t="str">
        <x:v>KEB-00967</x:v>
      </x:c>
      <x:c r="B384" s="4" t="str">
        <x:v>kebakaran sumur minyak pertamina ep di provinsi jambi</x:v>
      </x:c>
      <x:c r="C384" s="4" t="str">
        <x:v>FIRE</x:v>
      </x:c>
      <x:c r="D384" s="4" t="str">
        <x:v>FIRE</x:v>
      </x:c>
      <x:c r="E384" s="12" t="str">
        <x:v>SETUJU_USULAN</x:v>
      </x:c>
      <x:c r="F384" s="12" t="str"/>
      <x:c r="G384" s="12" t="str">
        <x:v>Narasi menyatakan kejadian kebakaran yang terjadi atau telah terjadi. Label mengikuti isi kejadian, termasuk penanganan dan dampak yang disebut. R1,R4.</x:v>
      </x:c>
      <x:c r="H384" s="4" t="str">
        <x:f>IF(E384="SETUJU_USULAN",D384,IF(E384="KOREKSI",F384,""))</x:f>
        <x:v>FIRE</x:v>
      </x:c>
      <x:c r="I384" s="4" t="str">
        <x:f>IF(E384="","BELUM_DIREVIEW",IF(E384="TUNDA","DITUNDA",IF(TRIM(Panduan!$B$5)="","ISI_REVIEWER",IF(AND(E384&lt;&gt;"SETUJU_USULAN",E384&lt;&gt;"KOREKSI"),"CEK_KEPUTUSAN",IF(AND(E384="SETUJU_USULAN",F384&lt;&gt;""),"HAPUS_KOREKSI",IF(H384="","ISI_KOREKSI",IF(NOT(OR(H384="FLOOD",H384="EARTHQUAKE",H384="FIRE",H384="ACCIDENT",H384="NON_EVENT")),"CEK_LABEL",IF(AND(E384="KOREKSI",TRIM(G384)=""),"ISI_CATATAN","REVIEW_TERCATAT"))))))))</x:f>
        <x:v>REVIEW_TERCATAT</x:v>
      </x:c>
      <x:c r="J384" s="4" t="str">
        <x:v>Label dataset dan prediksi baseline sama; makna MVP belum direview. Kesepakatan keduanya belum membuktikan label final.</x:v>
      </x:c>
      <x:c r="K384" s="4" t="str">
        <x:v>FIRE</x:v>
      </x:c>
      <x:c r="L384" s="14" t="n">
        <x:v>0.9894123673439026</x:v>
      </x:c>
    </x:row>
    <x:row r="385" ht="64" customHeight="1">
      <x:c r="A385" s="4" t="str">
        <x:v>KEC-01191</x:v>
      </x:c>
      <x:c r="B385" s="4" t="str">
        <x:v>640 : kecelakaan di tol japek kamu 22/600 cikampek arah jakarta pagi tadi saat ini sudah selesai penanganan petugas di tkp kendaraan sudah bersih kepadatan hanya imbasnya saja</x:v>
      </x:c>
      <x:c r="C385" s="4" t="str">
        <x:v>ACCIDENT</x:v>
      </x:c>
      <x:c r="D385" s="4" t="str">
        <x:v>ACCIDENT</x:v>
      </x:c>
      <x:c r="E385" s="12" t="str">
        <x:v>SETUJU_USULAN</x:v>
      </x:c>
      <x:c r="F385" s="12" t="str"/>
      <x:c r="G385" s="12" t="str">
        <x:v>Narasi menyatakan kejadian kecelakaan yang terjadi atau telah terjadi. Label mengikuti isi kejadian, termasuk penanganan dan dampak yang disebut. R1,R4.</x:v>
      </x:c>
      <x:c r="H385" s="4" t="str">
        <x:f>IF(E385="SETUJU_USULAN",D385,IF(E385="KOREKSI",F385,""))</x:f>
        <x:v>ACCIDENT</x:v>
      </x:c>
      <x:c r="I385" s="4" t="str">
        <x:f>IF(E385="","BELUM_DIREVIEW",IF(E385="TUNDA","DITUNDA",IF(TRIM(Panduan!$B$5)="","ISI_REVIEWER",IF(AND(E385&lt;&gt;"SETUJU_USULAN",E385&lt;&gt;"KOREKSI"),"CEK_KEPUTUSAN",IF(AND(E385="SETUJU_USULAN",F385&lt;&gt;""),"HAPUS_KOREKSI",IF(H385="","ISI_KOREKSI",IF(NOT(OR(H385="FLOOD",H385="EARTHQUAKE",H385="FIRE",H385="ACCIDENT",H385="NON_EVENT")),"CEK_LABEL",IF(AND(E385="KOREKSI",TRIM(G385)=""),"ISI_CATATAN","REVIEW_TERCATAT"))))))))</x:f>
        <x:v>REVIEW_TERCATAT</x:v>
      </x:c>
      <x:c r="J385" s="4" t="str">
        <x:v>Label dataset dan prediksi baseline sama; makna MVP belum direview. Kesepakatan keduanya belum membuktikan label final.</x:v>
      </x:c>
      <x:c r="K385" s="4" t="str">
        <x:v>ACCIDENT</x:v>
      </x:c>
      <x:c r="L385" s="14" t="n">
        <x:v>0.989486575126648</x:v>
      </x:c>
    </x:row>
    <x:row r="386" ht="66" customHeight="1">
      <x:c r="A386" s="4" t="str">
        <x:v>GEM-01107</x:v>
      </x:c>
      <x:c r="B386" s="4" t="str">
        <x:v>3 ini merupakan bagian dari tindak lanjut terhadap inpres no 5 tahun 2018 tentang percepatan rehabilitasi dan rekonstruksi pascabencana gempa bumi di ntb dimana kemensos memiliki tugas melaksanakan rehabilitasi sosial dan perlindungan sosial `` kata</x:v>
      </x:c>
      <x:c r="C386" s="4" t="str">
        <x:v>NON_EVENT</x:v>
      </x:c>
      <x:c r="D386" s="4" t="str">
        <x:v>NON_EVENT</x:v>
      </x:c>
      <x:c r="E386" s="12" t="str">
        <x:v>KOREKSI</x:v>
      </x:c>
      <x:c r="F386" s="12" t="str">
        <x:v>EARTHQUAKE</x:v>
      </x:c>
      <x:c r="G386" s="12" t="str">
        <x:v>Tindak lanjut rehabilitasi dan rekonstruksi secara eksplisit merujuk pascagempa di NTB. R1,R5,R6.</x:v>
      </x:c>
      <x:c r="H386" s="4" t="str">
        <x:f>IF(E386="SETUJU_USULAN",D386,IF(E386="KOREKSI",F386,""))</x:f>
        <x:v>EARTHQUAKE</x:v>
      </x:c>
      <x:c r="I386" s="4" t="str">
        <x:f>IF(E386="","BELUM_DIREVIEW",IF(E386="TUNDA","DITUNDA",IF(TRIM(Panduan!$B$5)="","ISI_REVIEWER",IF(AND(E386&lt;&gt;"SETUJU_USULAN",E386&lt;&gt;"KOREKSI"),"CEK_KEPUTUSAN",IF(AND(E386="SETUJU_USULAN",F386&lt;&gt;""),"HAPUS_KOREKSI",IF(H386="","ISI_KOREKSI",IF(NOT(OR(H386="FLOOD",H386="EARTHQUAKE",H386="FIRE",H386="ACCIDENT",H386="NON_EVENT")),"CEK_LABEL",IF(AND(E386="KOREKSI",TRIM(G386)=""),"ISI_CATATAN","REVIEW_TERCATAT"))))))))</x:f>
        <x:v>REVIEW_TERCATAT</x:v>
      </x:c>
      <x:c r="J386" s="4" t="str">
        <x:v>Label dataset dan prediksi baseline sama; makna MVP belum direview. Kesepakatan keduanya belum membuktikan label final.</x:v>
      </x:c>
      <x:c r="K386" s="4" t="str">
        <x:v>NON_EVENT</x:v>
      </x:c>
      <x:c r="L386" s="14" t="n">
        <x:v>0.9894912242889404</x:v>
      </x:c>
    </x:row>
    <x:row r="387" ht="66" customHeight="1">
      <x:c r="A387" s="4" t="str">
        <x:v>GEM-01470</x:v>
      </x:c>
      <x:c r="B387" s="4" t="str">
        <x:v>watsons indonesia memberikan bantuan sumbangan berupa 120000 paket tisu basah untuk keperluan sanitasi karena sulitnya akses air bersih bagi para korban bencana gempa bumi dan tsunami di palu donggala dan sigi pada oktober 2018</x:v>
      </x:c>
      <x:c r="C387" s="4" t="str">
        <x:v>NON_EVENT</x:v>
      </x:c>
      <x:c r="D387" s="4" t="str">
        <x:v>NON_EVENT</x:v>
      </x:c>
      <x:c r="E387" s="12" t="str">
        <x:v>KOREKSI</x:v>
      </x:c>
      <x:c r="F387" s="12" t="str">
        <x:v>EARTHQUAKE</x:v>
      </x:c>
      <x:c r="G387" s="12" t="str">
        <x:v>Bantuan sanitasi merujuk korban gempa Palu, Donggala dan Sigi pada Oktober 2018. R1,R5,R6.</x:v>
      </x:c>
      <x:c r="H387" s="4" t="str">
        <x:f>IF(E387="SETUJU_USULAN",D387,IF(E387="KOREKSI",F387,""))</x:f>
        <x:v>EARTHQUAKE</x:v>
      </x:c>
      <x:c r="I387" s="4" t="str">
        <x:f>IF(E387="","BELUM_DIREVIEW",IF(E387="TUNDA","DITUNDA",IF(TRIM(Panduan!$B$5)="","ISI_REVIEWER",IF(AND(E387&lt;&gt;"SETUJU_USULAN",E387&lt;&gt;"KOREKSI"),"CEK_KEPUTUSAN",IF(AND(E387="SETUJU_USULAN",F387&lt;&gt;""),"HAPUS_KOREKSI",IF(H387="","ISI_KOREKSI",IF(NOT(OR(H387="FLOOD",H387="EARTHQUAKE",H387="FIRE",H387="ACCIDENT",H387="NON_EVENT")),"CEK_LABEL",IF(AND(E387="KOREKSI",TRIM(G387)=""),"ISI_CATATAN","REVIEW_TERCATAT"))))))))</x:f>
        <x:v>REVIEW_TERCATAT</x:v>
      </x:c>
      <x:c r="J387" s="4" t="str">
        <x:v>Label dataset dan prediksi baseline sama; makna MVP belum direview. Kesepakatan keduanya belum membuktikan label final.</x:v>
      </x:c>
      <x:c r="K387" s="4" t="str">
        <x:v>NON_EVENT</x:v>
      </x:c>
      <x:c r="L387" s="14" t="n">
        <x:v>0.989538848400116</x:v>
      </x:c>
    </x:row>
    <x:row r="388" ht="64" customHeight="1">
      <x:c r="A388" s="4" t="str">
        <x:v>KEC-00352</x:v>
      </x:c>
      <x:c r="B388" s="4" t="str">
        <x:v>radio andika 629 pak puguh septianto telah terjadi kecelakaan lalu lintas di jalur malang blitar tepatnya di</x:v>
      </x:c>
      <x:c r="C388" s="4" t="str">
        <x:v>ACCIDENT</x:v>
      </x:c>
      <x:c r="D388" s="4" t="str">
        <x:v>ACCIDENT</x:v>
      </x:c>
      <x:c r="E388" s="12" t="str">
        <x:v>SETUJU_USULAN</x:v>
      </x:c>
      <x:c r="F388" s="12" t="str"/>
      <x:c r="G388" s="12" t="str">
        <x:v>Narasi menyatakan kejadian kecelakaan yang terjadi atau telah terjadi. Label mengikuti isi kejadian, termasuk penanganan dan dampak yang disebut. R1,R4.</x:v>
      </x:c>
      <x:c r="H388" s="4" t="str">
        <x:f>IF(E388="SETUJU_USULAN",D388,IF(E388="KOREKSI",F388,""))</x:f>
        <x:v>ACCIDENT</x:v>
      </x:c>
      <x:c r="I388" s="4" t="str">
        <x:f>IF(E388="","BELUM_DIREVIEW",IF(E388="TUNDA","DITUNDA",IF(TRIM(Panduan!$B$5)="","ISI_REVIEWER",IF(AND(E388&lt;&gt;"SETUJU_USULAN",E388&lt;&gt;"KOREKSI"),"CEK_KEPUTUSAN",IF(AND(E388="SETUJU_USULAN",F388&lt;&gt;""),"HAPUS_KOREKSI",IF(H388="","ISI_KOREKSI",IF(NOT(OR(H388="FLOOD",H388="EARTHQUAKE",H388="FIRE",H388="ACCIDENT",H388="NON_EVENT")),"CEK_LABEL",IF(AND(E388="KOREKSI",TRIM(G388)=""),"ISI_CATATAN","REVIEW_TERCATAT"))))))))</x:f>
        <x:v>REVIEW_TERCATAT</x:v>
      </x:c>
      <x:c r="J388" s="4" t="str">
        <x:v>Label dataset dan prediksi baseline sama; makna MVP belum direview. Kesepakatan keduanya belum membuktikan label final.</x:v>
      </x:c>
      <x:c r="K388" s="4" t="str">
        <x:v>ACCIDENT</x:v>
      </x:c>
      <x:c r="L388" s="14" t="n">
        <x:v>0.9895504117012024</x:v>
      </x:c>
    </x:row>
    <x:row r="389" ht="64" customHeight="1">
      <x:c r="A389" s="4" t="str">
        <x:v>KEB-00375</x:v>
      </x:c>
      <x:c r="B389" s="4" t="str">
        <x:v>kebakaran rumah kosong di daerah kupang jaya ( ngesong ) surabaya , sudah ada petugas pmk kota surabaya dan api sudah dipadamkan .</x:v>
      </x:c>
      <x:c r="C389" s="4" t="str">
        <x:v>FIRE</x:v>
      </x:c>
      <x:c r="D389" s="4" t="str">
        <x:v>FIRE</x:v>
      </x:c>
      <x:c r="E389" s="12" t="str">
        <x:v>SETUJU_USULAN</x:v>
      </x:c>
      <x:c r="F389" s="12" t="str"/>
      <x:c r="G389" s="12" t="str">
        <x:v>Narasi menyatakan kejadian kebakaran yang terjadi atau telah terjadi. Label mengikuti isi kejadian, termasuk penanganan dan dampak yang disebut. R1,R4.</x:v>
      </x:c>
      <x:c r="H389" s="4" t="str">
        <x:f>IF(E389="SETUJU_USULAN",D389,IF(E389="KOREKSI",F389,""))</x:f>
        <x:v>FIRE</x:v>
      </x:c>
      <x:c r="I389" s="4" t="str">
        <x:f>IF(E389="","BELUM_DIREVIEW",IF(E389="TUNDA","DITUNDA",IF(TRIM(Panduan!$B$5)="","ISI_REVIEWER",IF(AND(E389&lt;&gt;"SETUJU_USULAN",E389&lt;&gt;"KOREKSI"),"CEK_KEPUTUSAN",IF(AND(E389="SETUJU_USULAN",F389&lt;&gt;""),"HAPUS_KOREKSI",IF(H389="","ISI_KOREKSI",IF(NOT(OR(H389="FLOOD",H389="EARTHQUAKE",H389="FIRE",H389="ACCIDENT",H389="NON_EVENT")),"CEK_LABEL",IF(AND(E389="KOREKSI",TRIM(G389)=""),"ISI_CATATAN","REVIEW_TERCATAT"))))))))</x:f>
        <x:v>REVIEW_TERCATAT</x:v>
      </x:c>
      <x:c r="J389" s="4" t="str">
        <x:v>Label dataset dan prediksi baseline sama; makna MVP belum direview. Kesepakatan keduanya belum membuktikan label final.</x:v>
      </x:c>
      <x:c r="K389" s="4" t="str">
        <x:v>FIRE</x:v>
      </x:c>
      <x:c r="L389" s="14" t="n">
        <x:v>0.9895550012588501</x:v>
      </x:c>
    </x:row>
    <x:row r="390" ht="64" customHeight="1">
      <x:c r="A390" s="4" t="str">
        <x:v>BAN-01492</x:v>
      </x:c>
      <x:c r="B390" s="4" t="str">
        <x:v>alhamdulillah congratz bandung khususnya dan jabar umumnya oh ya untuk penanganan banjir bandung selatan pemerintah juga membangun embung di gedebage lho</x:v>
      </x:c>
      <x:c r="C390" s="4" t="str">
        <x:v>NON_EVENT</x:v>
      </x:c>
      <x:c r="D390" s="4" t="str">
        <x:v>NON_EVENT</x:v>
      </x:c>
      <x:c r="E390" s="12" t="str">
        <x:v>SETUJU_USULAN</x:v>
      </x:c>
      <x:c r="F390" s="12" t="str"/>
      <x:c r="G390" s="12" t="str">
        <x:v>Embung dibahas sebagai proyek penanganan umum. Tidak ada episode banjir tertentu yang dinyatakan. R3.</x:v>
      </x:c>
      <x:c r="H390" s="4" t="str">
        <x:f>IF(E390="SETUJU_USULAN",D390,IF(E390="KOREKSI",F390,""))</x:f>
        <x:v>NON_EVENT</x:v>
      </x:c>
      <x:c r="I390" s="4" t="str">
        <x:f>IF(E390="","BELUM_DIREVIEW",IF(E390="TUNDA","DITUNDA",IF(TRIM(Panduan!$B$5)="","ISI_REVIEWER",IF(AND(E390&lt;&gt;"SETUJU_USULAN",E390&lt;&gt;"KOREKSI"),"CEK_KEPUTUSAN",IF(AND(E390="SETUJU_USULAN",F390&lt;&gt;""),"HAPUS_KOREKSI",IF(H390="","ISI_KOREKSI",IF(NOT(OR(H390="FLOOD",H390="EARTHQUAKE",H390="FIRE",H390="ACCIDENT",H390="NON_EVENT")),"CEK_LABEL",IF(AND(E390="KOREKSI",TRIM(G390)=""),"ISI_CATATAN","REVIEW_TERCATAT"))))))))</x:f>
        <x:v>REVIEW_TERCATAT</x:v>
      </x:c>
      <x:c r="J390" s="4" t="str">
        <x:v>Label dataset dan prediksi baseline sama; makna MVP belum direview. Kesepakatan keduanya belum membuktikan label final.</x:v>
      </x:c>
      <x:c r="K390" s="4" t="str">
        <x:v>NON_EVENT</x:v>
      </x:c>
      <x:c r="L390" s="14" t="n">
        <x:v>0.9895812273025513</x:v>
      </x:c>
    </x:row>
    <x:row r="391" ht="66" customHeight="1">
      <x:c r="A391" s="4" t="str">
        <x:v>KEB-00906</x:v>
      </x:c>
      <x:c r="B391" s="4" t="str">
        <x:v>[ tiga gudang logistik di surabaya terbakar ] selasa , 22 sept 2020 pukul 17.54 wib , command center 112 menerima berita bahwa terjadi kebakaran dengan objek gudang di jl . margomulyo surabaya . petugas yang tiba di lokasi kejadian</x:v>
      </x:c>
      <x:c r="C391" s="4" t="str">
        <x:v>FIRE</x:v>
      </x:c>
      <x:c r="D391" s="4" t="str">
        <x:v>FIRE</x:v>
      </x:c>
      <x:c r="E391" s="12" t="str">
        <x:v>SETUJU_USULAN</x:v>
      </x:c>
      <x:c r="F391" s="12" t="str"/>
      <x:c r="G391" s="12" t="str">
        <x:v>Narasi menyatakan kejadian kebakaran yang terjadi atau telah terjadi. Label mengikuti isi kejadian, termasuk penanganan dan dampak yang disebut. R1,R4.</x:v>
      </x:c>
      <x:c r="H391" s="4" t="str">
        <x:f>IF(E391="SETUJU_USULAN",D391,IF(E391="KOREKSI",F391,""))</x:f>
        <x:v>FIRE</x:v>
      </x:c>
      <x:c r="I391" s="4" t="str">
        <x:f>IF(E391="","BELUM_DIREVIEW",IF(E391="TUNDA","DITUNDA",IF(TRIM(Panduan!$B$5)="","ISI_REVIEWER",IF(AND(E391&lt;&gt;"SETUJU_USULAN",E391&lt;&gt;"KOREKSI"),"CEK_KEPUTUSAN",IF(AND(E391="SETUJU_USULAN",F391&lt;&gt;""),"HAPUS_KOREKSI",IF(H391="","ISI_KOREKSI",IF(NOT(OR(H391="FLOOD",H391="EARTHQUAKE",H391="FIRE",H391="ACCIDENT",H391="NON_EVENT")),"CEK_LABEL",IF(AND(E391="KOREKSI",TRIM(G391)=""),"ISI_CATATAN","REVIEW_TERCATAT"))))))))</x:f>
        <x:v>REVIEW_TERCATAT</x:v>
      </x:c>
      <x:c r="J391" s="4" t="str">
        <x:v>Label dataset dan prediksi baseline sama; makna MVP belum direview. Kesepakatan keduanya belum membuktikan label final.</x:v>
      </x:c>
      <x:c r="K391" s="4" t="str">
        <x:v>FIRE</x:v>
      </x:c>
      <x:c r="L391" s="14" t="n">
        <x:v>0.989581823348999</x:v>
      </x:c>
    </x:row>
    <x:row r="392" ht="64" customHeight="1">
      <x:c r="A392" s="4" t="str">
        <x:v>GEM-01288</x:v>
      </x:c>
      <x:c r="B392" s="4" t="str">
        <x:v>bendera malaysia berkibar di sulawesi tengah indonesia balaroa ialah kawasan yang terjejas teruk akibat berlakunya gempa bumi dan pergerakkan dasar tanah yang telah mengorbankan ratusan penduduk di sini</x:v>
      </x:c>
      <x:c r="C392" s="4" t="str">
        <x:v>NON_EVENT</x:v>
      </x:c>
      <x:c r="D392" s="4" t="str">
        <x:v>NON_EVENT</x:v>
      </x:c>
      <x:c r="E392" s="12" t="str">
        <x:v>KOREKSI</x:v>
      </x:c>
      <x:c r="F392" s="12" t="str">
        <x:v>EARTHQUAKE</x:v>
      </x:c>
      <x:c r="G392" s="12" t="str">
        <x:v>Balaroa dinyatakan terjejas akibat gempa dan pergerakan tanah dengan korban meninggal. R1,R5.</x:v>
      </x:c>
      <x:c r="H392" s="4" t="str">
        <x:f>IF(E392="SETUJU_USULAN",D392,IF(E392="KOREKSI",F392,""))</x:f>
        <x:v>EARTHQUAKE</x:v>
      </x:c>
      <x:c r="I392" s="4" t="str">
        <x:f>IF(E392="","BELUM_DIREVIEW",IF(E392="TUNDA","DITUNDA",IF(TRIM(Panduan!$B$5)="","ISI_REVIEWER",IF(AND(E392&lt;&gt;"SETUJU_USULAN",E392&lt;&gt;"KOREKSI"),"CEK_KEPUTUSAN",IF(AND(E392="SETUJU_USULAN",F392&lt;&gt;""),"HAPUS_KOREKSI",IF(H392="","ISI_KOREKSI",IF(NOT(OR(H392="FLOOD",H392="EARTHQUAKE",H392="FIRE",H392="ACCIDENT",H392="NON_EVENT")),"CEK_LABEL",IF(AND(E392="KOREKSI",TRIM(G392)=""),"ISI_CATATAN","REVIEW_TERCATAT"))))))))</x:f>
        <x:v>REVIEW_TERCATAT</x:v>
      </x:c>
      <x:c r="J392" s="4" t="str">
        <x:v>Label dataset dan prediksi baseline sama; makna MVP belum direview. Kesepakatan keduanya belum membuktikan label final.</x:v>
      </x:c>
      <x:c r="K392" s="4" t="str">
        <x:v>NON_EVENT</x:v>
      </x:c>
      <x:c r="L392" s="14" t="n">
        <x:v>0.9895843863487244</x:v>
      </x:c>
    </x:row>
    <x:row r="393" ht="66" customHeight="1">
      <x:c r="A393" s="4" t="str">
        <x:v>BAN-01992</x:v>
      </x:c>
      <x:c r="B393" s="4" t="str">
        <x:v>menguak janji manis anis bagai bak angin surga untuk warga nelayan tolak reklamasi bang ruhut buka bukaan waktu kmpnye mencerocos bak banjir di musim hujantp sekarang ngeles sana -sni mana yang kamus suci sakti lo nis keberpihakan ''</x:v>
      </x:c>
      <x:c r="C393" s="4" t="str">
        <x:v>NON_EVENT</x:v>
      </x:c>
      <x:c r="D393" s="4" t="str">
        <x:v>NON_EVENT</x:v>
      </x:c>
      <x:c r="E393" s="12" t="str">
        <x:v>SETUJU_USULAN</x:v>
      </x:c>
      <x:c r="F393" s="12" t="str"/>
      <x:c r="G393" s="12" t="str">
        <x:v>Mencerocos bak banjir adalah perbandingan banyaknya perkataan, bukan banjir literal. R3.</x:v>
      </x:c>
      <x:c r="H393" s="4" t="str">
        <x:f>IF(E393="SETUJU_USULAN",D393,IF(E393="KOREKSI",F393,""))</x:f>
        <x:v>NON_EVENT</x:v>
      </x:c>
      <x:c r="I393" s="4" t="str">
        <x:f>IF(E393="","BELUM_DIREVIEW",IF(E393="TUNDA","DITUNDA",IF(TRIM(Panduan!$B$5)="","ISI_REVIEWER",IF(AND(E393&lt;&gt;"SETUJU_USULAN",E393&lt;&gt;"KOREKSI"),"CEK_KEPUTUSAN",IF(AND(E393="SETUJU_USULAN",F393&lt;&gt;""),"HAPUS_KOREKSI",IF(H393="","ISI_KOREKSI",IF(NOT(OR(H393="FLOOD",H393="EARTHQUAKE",H393="FIRE",H393="ACCIDENT",H393="NON_EVENT")),"CEK_LABEL",IF(AND(E393="KOREKSI",TRIM(G393)=""),"ISI_CATATAN","REVIEW_TERCATAT"))))))))</x:f>
        <x:v>REVIEW_TERCATAT</x:v>
      </x:c>
      <x:c r="J393" s="4" t="str">
        <x:v>Label dataset dan prediksi baseline sama; makna MVP belum direview. Kesepakatan keduanya belum membuktikan label final.</x:v>
      </x:c>
      <x:c r="K393" s="4" t="str">
        <x:v>NON_EVENT</x:v>
      </x:c>
      <x:c r="L393" s="14" t="n">
        <x:v>0.9896009564399719</x:v>
      </x:c>
    </x:row>
    <x:row r="394" ht="64" customHeight="1">
      <x:c r="A394" s="4" t="str">
        <x:v>GEM-01180</x:v>
      </x:c>
      <x:c r="B394" s="4" t="str">
        <x:v>duka sulteng adalah duka kita foto : bu dokter stephanie saat mengunjungi para pengungsi korban gempa bumi dan tsunami di sulawesi tengah</x:v>
      </x:c>
      <x:c r="C394" s="4" t="str">
        <x:v>NON_EVENT</x:v>
      </x:c>
      <x:c r="D394" s="4" t="str">
        <x:v>NON_EVENT</x:v>
      </x:c>
      <x:c r="E394" s="12" t="str">
        <x:v>KOREKSI</x:v>
      </x:c>
      <x:c r="F394" s="12" t="str">
        <x:v>EARTHQUAKE</x:v>
      </x:c>
      <x:c r="G394" s="12" t="str">
        <x:v>Teks foto menyebut kunjungan dokter kepada pengungsi korban gempa Sulawesi Tengah. Penilaian mengikuti klaim teks. R1,R5.</x:v>
      </x:c>
      <x:c r="H394" s="4" t="str">
        <x:f>IF(E394="SETUJU_USULAN",D394,IF(E394="KOREKSI",F394,""))</x:f>
        <x:v>EARTHQUAKE</x:v>
      </x:c>
      <x:c r="I394" s="4" t="str">
        <x:f>IF(E394="","BELUM_DIREVIEW",IF(E394="TUNDA","DITUNDA",IF(TRIM(Panduan!$B$5)="","ISI_REVIEWER",IF(AND(E394&lt;&gt;"SETUJU_USULAN",E394&lt;&gt;"KOREKSI"),"CEK_KEPUTUSAN",IF(AND(E394="SETUJU_USULAN",F394&lt;&gt;""),"HAPUS_KOREKSI",IF(H394="","ISI_KOREKSI",IF(NOT(OR(H394="FLOOD",H394="EARTHQUAKE",H394="FIRE",H394="ACCIDENT",H394="NON_EVENT")),"CEK_LABEL",IF(AND(E394="KOREKSI",TRIM(G394)=""),"ISI_CATATAN","REVIEW_TERCATAT"))))))))</x:f>
        <x:v>REVIEW_TERCATAT</x:v>
      </x:c>
      <x:c r="J394" s="4" t="str">
        <x:v>Label dataset dan prediksi baseline sama; makna MVP belum direview. Kesepakatan keduanya belum membuktikan label final.</x:v>
      </x:c>
      <x:c r="K394" s="4" t="str">
        <x:v>NON_EVENT</x:v>
      </x:c>
      <x:c r="L394" s="14" t="n">
        <x:v>0.9896075129508972</x:v>
      </x:c>
    </x:row>
    <x:row r="395" ht="64" customHeight="1">
      <x:c r="A395" s="4" t="str">
        <x:v>KEB-00993</x:v>
      </x:c>
      <x:c r="B395" s="4" t="str">
        <x:v># bangunan semi permanen membuat kebakaran di kuala cepat meluas kuala pembuang kebakaran yang terjadi di kuala pembuang iii , kabupaten seruyan , selasa 20 okt . . .</x:v>
      </x:c>
      <x:c r="C395" s="4" t="str">
        <x:v>FIRE</x:v>
      </x:c>
      <x:c r="D395" s="4" t="str">
        <x:v>FIRE</x:v>
      </x:c>
      <x:c r="E395" s="12" t="str">
        <x:v>SETUJU_USULAN</x:v>
      </x:c>
      <x:c r="F395" s="12" t="str"/>
      <x:c r="G395" s="12" t="str">
        <x:v>Narasi menyatakan kejadian kebakaran yang terjadi atau telah terjadi. Label mengikuti isi kejadian, termasuk penanganan dan dampak yang disebut. R1,R4.</x:v>
      </x:c>
      <x:c r="H395" s="4" t="str">
        <x:f>IF(E395="SETUJU_USULAN",D395,IF(E395="KOREKSI",F395,""))</x:f>
        <x:v>FIRE</x:v>
      </x:c>
      <x:c r="I395" s="4" t="str">
        <x:f>IF(E395="","BELUM_DIREVIEW",IF(E395="TUNDA","DITUNDA",IF(TRIM(Panduan!$B$5)="","ISI_REVIEWER",IF(AND(E395&lt;&gt;"SETUJU_USULAN",E395&lt;&gt;"KOREKSI"),"CEK_KEPUTUSAN",IF(AND(E395="SETUJU_USULAN",F395&lt;&gt;""),"HAPUS_KOREKSI",IF(H395="","ISI_KOREKSI",IF(NOT(OR(H395="FLOOD",H395="EARTHQUAKE",H395="FIRE",H395="ACCIDENT",H395="NON_EVENT")),"CEK_LABEL",IF(AND(E395="KOREKSI",TRIM(G395)=""),"ISI_CATATAN","REVIEW_TERCATAT"))))))))</x:f>
        <x:v>REVIEW_TERCATAT</x:v>
      </x:c>
      <x:c r="J395" s="4" t="str">
        <x:v>Label dataset dan prediksi baseline sama; makna MVP belum direview. Kesepakatan keduanya belum membuktikan label final.</x:v>
      </x:c>
      <x:c r="K395" s="4" t="str">
        <x:v>FIRE</x:v>
      </x:c>
      <x:c r="L395" s="14" t="n">
        <x:v>0.9896259903907776</x:v>
      </x:c>
    </x:row>
    <x:row r="396" ht="64" customHeight="1">
      <x:c r="A396" s="4" t="str">
        <x:v>KEB-00666</x:v>
      </x:c>
      <x:c r="B396" s="4" t="str">
        <x:v>kebakaran di gunung kemendur balikpapan , 2 petugas damkar dilarikan ke rs kebaka</x:v>
      </x:c>
      <x:c r="C396" s="4" t="str">
        <x:v>FIRE</x:v>
      </x:c>
      <x:c r="D396" s="4" t="str">
        <x:v>FIRE</x:v>
      </x:c>
      <x:c r="E396" s="12" t="str">
        <x:v>SETUJU_USULAN</x:v>
      </x:c>
      <x:c r="F396" s="12" t="str"/>
      <x:c r="G396" s="12" t="str">
        <x:v>Narasi menyatakan kejadian kebakaran yang terjadi atau telah terjadi. Label mengikuti isi kejadian, termasuk penanganan dan dampak yang disebut. R1,R4.</x:v>
      </x:c>
      <x:c r="H396" s="4" t="str">
        <x:f>IF(E396="SETUJU_USULAN",D396,IF(E396="KOREKSI",F396,""))</x:f>
        <x:v>FIRE</x:v>
      </x:c>
      <x:c r="I396" s="4" t="str">
        <x:f>IF(E396="","BELUM_DIREVIEW",IF(E396="TUNDA","DITUNDA",IF(TRIM(Panduan!$B$5)="","ISI_REVIEWER",IF(AND(E396&lt;&gt;"SETUJU_USULAN",E396&lt;&gt;"KOREKSI"),"CEK_KEPUTUSAN",IF(AND(E396="SETUJU_USULAN",F396&lt;&gt;""),"HAPUS_KOREKSI",IF(H396="","ISI_KOREKSI",IF(NOT(OR(H396="FLOOD",H396="EARTHQUAKE",H396="FIRE",H396="ACCIDENT",H396="NON_EVENT")),"CEK_LABEL",IF(AND(E396="KOREKSI",TRIM(G396)=""),"ISI_CATATAN","REVIEW_TERCATAT"))))))))</x:f>
        <x:v>REVIEW_TERCATAT</x:v>
      </x:c>
      <x:c r="J396" s="4" t="str">
        <x:v>Label dataset dan prediksi baseline sama; makna MVP belum direview. Kesepakatan keduanya belum membuktikan label final.</x:v>
      </x:c>
      <x:c r="K396" s="4" t="str">
        <x:v>FIRE</x:v>
      </x:c>
      <x:c r="L396" s="14" t="n">
        <x:v>0.9896281957626343</x:v>
      </x:c>
    </x:row>
    <x:row r="397" ht="64" customHeight="1">
      <x:c r="A397" s="4" t="str">
        <x:v>GEM-01410</x:v>
      </x:c>
      <x:c r="B397" s="4" t="str">
        <x:v>[ video ] cemas ! saksikan detik berlakunya gempa bumi di anchorage alaska lihat di mana mereka ini berlindung</x:v>
      </x:c>
      <x:c r="C397" s="4" t="str">
        <x:v>NON_EVENT</x:v>
      </x:c>
      <x:c r="D397" s="4" t="str">
        <x:v>NON_EVENT</x:v>
      </x:c>
      <x:c r="E397" s="12" t="str">
        <x:v>KOREKSI</x:v>
      </x:c>
      <x:c r="F397" s="12" t="str">
        <x:v>EARTHQUAKE</x:v>
      </x:c>
      <x:c r="G397" s="12" t="str">
        <x:v>Judul video secara eksplisit menyebut berlakunya gempa di Anchorage, Alaska. Klaim teks dinilai tanpa menyimpulkan isi video. R1,R4,R5.</x:v>
      </x:c>
      <x:c r="H397" s="4" t="str">
        <x:f>IF(E397="SETUJU_USULAN",D397,IF(E397="KOREKSI",F397,""))</x:f>
        <x:v>EARTHQUAKE</x:v>
      </x:c>
      <x:c r="I397" s="4" t="str">
        <x:f>IF(E397="","BELUM_DIREVIEW",IF(E397="TUNDA","DITUNDA",IF(TRIM(Panduan!$B$5)="","ISI_REVIEWER",IF(AND(E397&lt;&gt;"SETUJU_USULAN",E397&lt;&gt;"KOREKSI"),"CEK_KEPUTUSAN",IF(AND(E397="SETUJU_USULAN",F397&lt;&gt;""),"HAPUS_KOREKSI",IF(H397="","ISI_KOREKSI",IF(NOT(OR(H397="FLOOD",H397="EARTHQUAKE",H397="FIRE",H397="ACCIDENT",H397="NON_EVENT")),"CEK_LABEL",IF(AND(E397="KOREKSI",TRIM(G397)=""),"ISI_CATATAN","REVIEW_TERCATAT"))))))))</x:f>
        <x:v>REVIEW_TERCATAT</x:v>
      </x:c>
      <x:c r="J397" s="4" t="str">
        <x:v>Label dataset dan prediksi baseline sama; makna MVP belum direview. Kesepakatan keduanya belum membuktikan label final.</x:v>
      </x:c>
      <x:c r="K397" s="4" t="str">
        <x:v>NON_EVENT</x:v>
      </x:c>
      <x:c r="L397" s="14" t="n">
        <x:v>0.9896370768547058</x:v>
      </x:c>
    </x:row>
    <x:row r="398" ht="64" customHeight="1">
      <x:c r="A398" s="4" t="str">
        <x:v>KEB-00298</x:v>
      </x:c>
      <x:c r="B398" s="4" t="str">
        <x:v>rumah di gunung sahari jakpus terbakar , 18 unit damkar dikerahkan kebakaran rumah terjadi di gunung sahari utara , jakarta pusat . sebanyak 18 unit pemadam kebakaran dikerahkan ke lokasi .</x:v>
      </x:c>
      <x:c r="C398" s="4" t="str">
        <x:v>FIRE</x:v>
      </x:c>
      <x:c r="D398" s="4" t="str">
        <x:v>FIRE</x:v>
      </x:c>
      <x:c r="E398" s="12" t="str">
        <x:v>SETUJU_USULAN</x:v>
      </x:c>
      <x:c r="F398" s="12" t="str"/>
      <x:c r="G398" s="12" t="str">
        <x:v>Narasi menyatakan kejadian kebakaran yang terjadi atau telah terjadi. Label mengikuti isi kejadian, termasuk penanganan dan dampak yang disebut. R1,R4.</x:v>
      </x:c>
      <x:c r="H398" s="4" t="str">
        <x:f>IF(E398="SETUJU_USULAN",D398,IF(E398="KOREKSI",F398,""))</x:f>
        <x:v>FIRE</x:v>
      </x:c>
      <x:c r="I398" s="4" t="str">
        <x:f>IF(E398="","BELUM_DIREVIEW",IF(E398="TUNDA","DITUNDA",IF(TRIM(Panduan!$B$5)="","ISI_REVIEWER",IF(AND(E398&lt;&gt;"SETUJU_USULAN",E398&lt;&gt;"KOREKSI"),"CEK_KEPUTUSAN",IF(AND(E398="SETUJU_USULAN",F398&lt;&gt;""),"HAPUS_KOREKSI",IF(H398="","ISI_KOREKSI",IF(NOT(OR(H398="FLOOD",H398="EARTHQUAKE",H398="FIRE",H398="ACCIDENT",H398="NON_EVENT")),"CEK_LABEL",IF(AND(E398="KOREKSI",TRIM(G398)=""),"ISI_CATATAN","REVIEW_TERCATAT"))))))))</x:f>
        <x:v>REVIEW_TERCATAT</x:v>
      </x:c>
      <x:c r="J398" s="4" t="str">
        <x:v>Label dataset dan prediksi baseline sama; makna MVP belum direview. Kesepakatan keduanya belum membuktikan label final.</x:v>
      </x:c>
      <x:c r="K398" s="4" t="str">
        <x:v>FIRE</x:v>
      </x:c>
      <x:c r="L398" s="14" t="n">
        <x:v>0.9896529316902161</x:v>
      </x:c>
    </x:row>
    <x:row r="399" ht="66" customHeight="1">
      <x:c r="A399" s="4" t="str">
        <x:v>GEM-01396</x:v>
      </x:c>
      <x:c r="B399" s="4" t="str">
        <x:v>sobat geologiseperti yang telah kita ketahui wilayah indonesia rawan terhadap bencana geologi ( longsor gempa bumi tsunami &amp; gunungapi ) mengingat wilayah geografis indonesia yang terletak di antara pergerakan 3 lempeng tektonik dunia dan dikenal sebagai pacific ring of fire</x:v>
      </x:c>
      <x:c r="C399" s="4" t="str">
        <x:v>NON_EVENT</x:v>
      </x:c>
      <x:c r="D399" s="4" t="str">
        <x:v>NON_EVENT</x:v>
      </x:c>
      <x:c r="E399" s="12" t="str">
        <x:v>SETUJU_USULAN</x:v>
      </x:c>
      <x:c r="F399" s="12" t="str"/>
      <x:c r="G399" s="12" t="str">
        <x:v>Narasi menjelaskan kerawanan geologi Indonesia dan posisi lempeng, tanpa kejadian tertentu. R3.</x:v>
      </x:c>
      <x:c r="H399" s="4" t="str">
        <x:f>IF(E399="SETUJU_USULAN",D399,IF(E399="KOREKSI",F399,""))</x:f>
        <x:v>NON_EVENT</x:v>
      </x:c>
      <x:c r="I399" s="4" t="str">
        <x:f>IF(E399="","BELUM_DIREVIEW",IF(E399="TUNDA","DITUNDA",IF(TRIM(Panduan!$B$5)="","ISI_REVIEWER",IF(AND(E399&lt;&gt;"SETUJU_USULAN",E399&lt;&gt;"KOREKSI"),"CEK_KEPUTUSAN",IF(AND(E399="SETUJU_USULAN",F399&lt;&gt;""),"HAPUS_KOREKSI",IF(H399="","ISI_KOREKSI",IF(NOT(OR(H399="FLOOD",H399="EARTHQUAKE",H399="FIRE",H399="ACCIDENT",H399="NON_EVENT")),"CEK_LABEL",IF(AND(E399="KOREKSI",TRIM(G399)=""),"ISI_CATATAN","REVIEW_TERCATAT"))))))))</x:f>
        <x:v>REVIEW_TERCATAT</x:v>
      </x:c>
      <x:c r="J399" s="4" t="str">
        <x:v>Label dataset dan prediksi baseline sama; makna MVP belum direview. Kesepakatan keduanya belum membuktikan label final.</x:v>
      </x:c>
      <x:c r="K399" s="4" t="str">
        <x:v>NON_EVENT</x:v>
      </x:c>
      <x:c r="L399" s="14" t="n">
        <x:v>0.9896579384803772</x:v>
      </x:c>
    </x:row>
    <x:row r="400" ht="64" customHeight="1">
      <x:c r="A400" s="4" t="str">
        <x:v>KEB-00749</x:v>
      </x:c>
      <x:c r="B400" s="4" t="str">
        <x:v>kebakaran hutan di blok pajaten cirendang desa padabeunghar kecamatan pasawahan kabupaten kuningan , senin 17 agustus 2020 , telah berhasil dipadamkan pada pukul 20.15 wib . saat itu , langsung mengerahkan 1</x:v>
      </x:c>
      <x:c r="C400" s="4" t="str">
        <x:v>FIRE</x:v>
      </x:c>
      <x:c r="D400" s="4" t="str">
        <x:v>FIRE</x:v>
      </x:c>
      <x:c r="E400" s="12" t="str">
        <x:v>SETUJU_USULAN</x:v>
      </x:c>
      <x:c r="F400" s="12" t="str"/>
      <x:c r="G400" s="12" t="str">
        <x:v>Narasi menyatakan kejadian kebakaran yang terjadi atau telah terjadi. Label mengikuti isi kejadian, termasuk penanganan dan dampak yang disebut. R1,R4.</x:v>
      </x:c>
      <x:c r="H400" s="4" t="str">
        <x:f>IF(E400="SETUJU_USULAN",D400,IF(E400="KOREKSI",F400,""))</x:f>
        <x:v>FIRE</x:v>
      </x:c>
      <x:c r="I400" s="4" t="str">
        <x:f>IF(E400="","BELUM_DIREVIEW",IF(E400="TUNDA","DITUNDA",IF(TRIM(Panduan!$B$5)="","ISI_REVIEWER",IF(AND(E400&lt;&gt;"SETUJU_USULAN",E400&lt;&gt;"KOREKSI"),"CEK_KEPUTUSAN",IF(AND(E400="SETUJU_USULAN",F400&lt;&gt;""),"HAPUS_KOREKSI",IF(H400="","ISI_KOREKSI",IF(NOT(OR(H400="FLOOD",H400="EARTHQUAKE",H400="FIRE",H400="ACCIDENT",H400="NON_EVENT")),"CEK_LABEL",IF(AND(E400="KOREKSI",TRIM(G400)=""),"ISI_CATATAN","REVIEW_TERCATAT"))))))))</x:f>
        <x:v>REVIEW_TERCATAT</x:v>
      </x:c>
      <x:c r="J400" s="4" t="str">
        <x:v>Label dataset dan prediksi baseline sama; makna MVP belum direview. Kesepakatan keduanya belum membuktikan label final.</x:v>
      </x:c>
      <x:c r="K400" s="4" t="str">
        <x:v>FIRE</x:v>
      </x:c>
      <x:c r="L400" s="14" t="n">
        <x:v>0.9896777868270874</x:v>
      </x:c>
    </x:row>
    <x:row r="401" ht="66" customHeight="1">
      <x:c r="A401" s="4" t="str">
        <x:v>KEB-00333</x:v>
      </x:c>
      <x:c r="B401" s="4" t="str">
        <x:v>satu2 nya yg aq demen dgn badai corona ini adl sulit nya pencitraan contoh banjiir masuk gorong2 karhurlaselfi di hutan bekas kebakaran gempaselfi di tempat bekas gempa coronaga bisa selfi sama penderita corona bahkan bagi2 sembako langsung pd kerumunan mlh dihujat</x:v>
      </x:c>
      <x:c r="C401" s="4" t="str">
        <x:v>NON_EVENT</x:v>
      </x:c>
      <x:c r="D401" s="4" t="str">
        <x:v>NON_EVENT</x:v>
      </x:c>
      <x:c r="E401" s="12" t="str">
        <x:v>SETUJU_USULAN</x:v>
      </x:c>
      <x:c r="F401" s="12" t="str"/>
      <x:c r="G401" s="12" t="str">
        <x:v>Contoh pencitraan di berbagai jenis bencana bersifat umum, tanpa satu kejadian teridentifikasi. R3.</x:v>
      </x:c>
      <x:c r="H401" s="4" t="str">
        <x:f>IF(E401="SETUJU_USULAN",D401,IF(E401="KOREKSI",F401,""))</x:f>
        <x:v>NON_EVENT</x:v>
      </x:c>
      <x:c r="I401" s="4" t="str">
        <x:f>IF(E401="","BELUM_DIREVIEW",IF(E401="TUNDA","DITUNDA",IF(TRIM(Panduan!$B$5)="","ISI_REVIEWER",IF(AND(E401&lt;&gt;"SETUJU_USULAN",E401&lt;&gt;"KOREKSI"),"CEK_KEPUTUSAN",IF(AND(E401="SETUJU_USULAN",F401&lt;&gt;""),"HAPUS_KOREKSI",IF(H401="","ISI_KOREKSI",IF(NOT(OR(H401="FLOOD",H401="EARTHQUAKE",H401="FIRE",H401="ACCIDENT",H401="NON_EVENT")),"CEK_LABEL",IF(AND(E401="KOREKSI",TRIM(G401)=""),"ISI_CATATAN","REVIEW_TERCATAT"))))))))</x:f>
        <x:v>REVIEW_TERCATAT</x:v>
      </x:c>
      <x:c r="J401" s="4" t="str">
        <x:v>Label dataset dan prediksi baseline sama; makna MVP belum direview. Kesepakatan keduanya belum membuktikan label final.</x:v>
      </x:c>
      <x:c r="K401" s="4" t="str">
        <x:v>NON_EVENT</x:v>
      </x:c>
      <x:c r="L401" s="14" t="n">
        <x:v>0.9896876215934753</x:v>
      </x:c>
    </x:row>
    <x:row r="402" ht="64" customHeight="1">
      <x:c r="A402" s="4" t="str">
        <x:v>GEM-01217</x:v>
      </x:c>
      <x:c r="B402" s="4" t="str">
        <x:v>tepat satu bulan yang lalu belum selesai mengupas evaluasi pembelajaran dari respon tanggap darurat bencana gempa bumi di lombok dan sumbawa - nusa tenggara barat 28 sept 2018 terjadi</x:v>
      </x:c>
      <x:c r="C402" s="4" t="str">
        <x:v>NON_EVENT</x:v>
      </x:c>
      <x:c r="D402" s="4" t="str">
        <x:v>NON_EVENT</x:v>
      </x:c>
      <x:c r="E402" s="12" t="str">
        <x:v>KOREKSI</x:v>
      </x:c>
      <x:c r="F402" s="12" t="str">
        <x:v>EARTHQUAKE</x:v>
      </x:c>
      <x:c r="G402" s="12" t="str">
        <x:v>Evaluasi tanggap darurat merujuk gempa di Lombok dan Sumbawa. Narasi refleksi tetap memuat rujukan kejadian. R1,R5,R6.</x:v>
      </x:c>
      <x:c r="H402" s="4" t="str">
        <x:f>IF(E402="SETUJU_USULAN",D402,IF(E402="KOREKSI",F402,""))</x:f>
        <x:v>EARTHQUAKE</x:v>
      </x:c>
      <x:c r="I402" s="4" t="str">
        <x:f>IF(E402="","BELUM_DIREVIEW",IF(E402="TUNDA","DITUNDA",IF(TRIM(Panduan!$B$5)="","ISI_REVIEWER",IF(AND(E402&lt;&gt;"SETUJU_USULAN",E402&lt;&gt;"KOREKSI"),"CEK_KEPUTUSAN",IF(AND(E402="SETUJU_USULAN",F402&lt;&gt;""),"HAPUS_KOREKSI",IF(H402="","ISI_KOREKSI",IF(NOT(OR(H402="FLOOD",H402="EARTHQUAKE",H402="FIRE",H402="ACCIDENT",H402="NON_EVENT")),"CEK_LABEL",IF(AND(E402="KOREKSI",TRIM(G402)=""),"ISI_CATATAN","REVIEW_TERCATAT"))))))))</x:f>
        <x:v>REVIEW_TERCATAT</x:v>
      </x:c>
      <x:c r="J402" s="4" t="str">
        <x:v>Label dataset dan prediksi baseline sama; makna MVP belum direview. Kesepakatan keduanya belum membuktikan label final.</x:v>
      </x:c>
      <x:c r="K402" s="4" t="str">
        <x:v>NON_EVENT</x:v>
      </x:c>
      <x:c r="L402" s="14" t="n">
        <x:v>0.9897071123123169</x:v>
      </x:c>
    </x:row>
    <x:row r="403" ht="64" customHeight="1">
      <x:c r="A403" s="4" t="str">
        <x:v>GEM-01340</x:v>
      </x:c>
      <x:c r="B403" s="4" t="str">
        <x:v>selama mengemban tugas kemanusiaan di lombok dan sumbawa khususnya dalam membantu rehabilitasi dan rekonstruksi pasca bencana gempa bumi di nusa tenggara barat</x:v>
      </x:c>
      <x:c r="C403" s="4" t="str">
        <x:v>NON_EVENT</x:v>
      </x:c>
      <x:c r="D403" s="4" t="str">
        <x:v>NON_EVENT</x:v>
      </x:c>
      <x:c r="E403" s="12" t="str">
        <x:v>KOREKSI</x:v>
      </x:c>
      <x:c r="F403" s="12" t="str">
        <x:v>EARTHQUAKE</x:v>
      </x:c>
      <x:c r="G403" s="12" t="str">
        <x:v>Tugas rehabilitasi dan rekonstruksi disebut dilakukan pascagempa di NTB, khususnya Lombok dan Sumbawa. R1,R5.</x:v>
      </x:c>
      <x:c r="H403" s="4" t="str">
        <x:f>IF(E403="SETUJU_USULAN",D403,IF(E403="KOREKSI",F403,""))</x:f>
        <x:v>EARTHQUAKE</x:v>
      </x:c>
      <x:c r="I403" s="4" t="str">
        <x:f>IF(E403="","BELUM_DIREVIEW",IF(E403="TUNDA","DITUNDA",IF(TRIM(Panduan!$B$5)="","ISI_REVIEWER",IF(AND(E403&lt;&gt;"SETUJU_USULAN",E403&lt;&gt;"KOREKSI"),"CEK_KEPUTUSAN",IF(AND(E403="SETUJU_USULAN",F403&lt;&gt;""),"HAPUS_KOREKSI",IF(H403="","ISI_KOREKSI",IF(NOT(OR(H403="FLOOD",H403="EARTHQUAKE",H403="FIRE",H403="ACCIDENT",H403="NON_EVENT")),"CEK_LABEL",IF(AND(E403="KOREKSI",TRIM(G403)=""),"ISI_CATATAN","REVIEW_TERCATAT"))))))))</x:f>
        <x:v>REVIEW_TERCATAT</x:v>
      </x:c>
      <x:c r="J403" s="4" t="str">
        <x:v>Label dataset dan prediksi baseline sama; makna MVP belum direview. Kesepakatan keduanya belum membuktikan label final.</x:v>
      </x:c>
      <x:c r="K403" s="4" t="str">
        <x:v>NON_EVENT</x:v>
      </x:c>
      <x:c r="L403" s="14" t="n">
        <x:v>0.9897443652153015</x:v>
      </x:c>
    </x:row>
    <x:row r="404" ht="64" customHeight="1">
      <x:c r="A404" s="4" t="str">
        <x:v>GEM-01398</x:v>
      </x:c>
      <x:c r="B404" s="4" t="str">
        <x:v>dari sekian banyak korban gempa bumi tsunamibanjirdan pesawat jatuhhanya korban php yang enggak di evakuasi</x:v>
      </x:c>
      <x:c r="C404" s="4" t="str">
        <x:v>NON_EVENT</x:v>
      </x:c>
      <x:c r="D404" s="4" t="str">
        <x:v>NON_EVENT</x:v>
      </x:c>
      <x:c r="E404" s="12" t="str">
        <x:v>SETUJU_USULAN</x:v>
      </x:c>
      <x:c r="F404" s="12" t="str"/>
      <x:c r="G404" s="12" t="str">
        <x:v>Daftar korban bencana dan korban PHP dipakai untuk lelucon umum, tanpa kejadian tertentu. R3.</x:v>
      </x:c>
      <x:c r="H404" s="4" t="str">
        <x:f>IF(E404="SETUJU_USULAN",D404,IF(E404="KOREKSI",F404,""))</x:f>
        <x:v>NON_EVENT</x:v>
      </x:c>
      <x:c r="I404" s="4" t="str">
        <x:f>IF(E404="","BELUM_DIREVIEW",IF(E404="TUNDA","DITUNDA",IF(TRIM(Panduan!$B$5)="","ISI_REVIEWER",IF(AND(E404&lt;&gt;"SETUJU_USULAN",E404&lt;&gt;"KOREKSI"),"CEK_KEPUTUSAN",IF(AND(E404="SETUJU_USULAN",F404&lt;&gt;""),"HAPUS_KOREKSI",IF(H404="","ISI_KOREKSI",IF(NOT(OR(H404="FLOOD",H404="EARTHQUAKE",H404="FIRE",H404="ACCIDENT",H404="NON_EVENT")),"CEK_LABEL",IF(AND(E404="KOREKSI",TRIM(G404)=""),"ISI_CATATAN","REVIEW_TERCATAT"))))))))</x:f>
        <x:v>REVIEW_TERCATAT</x:v>
      </x:c>
      <x:c r="J404" s="4" t="str">
        <x:v>Label dataset dan prediksi baseline sama; makna MVP belum direview. Kesepakatan keduanya belum membuktikan label final.</x:v>
      </x:c>
      <x:c r="K404" s="4" t="str">
        <x:v>NON_EVENT</x:v>
      </x:c>
      <x:c r="L404" s="14" t="n">
        <x:v>0.9898172616958618</x:v>
      </x:c>
    </x:row>
    <x:row r="405" ht="66" customHeight="1">
      <x:c r="A405" s="4" t="str">
        <x:v>GEM-01092</x:v>
      </x:c>
      <x:c r="B405" s="4" t="str">
        <x:v>edukasi mitigasi bencana harus diterapkan di dunia pendidikan : bandung raya latihan mitigasi bencana/arif hidayah/pr sejumlah murid berlindung di bawah meja saat mengikuti pelatihan mitigasi bencana gempa bumi di sd negeri 49 cigadung jalan alfa kota</x:v>
      </x:c>
      <x:c r="C405" s="4" t="str">
        <x:v>NON_EVENT</x:v>
      </x:c>
      <x:c r="D405" s="4" t="str">
        <x:v>NON_EVENT</x:v>
      </x:c>
      <x:c r="E405" s="12" t="str">
        <x:v>SETUJU_USULAN</x:v>
      </x:c>
      <x:c r="F405" s="12" t="str"/>
      <x:c r="G405" s="12" t="str">
        <x:v>Murid mengikuti latihan mitigasi gempa. Tidak ada klaim gempa nyata. R3.</x:v>
      </x:c>
      <x:c r="H405" s="4" t="str">
        <x:f>IF(E405="SETUJU_USULAN",D405,IF(E405="KOREKSI",F405,""))</x:f>
        <x:v>NON_EVENT</x:v>
      </x:c>
      <x:c r="I405" s="4" t="str">
        <x:f>IF(E405="","BELUM_DIREVIEW",IF(E405="TUNDA","DITUNDA",IF(TRIM(Panduan!$B$5)="","ISI_REVIEWER",IF(AND(E405&lt;&gt;"SETUJU_USULAN",E405&lt;&gt;"KOREKSI"),"CEK_KEPUTUSAN",IF(AND(E405="SETUJU_USULAN",F405&lt;&gt;""),"HAPUS_KOREKSI",IF(H405="","ISI_KOREKSI",IF(NOT(OR(H405="FLOOD",H405="EARTHQUAKE",H405="FIRE",H405="ACCIDENT",H405="NON_EVENT")),"CEK_LABEL",IF(AND(E405="KOREKSI",TRIM(G405)=""),"ISI_CATATAN","REVIEW_TERCATAT"))))))))</x:f>
        <x:v>REVIEW_TERCATAT</x:v>
      </x:c>
      <x:c r="J405" s="4" t="str">
        <x:v>Label dataset dan prediksi baseline sama; makna MVP belum direview. Kesepakatan keduanya belum membuktikan label final.</x:v>
      </x:c>
      <x:c r="K405" s="4" t="str">
        <x:v>NON_EVENT</x:v>
      </x:c>
      <x:c r="L405" s="14" t="n">
        <x:v>0.9898425936698914</x:v>
      </x:c>
    </x:row>
    <x:row r="406" ht="64" customHeight="1">
      <x:c r="A406" s="4" t="str">
        <x:v>KEB-00653</x:v>
      </x:c>
      <x:c r="B406" s="4" t="str">
        <x:v>kebakaran hebat di kabupaten barru tewaskan ibu dan anak .</x:v>
      </x:c>
      <x:c r="C406" s="4" t="str">
        <x:v>FIRE</x:v>
      </x:c>
      <x:c r="D406" s="4" t="str">
        <x:v>FIRE</x:v>
      </x:c>
      <x:c r="E406" s="12" t="str">
        <x:v>SETUJU_USULAN</x:v>
      </x:c>
      <x:c r="F406" s="12" t="str"/>
      <x:c r="G406" s="12" t="str">
        <x:v>Narasi menyatakan kejadian kebakaran yang terjadi atau telah terjadi. Label mengikuti isi kejadian, termasuk penanganan dan dampak yang disebut. R1,R4.</x:v>
      </x:c>
      <x:c r="H406" s="4" t="str">
        <x:f>IF(E406="SETUJU_USULAN",D406,IF(E406="KOREKSI",F406,""))</x:f>
        <x:v>FIRE</x:v>
      </x:c>
      <x:c r="I406" s="4" t="str">
        <x:f>IF(E406="","BELUM_DIREVIEW",IF(E406="TUNDA","DITUNDA",IF(TRIM(Panduan!$B$5)="","ISI_REVIEWER",IF(AND(E406&lt;&gt;"SETUJU_USULAN",E406&lt;&gt;"KOREKSI"),"CEK_KEPUTUSAN",IF(AND(E406="SETUJU_USULAN",F406&lt;&gt;""),"HAPUS_KOREKSI",IF(H406="","ISI_KOREKSI",IF(NOT(OR(H406="FLOOD",H406="EARTHQUAKE",H406="FIRE",H406="ACCIDENT",H406="NON_EVENT")),"CEK_LABEL",IF(AND(E406="KOREKSI",TRIM(G406)=""),"ISI_CATATAN","REVIEW_TERCATAT"))))))))</x:f>
        <x:v>REVIEW_TERCATAT</x:v>
      </x:c>
      <x:c r="J406" s="4" t="str">
        <x:v>Label dataset dan prediksi baseline sama; makna MVP belum direview. Kesepakatan keduanya belum membuktikan label final.</x:v>
      </x:c>
      <x:c r="K406" s="4" t="str">
        <x:v>FIRE</x:v>
      </x:c>
      <x:c r="L406" s="14" t="n">
        <x:v>0.9898520112037659</x:v>
      </x:c>
    </x:row>
    <x:row r="407" ht="64" customHeight="1">
      <x:c r="A407" s="4" t="str">
        <x:v>GEM-01110</x:v>
      </x:c>
      <x:c r="B407" s="4" t="str">
        <x:v>warganet yang ingin memberikan bantuan bagi warga korban bencana gempa bumi dan tsunami di sulteng dapat memberikan donasi melalui rekening elshinta peduli kemanusiaan</x:v>
      </x:c>
      <x:c r="C407" s="4" t="str">
        <x:v>NON_EVENT</x:v>
      </x:c>
      <x:c r="D407" s="4" t="str">
        <x:v>NON_EVENT</x:v>
      </x:c>
      <x:c r="E407" s="12" t="str">
        <x:v>KOREKSI</x:v>
      </x:c>
      <x:c r="F407" s="12" t="str">
        <x:v>EARTHQUAKE</x:v>
      </x:c>
      <x:c r="G407" s="12" t="str">
        <x:v>Penggalangan donasi ditujukan kepada warga korban gempa dan tsunami di Sulawesi Tengah. R1,R5.</x:v>
      </x:c>
      <x:c r="H407" s="4" t="str">
        <x:f>IF(E407="SETUJU_USULAN",D407,IF(E407="KOREKSI",F407,""))</x:f>
        <x:v>EARTHQUAKE</x:v>
      </x:c>
      <x:c r="I407" s="4" t="str">
        <x:f>IF(E407="","BELUM_DIREVIEW",IF(E407="TUNDA","DITUNDA",IF(TRIM(Panduan!$B$5)="","ISI_REVIEWER",IF(AND(E407&lt;&gt;"SETUJU_USULAN",E407&lt;&gt;"KOREKSI"),"CEK_KEPUTUSAN",IF(AND(E407="SETUJU_USULAN",F407&lt;&gt;""),"HAPUS_KOREKSI",IF(H407="","ISI_KOREKSI",IF(NOT(OR(H407="FLOOD",H407="EARTHQUAKE",H407="FIRE",H407="ACCIDENT",H407="NON_EVENT")),"CEK_LABEL",IF(AND(E407="KOREKSI",TRIM(G407)=""),"ISI_CATATAN","REVIEW_TERCATAT"))))))))</x:f>
        <x:v>REVIEW_TERCATAT</x:v>
      </x:c>
      <x:c r="J407" s="4" t="str">
        <x:v>Label dataset dan prediksi baseline sama; makna MVP belum direview. Kesepakatan keduanya belum membuktikan label final.</x:v>
      </x:c>
      <x:c r="K407" s="4" t="str">
        <x:v>NON_EVENT</x:v>
      </x:c>
      <x:c r="L407" s="14" t="n">
        <x:v>0.989888608455658</x:v>
      </x:c>
    </x:row>
    <x:row r="408" ht="64" customHeight="1">
      <x:c r="A408" s="4" t="str">
        <x:v>GEM-01046</x:v>
      </x:c>
      <x:c r="B408" s="4" t="str">
        <x:v>nih pasti cebong yang otaknya sudah mati sebelah pemuda asal manado : penyebab gempa bumi itu suara adzan di masjid</x:v>
      </x:c>
      <x:c r="C408" s="4" t="str">
        <x:v>NON_EVENT</x:v>
      </x:c>
      <x:c r="D408" s="4" t="str">
        <x:v>NON_EVENT</x:v>
      </x:c>
      <x:c r="E408" s="12" t="str">
        <x:v>SETUJU_USULAN</x:v>
      </x:c>
      <x:c r="F408" s="12" t="str"/>
      <x:c r="G408" s="12" t="str">
        <x:v>Pernyataan sebab gempa dibahas secara umum tanpa satu gempa teridentifikasi. R3.</x:v>
      </x:c>
      <x:c r="H408" s="4" t="str">
        <x:f>IF(E408="SETUJU_USULAN",D408,IF(E408="KOREKSI",F408,""))</x:f>
        <x:v>NON_EVENT</x:v>
      </x:c>
      <x:c r="I408" s="4" t="str">
        <x:f>IF(E408="","BELUM_DIREVIEW",IF(E408="TUNDA","DITUNDA",IF(TRIM(Panduan!$B$5)="","ISI_REVIEWER",IF(AND(E408&lt;&gt;"SETUJU_USULAN",E408&lt;&gt;"KOREKSI"),"CEK_KEPUTUSAN",IF(AND(E408="SETUJU_USULAN",F408&lt;&gt;""),"HAPUS_KOREKSI",IF(H408="","ISI_KOREKSI",IF(NOT(OR(H408="FLOOD",H408="EARTHQUAKE",H408="FIRE",H408="ACCIDENT",H408="NON_EVENT")),"CEK_LABEL",IF(AND(E408="KOREKSI",TRIM(G408)=""),"ISI_CATATAN","REVIEW_TERCATAT"))))))))</x:f>
        <x:v>REVIEW_TERCATAT</x:v>
      </x:c>
      <x:c r="J408" s="4" t="str">
        <x:v>Label dataset dan prediksi baseline sama; makna MVP belum direview. Kesepakatan keduanya belum membuktikan label final.</x:v>
      </x:c>
      <x:c r="K408" s="4" t="str">
        <x:v>NON_EVENT</x:v>
      </x:c>
      <x:c r="L408" s="14" t="n">
        <x:v>0.9898954629898071</x:v>
      </x:c>
    </x:row>
    <x:row r="409" ht="64" customHeight="1">
      <x:c r="A409" s="4" t="str">
        <x:v>BAN-01985</x:v>
      </x:c>
      <x:c r="B409" s="4" t="str">
        <x:v>ada singkatan nya tuh lgbt l : longsor enggak : gempa b : banjir t : tsunami tinggal tunggu saja di indonesia murka allah swt satu persatu muncul pabila itu lgbt legal</x:v>
      </x:c>
      <x:c r="C409" s="4" t="str">
        <x:v>NON_EVENT</x:v>
      </x:c>
      <x:c r="D409" s="4" t="str">
        <x:v>NON_EVENT</x:v>
      </x:c>
      <x:c r="E409" s="12" t="str">
        <x:v>SETUJU_USULAN</x:v>
      </x:c>
      <x:c r="F409" s="12" t="str"/>
      <x:c r="G409" s="12" t="str">
        <x:v>Daftar bencana ditempatkan dalam ramalan bersyarat, bukan kejadian yang dinyatakan telah terjadi. R3.</x:v>
      </x:c>
      <x:c r="H409" s="4" t="str">
        <x:f>IF(E409="SETUJU_USULAN",D409,IF(E409="KOREKSI",F409,""))</x:f>
        <x:v>NON_EVENT</x:v>
      </x:c>
      <x:c r="I409" s="4" t="str">
        <x:f>IF(E409="","BELUM_DIREVIEW",IF(E409="TUNDA","DITUNDA",IF(TRIM(Panduan!$B$5)="","ISI_REVIEWER",IF(AND(E409&lt;&gt;"SETUJU_USULAN",E409&lt;&gt;"KOREKSI"),"CEK_KEPUTUSAN",IF(AND(E409="SETUJU_USULAN",F409&lt;&gt;""),"HAPUS_KOREKSI",IF(H409="","ISI_KOREKSI",IF(NOT(OR(H409="FLOOD",H409="EARTHQUAKE",H409="FIRE",H409="ACCIDENT",H409="NON_EVENT")),"CEK_LABEL",IF(AND(E409="KOREKSI",TRIM(G409)=""),"ISI_CATATAN","REVIEW_TERCATAT"))))))))</x:f>
        <x:v>REVIEW_TERCATAT</x:v>
      </x:c>
      <x:c r="J409" s="4" t="str">
        <x:v>Label dataset dan prediksi baseline sama; makna MVP belum direview. Kesepakatan keduanya belum membuktikan label final.</x:v>
      </x:c>
      <x:c r="K409" s="4" t="str">
        <x:v>NON_EVENT</x:v>
      </x:c>
      <x:c r="L409" s="14" t="n">
        <x:v>0.9899090528488159</x:v>
      </x:c>
    </x:row>
    <x:row r="410" ht="64" customHeight="1">
      <x:c r="A410" s="4" t="str">
        <x:v>GEM-01425</x:v>
      </x:c>
      <x:c r="B410" s="4" t="str">
        <x:v>tim psikologi tni pasca bencana gempa bumi tsunami dan likuifaksi di sulawesi tengah melaksanakan kegiatan bantuan dukungan psikososial ''</x:v>
      </x:c>
      <x:c r="C410" s="4" t="str">
        <x:v>NON_EVENT</x:v>
      </x:c>
      <x:c r="D410" s="4" t="str">
        <x:v>NON_EVENT</x:v>
      </x:c>
      <x:c r="E410" s="12" t="str">
        <x:v>KOREKSI</x:v>
      </x:c>
      <x:c r="F410" s="12" t="str">
        <x:v>EARTHQUAKE</x:v>
      </x:c>
      <x:c r="G410" s="12" t="str">
        <x:v>Dukungan psikososial tim TNI disebut dilakukan pascagempa, tsunami dan likuifaksi di Sulawesi Tengah. R1,R5.</x:v>
      </x:c>
      <x:c r="H410" s="4" t="str">
        <x:f>IF(E410="SETUJU_USULAN",D410,IF(E410="KOREKSI",F410,""))</x:f>
        <x:v>EARTHQUAKE</x:v>
      </x:c>
      <x:c r="I410" s="4" t="str">
        <x:f>IF(E410="","BELUM_DIREVIEW",IF(E410="TUNDA","DITUNDA",IF(TRIM(Panduan!$B$5)="","ISI_REVIEWER",IF(AND(E410&lt;&gt;"SETUJU_USULAN",E410&lt;&gt;"KOREKSI"),"CEK_KEPUTUSAN",IF(AND(E410="SETUJU_USULAN",F410&lt;&gt;""),"HAPUS_KOREKSI",IF(H410="","ISI_KOREKSI",IF(NOT(OR(H410="FLOOD",H410="EARTHQUAKE",H410="FIRE",H410="ACCIDENT",H410="NON_EVENT")),"CEK_LABEL",IF(AND(E410="KOREKSI",TRIM(G410)=""),"ISI_CATATAN","REVIEW_TERCATAT"))))))))</x:f>
        <x:v>REVIEW_TERCATAT</x:v>
      </x:c>
      <x:c r="J410" s="4" t="str">
        <x:v>Label dataset dan prediksi baseline sama; makna MVP belum direview. Kesepakatan keduanya belum membuktikan label final.</x:v>
      </x:c>
      <x:c r="K410" s="4" t="str">
        <x:v>NON_EVENT</x:v>
      </x:c>
      <x:c r="L410" s="14" t="n">
        <x:v>0.9899225831031799</x:v>
      </x:c>
    </x:row>
    <x:row r="411" ht="64" customHeight="1">
      <x:c r="A411" s="4" t="str">
        <x:v>GEM-01045</x:v>
      </x:c>
      <x:c r="B411" s="4" t="str">
        <x:v>membantu sesama tanpa sekat apapun korban gempa bumi dan tsunami di palu sulawesi tengah</x:v>
      </x:c>
      <x:c r="C411" s="4" t="str">
        <x:v>NON_EVENT</x:v>
      </x:c>
      <x:c r="D411" s="4" t="str">
        <x:v>NON_EVENT</x:v>
      </x:c>
      <x:c r="E411" s="12" t="str">
        <x:v>KOREKSI</x:v>
      </x:c>
      <x:c r="F411" s="12" t="str">
        <x:v>EARTHQUAKE</x:v>
      </x:c>
      <x:c r="G411" s="12" t="str">
        <x:v>Bantuan kepada sesama merujuk korban gempa dan tsunami di Palu, Sulawesi Tengah. R1,R5.</x:v>
      </x:c>
      <x:c r="H411" s="4" t="str">
        <x:f>IF(E411="SETUJU_USULAN",D411,IF(E411="KOREKSI",F411,""))</x:f>
        <x:v>EARTHQUAKE</x:v>
      </x:c>
      <x:c r="I411" s="4" t="str">
        <x:f>IF(E411="","BELUM_DIREVIEW",IF(E411="TUNDA","DITUNDA",IF(TRIM(Panduan!$B$5)="","ISI_REVIEWER",IF(AND(E411&lt;&gt;"SETUJU_USULAN",E411&lt;&gt;"KOREKSI"),"CEK_KEPUTUSAN",IF(AND(E411="SETUJU_USULAN",F411&lt;&gt;""),"HAPUS_KOREKSI",IF(H411="","ISI_KOREKSI",IF(NOT(OR(H411="FLOOD",H411="EARTHQUAKE",H411="FIRE",H411="ACCIDENT",H411="NON_EVENT")),"CEK_LABEL",IF(AND(E411="KOREKSI",TRIM(G411)=""),"ISI_CATATAN","REVIEW_TERCATAT"))))))))</x:f>
        <x:v>REVIEW_TERCATAT</x:v>
      </x:c>
      <x:c r="J411" s="4" t="str">
        <x:v>Label dataset dan prediksi baseline sama; makna MVP belum direview. Kesepakatan keduanya belum membuktikan label final.</x:v>
      </x:c>
      <x:c r="K411" s="4" t="str">
        <x:v>NON_EVENT</x:v>
      </x:c>
      <x:c r="L411" s="14" t="n">
        <x:v>0.9899246692657471</x:v>
      </x:c>
    </x:row>
    <x:row r="412" ht="64" customHeight="1">
      <x:c r="A412" s="4" t="str">
        <x:v>GEM-01210</x:v>
      </x:c>
      <x:c r="B412" s="4" t="str">
        <x:v>purna paskibraka indonesia peduli bencana gempa bumi dan tsunami di sulteng ( palu-donggala-sigi dan sekitarnya ) menggerakkan hati dan kepedulian purna paskibraka indonesia ( ppi ) untuk</x:v>
      </x:c>
      <x:c r="C412" s="4" t="str">
        <x:v>NON_EVENT</x:v>
      </x:c>
      <x:c r="D412" s="4" t="str">
        <x:v>NON_EVENT</x:v>
      </x:c>
      <x:c r="E412" s="12" t="str">
        <x:v>KOREKSI</x:v>
      </x:c>
      <x:c r="F412" s="12" t="str">
        <x:v>EARTHQUAKE</x:v>
      </x:c>
      <x:c r="G412" s="12" t="str">
        <x:v>Kepedulian Purna Paskibraka merujuk bencana gempa Palu-Donggala-Sigi dan sekitarnya. R1,R5.</x:v>
      </x:c>
      <x:c r="H412" s="4" t="str">
        <x:f>IF(E412="SETUJU_USULAN",D412,IF(E412="KOREKSI",F412,""))</x:f>
        <x:v>EARTHQUAKE</x:v>
      </x:c>
      <x:c r="I412" s="4" t="str">
        <x:f>IF(E412="","BELUM_DIREVIEW",IF(E412="TUNDA","DITUNDA",IF(TRIM(Panduan!$B$5)="","ISI_REVIEWER",IF(AND(E412&lt;&gt;"SETUJU_USULAN",E412&lt;&gt;"KOREKSI"),"CEK_KEPUTUSAN",IF(AND(E412="SETUJU_USULAN",F412&lt;&gt;""),"HAPUS_KOREKSI",IF(H412="","ISI_KOREKSI",IF(NOT(OR(H412="FLOOD",H412="EARTHQUAKE",H412="FIRE",H412="ACCIDENT",H412="NON_EVENT")),"CEK_LABEL",IF(AND(E412="KOREKSI",TRIM(G412)=""),"ISI_CATATAN","REVIEW_TERCATAT"))))))))</x:f>
        <x:v>REVIEW_TERCATAT</x:v>
      </x:c>
      <x:c r="J412" s="4" t="str">
        <x:v>Label dataset dan prediksi baseline sama; makna MVP belum direview. Kesepakatan keduanya belum membuktikan label final.</x:v>
      </x:c>
      <x:c r="K412" s="4" t="str">
        <x:v>NON_EVENT</x:v>
      </x:c>
      <x:c r="L412" s="14" t="n">
        <x:v>0.9899368286132812</x:v>
      </x:c>
    </x:row>
    <x:row r="413" ht="64" customHeight="1">
      <x:c r="A413" s="4" t="str">
        <x:v>KEB-00360</x:v>
      </x:c>
      <x:c r="B413" s="4" t="str">
        <x:v>kebakaran di makassar , pemadam sulit menuju ke titik api</x:v>
      </x:c>
      <x:c r="C413" s="4" t="str">
        <x:v>FIRE</x:v>
      </x:c>
      <x:c r="D413" s="4" t="str">
        <x:v>FIRE</x:v>
      </x:c>
      <x:c r="E413" s="12" t="str">
        <x:v>SETUJU_USULAN</x:v>
      </x:c>
      <x:c r="F413" s="12" t="str"/>
      <x:c r="G413" s="12" t="str">
        <x:v>Narasi menyatakan kejadian kebakaran yang terjadi atau telah terjadi. Label mengikuti isi kejadian, termasuk penanganan dan dampak yang disebut. R1,R4.</x:v>
      </x:c>
      <x:c r="H413" s="4" t="str">
        <x:f>IF(E413="SETUJU_USULAN",D413,IF(E413="KOREKSI",F413,""))</x:f>
        <x:v>FIRE</x:v>
      </x:c>
      <x:c r="I413" s="4" t="str">
        <x:f>IF(E413="","BELUM_DIREVIEW",IF(E413="TUNDA","DITUNDA",IF(TRIM(Panduan!$B$5)="","ISI_REVIEWER",IF(AND(E413&lt;&gt;"SETUJU_USULAN",E413&lt;&gt;"KOREKSI"),"CEK_KEPUTUSAN",IF(AND(E413="SETUJU_USULAN",F413&lt;&gt;""),"HAPUS_KOREKSI",IF(H413="","ISI_KOREKSI",IF(NOT(OR(H413="FLOOD",H413="EARTHQUAKE",H413="FIRE",H413="ACCIDENT",H413="NON_EVENT")),"CEK_LABEL",IF(AND(E413="KOREKSI",TRIM(G413)=""),"ISI_CATATAN","REVIEW_TERCATAT"))))))))</x:f>
        <x:v>REVIEW_TERCATAT</x:v>
      </x:c>
      <x:c r="J413" s="4" t="str">
        <x:v>Label dataset dan prediksi baseline sama; makna MVP belum direview. Kesepakatan keduanya belum membuktikan label final.</x:v>
      </x:c>
      <x:c r="K413" s="4" t="str">
        <x:v>FIRE</x:v>
      </x:c>
      <x:c r="L413" s="14" t="n">
        <x:v>0.9899829030036926</x:v>
      </x:c>
    </x:row>
    <x:row r="414" ht="64" customHeight="1">
      <x:c r="A414" s="4" t="str">
        <x:v>GEM-01061</x:v>
      </x:c>
      <x:c r="B414" s="4" t="str">
        <x:v>pemerintah amerika sediakan bantuan 4 juta dolar untuk penanganan bencana gempa bumi dan tsunami di sulawesi tengah</x:v>
      </x:c>
      <x:c r="C414" s="4" t="str">
        <x:v>NON_EVENT</x:v>
      </x:c>
      <x:c r="D414" s="4" t="str">
        <x:v>NON_EVENT</x:v>
      </x:c>
      <x:c r="E414" s="12" t="str">
        <x:v>KOREKSI</x:v>
      </x:c>
      <x:c r="F414" s="12" t="str">
        <x:v>EARTHQUAKE</x:v>
      </x:c>
      <x:c r="G414" s="12" t="str">
        <x:v>Bantuan pemerintah Amerika ditujukan untuk penanganan gempa dan tsunami Sulawesi Tengah. R1,R5.</x:v>
      </x:c>
      <x:c r="H414" s="4" t="str">
        <x:f>IF(E414="SETUJU_USULAN",D414,IF(E414="KOREKSI",F414,""))</x:f>
        <x:v>EARTHQUAKE</x:v>
      </x:c>
      <x:c r="I414" s="4" t="str">
        <x:f>IF(E414="","BELUM_DIREVIEW",IF(E414="TUNDA","DITUNDA",IF(TRIM(Panduan!$B$5)="","ISI_REVIEWER",IF(AND(E414&lt;&gt;"SETUJU_USULAN",E414&lt;&gt;"KOREKSI"),"CEK_KEPUTUSAN",IF(AND(E414="SETUJU_USULAN",F414&lt;&gt;""),"HAPUS_KOREKSI",IF(H414="","ISI_KOREKSI",IF(NOT(OR(H414="FLOOD",H414="EARTHQUAKE",H414="FIRE",H414="ACCIDENT",H414="NON_EVENT")),"CEK_LABEL",IF(AND(E414="KOREKSI",TRIM(G414)=""),"ISI_CATATAN","REVIEW_TERCATAT"))))))))</x:f>
        <x:v>REVIEW_TERCATAT</x:v>
      </x:c>
      <x:c r="J414" s="4" t="str">
        <x:v>Label dataset dan prediksi baseline sama; makna MVP belum direview. Kesepakatan keduanya belum membuktikan label final.</x:v>
      </x:c>
      <x:c r="K414" s="4" t="str">
        <x:v>NON_EVENT</x:v>
      </x:c>
      <x:c r="L414" s="14" t="n">
        <x:v>0.9900544881820679</x:v>
      </x:c>
    </x:row>
    <x:row r="415" ht="66" customHeight="1">
      <x:c r="A415" s="4" t="str">
        <x:v>GEM-01334</x:v>
      </x:c>
      <x:c r="B415" s="4" t="str">
        <x:v>5 karena dia hanyalah petinggi dari sistem di alam semesta yang tidak ada hubungannya dengan baik atau buruk bencana kutukan kelahiran hujan panas gempa bumi pemberkatan dan sebagainya adalah bagian dari hukum alam dan manusia sendiri termasuk di dalam hukum alam tersebut</x:v>
      </x:c>
      <x:c r="C415" s="4" t="str">
        <x:v>NON_EVENT</x:v>
      </x:c>
      <x:c r="D415" s="4" t="str">
        <x:v>NON_EVENT</x:v>
      </x:c>
      <x:c r="E415" s="12" t="str">
        <x:v>SETUJU_USULAN</x:v>
      </x:c>
      <x:c r="F415" s="12" t="str"/>
      <x:c r="G415" s="12" t="str">
        <x:v>Gempa termasuk dalam pembahasan hukum alam dan daftar fenomena umum. R3.</x:v>
      </x:c>
      <x:c r="H415" s="4" t="str">
        <x:f>IF(E415="SETUJU_USULAN",D415,IF(E415="KOREKSI",F415,""))</x:f>
        <x:v>NON_EVENT</x:v>
      </x:c>
      <x:c r="I415" s="4" t="str">
        <x:f>IF(E415="","BELUM_DIREVIEW",IF(E415="TUNDA","DITUNDA",IF(TRIM(Panduan!$B$5)="","ISI_REVIEWER",IF(AND(E415&lt;&gt;"SETUJU_USULAN",E415&lt;&gt;"KOREKSI"),"CEK_KEPUTUSAN",IF(AND(E415="SETUJU_USULAN",F415&lt;&gt;""),"HAPUS_KOREKSI",IF(H415="","ISI_KOREKSI",IF(NOT(OR(H415="FLOOD",H415="EARTHQUAKE",H415="FIRE",H415="ACCIDENT",H415="NON_EVENT")),"CEK_LABEL",IF(AND(E415="KOREKSI",TRIM(G415)=""),"ISI_CATATAN","REVIEW_TERCATAT"))))))))</x:f>
        <x:v>REVIEW_TERCATAT</x:v>
      </x:c>
      <x:c r="J415" s="4" t="str">
        <x:v>Label dataset dan prediksi baseline sama; makna MVP belum direview. Kesepakatan keduanya belum membuktikan label final.</x:v>
      </x:c>
      <x:c r="K415" s="4" t="str">
        <x:v>NON_EVENT</x:v>
      </x:c>
      <x:c r="L415" s="14" t="n">
        <x:v>0.9900617599487305</x:v>
      </x:c>
    </x:row>
    <x:row r="416" ht="64" customHeight="1">
      <x:c r="A416" s="4" t="str">
        <x:v>GEM-01498</x:v>
      </x:c>
      <x:c r="B416" s="4" t="str">
        <x:v>penyerahan donasi kepada karyawan dpi yang menjadi korban gempa bumi di palu donasi didapatkan secara kolektivitas dari karyawan dpi lainya atas inisatif bersama karena adanya</x:v>
      </x:c>
      <x:c r="C416" s="4" t="str">
        <x:v>NON_EVENT</x:v>
      </x:c>
      <x:c r="D416" s="4" t="str">
        <x:v>NON_EVENT</x:v>
      </x:c>
      <x:c r="E416" s="12" t="str">
        <x:v>KOREKSI</x:v>
      </x:c>
      <x:c r="F416" s="12" t="str">
        <x:v>EARTHQUAKE</x:v>
      </x:c>
      <x:c r="G416" s="12" t="str">
        <x:v>Donasi karyawan diberikan kepada karyawan lain yang menjadi korban gempa di Palu. R1,R5.</x:v>
      </x:c>
      <x:c r="H416" s="4" t="str">
        <x:f>IF(E416="SETUJU_USULAN",D416,IF(E416="KOREKSI",F416,""))</x:f>
        <x:v>EARTHQUAKE</x:v>
      </x:c>
      <x:c r="I416" s="4" t="str">
        <x:f>IF(E416="","BELUM_DIREVIEW",IF(E416="TUNDA","DITUNDA",IF(TRIM(Panduan!$B$5)="","ISI_REVIEWER",IF(AND(E416&lt;&gt;"SETUJU_USULAN",E416&lt;&gt;"KOREKSI"),"CEK_KEPUTUSAN",IF(AND(E416="SETUJU_USULAN",F416&lt;&gt;""),"HAPUS_KOREKSI",IF(H416="","ISI_KOREKSI",IF(NOT(OR(H416="FLOOD",H416="EARTHQUAKE",H416="FIRE",H416="ACCIDENT",H416="NON_EVENT")),"CEK_LABEL",IF(AND(E416="KOREKSI",TRIM(G416)=""),"ISI_CATATAN","REVIEW_TERCATAT"))))))))</x:f>
        <x:v>REVIEW_TERCATAT</x:v>
      </x:c>
      <x:c r="J416" s="4" t="str">
        <x:v>Label dataset dan prediksi baseline sama; makna MVP belum direview. Kesepakatan keduanya belum membuktikan label final.</x:v>
      </x:c>
      <x:c r="K416" s="4" t="str">
        <x:v>NON_EVENT</x:v>
      </x:c>
      <x:c r="L416" s="14" t="n">
        <x:v>0.990070641040802</x:v>
      </x:c>
    </x:row>
    <x:row r="417" ht="64" customHeight="1">
      <x:c r="A417" s="4" t="str">
        <x:v>BAN-01529</x:v>
      </x:c>
      <x:c r="B417" s="4" t="str">
        <x:v>mantaps ! ! bang sandi sampaikan belasungkawa untuk korban di christchurch banjir di papua dan gempa di ntb ajak istghfar dan berdoa</x:v>
      </x:c>
      <x:c r="C417" s="4" t="str">
        <x:v>NON_EVENT</x:v>
      </x:c>
      <x:c r="D417" s="4" t="str">
        <x:v>NON_EVENT</x:v>
      </x:c>
      <x:c r="E417" s="12" t="str">
        <x:v>TUNDA</x:v>
      </x:c>
      <x:c r="F417" s="12" t="str"/>
      <x:c r="G417" s="12" t="str">
        <x:v>Belasungkawa merujuk banjir Papua dan gempa NTB sekaligus, di samping korban Christchurch. Tidak ada kategori MVP utama yang jelas di antara FLOOD dan EARTHQUAKE. Perlu adjudikasi kategori utama. R1,R5.</x:v>
      </x:c>
      <x:c r="H417" s="4" t="str">
        <x:f>IF(E417="SETUJU_USULAN",D417,IF(E417="KOREKSI",F417,""))</x:f>
      </x:c>
      <x:c r="I417" s="4" t="str">
        <x:f>IF(E417="","BELUM_DIREVIEW",IF(E417="TUNDA","DITUNDA",IF(TRIM(Panduan!$B$5)="","ISI_REVIEWER",IF(AND(E417&lt;&gt;"SETUJU_USULAN",E417&lt;&gt;"KOREKSI"),"CEK_KEPUTUSAN",IF(AND(E417="SETUJU_USULAN",F417&lt;&gt;""),"HAPUS_KOREKSI",IF(H417="","ISI_KOREKSI",IF(NOT(OR(H417="FLOOD",H417="EARTHQUAKE",H417="FIRE",H417="ACCIDENT",H417="NON_EVENT")),"CEK_LABEL",IF(AND(E417="KOREKSI",TRIM(G417)=""),"ISI_CATATAN","REVIEW_TERCATAT"))))))))</x:f>
        <x:v>DITUNDA</x:v>
      </x:c>
      <x:c r="J417" s="4" t="str">
        <x:v>Label dataset dan prediksi baseline sama; makna MVP belum direview. Kesepakatan keduanya belum membuktikan label final.</x:v>
      </x:c>
      <x:c r="K417" s="4" t="str">
        <x:v>NON_EVENT</x:v>
      </x:c>
      <x:c r="L417" s="14" t="n">
        <x:v>0.9900730848312378</x:v>
      </x:c>
    </x:row>
    <x:row r="418" ht="64" customHeight="1">
      <x:c r="A418" s="4" t="str">
        <x:v>GEM-01418</x:v>
      </x:c>
      <x:c r="B418" s="4" t="str">
        <x:v>ingin berbagi kebahagiaan dengan sesama keluarga mempelai pun melakukan penggalangan dana bagi korban bencana gempa bumi di palu donggala sigi dan lombok</x:v>
      </x:c>
      <x:c r="C418" s="4" t="str">
        <x:v>NON_EVENT</x:v>
      </x:c>
      <x:c r="D418" s="4" t="str">
        <x:v>NON_EVENT</x:v>
      </x:c>
      <x:c r="E418" s="12" t="str">
        <x:v>KOREKSI</x:v>
      </x:c>
      <x:c r="F418" s="12" t="str">
        <x:v>EARTHQUAKE</x:v>
      </x:c>
      <x:c r="G418" s="12" t="str">
        <x:v>Penggalangan dana keluarga mempelai ditujukan kepada korban gempa Palu, Donggala, Sigi dan Lombok. R1,R5.</x:v>
      </x:c>
      <x:c r="H418" s="4" t="str">
        <x:f>IF(E418="SETUJU_USULAN",D418,IF(E418="KOREKSI",F418,""))</x:f>
        <x:v>EARTHQUAKE</x:v>
      </x:c>
      <x:c r="I418" s="4" t="str">
        <x:f>IF(E418="","BELUM_DIREVIEW",IF(E418="TUNDA","DITUNDA",IF(TRIM(Panduan!$B$5)="","ISI_REVIEWER",IF(AND(E418&lt;&gt;"SETUJU_USULAN",E418&lt;&gt;"KOREKSI"),"CEK_KEPUTUSAN",IF(AND(E418="SETUJU_USULAN",F418&lt;&gt;""),"HAPUS_KOREKSI",IF(H418="","ISI_KOREKSI",IF(NOT(OR(H418="FLOOD",H418="EARTHQUAKE",H418="FIRE",H418="ACCIDENT",H418="NON_EVENT")),"CEK_LABEL",IF(AND(E418="KOREKSI",TRIM(G418)=""),"ISI_CATATAN","REVIEW_TERCATAT"))))))))</x:f>
        <x:v>REVIEW_TERCATAT</x:v>
      </x:c>
      <x:c r="J418" s="4" t="str">
        <x:v>Label dataset dan prediksi baseline sama; makna MVP belum direview. Kesepakatan keduanya belum membuktikan label final.</x:v>
      </x:c>
      <x:c r="K418" s="4" t="str">
        <x:v>NON_EVENT</x:v>
      </x:c>
      <x:c r="L418" s="14" t="n">
        <x:v>0.9900909662246704</x:v>
      </x:c>
    </x:row>
    <x:row r="419" ht="64" customHeight="1">
      <x:c r="A419" s="4" t="str">
        <x:v>GEM-01213</x:v>
      </x:c>
      <x:c r="B419" s="4" t="str">
        <x:v>ini suporternya indonesia bisa nyaingi kencengnya suporter mexico yang sampai bikin gempa bumi lokal di rusia kemarin hahaha</x:v>
      </x:c>
      <x:c r="C419" s="4" t="str">
        <x:v>NON_EVENT</x:v>
      </x:c>
      <x:c r="D419" s="4" t="str">
        <x:v>NON_EVENT</x:v>
      </x:c>
      <x:c r="E419" s="12" t="str">
        <x:v>SETUJU_USULAN</x:v>
      </x:c>
      <x:c r="F419" s="12" t="str"/>
      <x:c r="G419" s="12" t="str">
        <x:v>Gempa dipakai sebagai hiperbola kerasnya suara suporter dalam perbandingan, tanpa uraian kejadian geologis. R3.</x:v>
      </x:c>
      <x:c r="H419" s="4" t="str">
        <x:f>IF(E419="SETUJU_USULAN",D419,IF(E419="KOREKSI",F419,""))</x:f>
        <x:v>NON_EVENT</x:v>
      </x:c>
      <x:c r="I419" s="4" t="str">
        <x:f>IF(E419="","BELUM_DIREVIEW",IF(E419="TUNDA","DITUNDA",IF(TRIM(Panduan!$B$5)="","ISI_REVIEWER",IF(AND(E419&lt;&gt;"SETUJU_USULAN",E419&lt;&gt;"KOREKSI"),"CEK_KEPUTUSAN",IF(AND(E419="SETUJU_USULAN",F419&lt;&gt;""),"HAPUS_KOREKSI",IF(H419="","ISI_KOREKSI",IF(NOT(OR(H419="FLOOD",H419="EARTHQUAKE",H419="FIRE",H419="ACCIDENT",H419="NON_EVENT")),"CEK_LABEL",IF(AND(E419="KOREKSI",TRIM(G419)=""),"ISI_CATATAN","REVIEW_TERCATAT"))))))))</x:f>
        <x:v>REVIEW_TERCATAT</x:v>
      </x:c>
      <x:c r="J419" s="4" t="str">
        <x:v>Label dataset dan prediksi baseline sama; makna MVP belum direview. Kesepakatan keduanya belum membuktikan label final.</x:v>
      </x:c>
      <x:c r="K419" s="4" t="str">
        <x:v>NON_EVENT</x:v>
      </x:c>
      <x:c r="L419" s="14" t="n">
        <x:v>0.9901108145713806</x:v>
      </x:c>
    </x:row>
    <x:row r="420" ht="64" customHeight="1">
      <x:c r="A420" s="4" t="str">
        <x:v>GEM-01136</x:v>
      </x:c>
      <x:c r="B420" s="4" t="str">
        <x:v>ayo bergabung bersama t-shelter indonesia dan bersama-sama kita bantu saudara-saudara kita yang terdampak bencana gempa bumi di sulawesi tengah dan lombok ntb dengan</x:v>
      </x:c>
      <x:c r="C420" s="4" t="str">
        <x:v>NON_EVENT</x:v>
      </x:c>
      <x:c r="D420" s="4" t="str">
        <x:v>NON_EVENT</x:v>
      </x:c>
      <x:c r="E420" s="12" t="str">
        <x:v>KOREKSI</x:v>
      </x:c>
      <x:c r="F420" s="12" t="str">
        <x:v>EARTHQUAKE</x:v>
      </x:c>
      <x:c r="G420" s="12" t="str">
        <x:v>Ajakan membantu merujuk warga terdampak gempa Sulawesi Tengah dan Lombok. R1,R5.</x:v>
      </x:c>
      <x:c r="H420" s="4" t="str">
        <x:f>IF(E420="SETUJU_USULAN",D420,IF(E420="KOREKSI",F420,""))</x:f>
        <x:v>EARTHQUAKE</x:v>
      </x:c>
      <x:c r="I420" s="4" t="str">
        <x:f>IF(E420="","BELUM_DIREVIEW",IF(E420="TUNDA","DITUNDA",IF(TRIM(Panduan!$B$5)="","ISI_REVIEWER",IF(AND(E420&lt;&gt;"SETUJU_USULAN",E420&lt;&gt;"KOREKSI"),"CEK_KEPUTUSAN",IF(AND(E420="SETUJU_USULAN",F420&lt;&gt;""),"HAPUS_KOREKSI",IF(H420="","ISI_KOREKSI",IF(NOT(OR(H420="FLOOD",H420="EARTHQUAKE",H420="FIRE",H420="ACCIDENT",H420="NON_EVENT")),"CEK_LABEL",IF(AND(E420="KOREKSI",TRIM(G420)=""),"ISI_CATATAN","REVIEW_TERCATAT"))))))))</x:f>
        <x:v>REVIEW_TERCATAT</x:v>
      </x:c>
      <x:c r="J420" s="4" t="str">
        <x:v>Label dataset dan prediksi baseline sama; makna MVP belum direview. Kesepakatan keduanya belum membuktikan label final.</x:v>
      </x:c>
      <x:c r="K420" s="4" t="str">
        <x:v>NON_EVENT</x:v>
      </x:c>
      <x:c r="L420" s="14" t="n">
        <x:v>0.9901134967803955</x:v>
      </x:c>
    </x:row>
    <x:row r="421" ht="64" customHeight="1">
      <x:c r="A421" s="4" t="str">
        <x:v>GEM-01573</x:v>
      </x:c>
      <x:c r="B421" s="4" t="str">
        <x:v>saleum takziah kepada mangsa gempa bumi &amp; tsunami di darussalam 26 december 2004-2018 ( 14 tahun ) uroe moelia mati syahed al fatihah</x:v>
      </x:c>
      <x:c r="C421" s="4" t="str">
        <x:v>NON_EVENT</x:v>
      </x:c>
      <x:c r="D421" s="4" t="str">
        <x:v>NON_EVENT</x:v>
      </x:c>
      <x:c r="E421" s="12" t="str">
        <x:v>KOREKSI</x:v>
      </x:c>
      <x:c r="F421" s="12" t="str">
        <x:v>EARTHQUAKE</x:v>
      </x:c>
      <x:c r="G421" s="12" t="str">
        <x:v>Takziah memperingati korban gempa dan tsunami 26 Desember 2004. Usia kejadian tidak mengubah kategorinya. R1,R5,R6.</x:v>
      </x:c>
      <x:c r="H421" s="4" t="str">
        <x:f>IF(E421="SETUJU_USULAN",D421,IF(E421="KOREKSI",F421,""))</x:f>
        <x:v>EARTHQUAKE</x:v>
      </x:c>
      <x:c r="I421" s="4" t="str">
        <x:f>IF(E421="","BELUM_DIREVIEW",IF(E421="TUNDA","DITUNDA",IF(TRIM(Panduan!$B$5)="","ISI_REVIEWER",IF(AND(E421&lt;&gt;"SETUJU_USULAN",E421&lt;&gt;"KOREKSI"),"CEK_KEPUTUSAN",IF(AND(E421="SETUJU_USULAN",F421&lt;&gt;""),"HAPUS_KOREKSI",IF(H421="","ISI_KOREKSI",IF(NOT(OR(H421="FLOOD",H421="EARTHQUAKE",H421="FIRE",H421="ACCIDENT",H421="NON_EVENT")),"CEK_LABEL",IF(AND(E421="KOREKSI",TRIM(G421)=""),"ISI_CATATAN","REVIEW_TERCATAT"))))))))</x:f>
        <x:v>REVIEW_TERCATAT</x:v>
      </x:c>
      <x:c r="J421" s="4" t="str">
        <x:v>Label dataset dan prediksi baseline sama; makna MVP belum direview. Kesepakatan keduanya belum membuktikan label final.</x:v>
      </x:c>
      <x:c r="K421" s="4" t="str">
        <x:v>NON_EVENT</x:v>
      </x:c>
      <x:c r="L421" s="14" t="n">
        <x:v>0.9901158213615417</x:v>
      </x:c>
    </x:row>
    <x:row r="422" ht="64" customHeight="1">
      <x:c r="A422" s="4" t="str">
        <x:v>GEM-01344</x:v>
      </x:c>
      <x:c r="B422" s="4" t="str">
        <x:v>selain personel perlengkapan dan alat berat yang digunakan dalam membantu korban bencana gempa bumi di ntb seperti 1 unit excavator</x:v>
      </x:c>
      <x:c r="C422" s="4" t="str">
        <x:v>NON_EVENT</x:v>
      </x:c>
      <x:c r="D422" s="4" t="str">
        <x:v>NON_EVENT</x:v>
      </x:c>
      <x:c r="E422" s="12" t="str">
        <x:v>KOREKSI</x:v>
      </x:c>
      <x:c r="F422" s="12" t="str">
        <x:v>EARTHQUAKE</x:v>
      </x:c>
      <x:c r="G422" s="12" t="str">
        <x:v>Personel dan alat berat disebut digunakan membantu korban gempa di NTB. R1,R5.</x:v>
      </x:c>
      <x:c r="H422" s="4" t="str">
        <x:f>IF(E422="SETUJU_USULAN",D422,IF(E422="KOREKSI",F422,""))</x:f>
        <x:v>EARTHQUAKE</x:v>
      </x:c>
      <x:c r="I422" s="4" t="str">
        <x:f>IF(E422="","BELUM_DIREVIEW",IF(E422="TUNDA","DITUNDA",IF(TRIM(Panduan!$B$5)="","ISI_REVIEWER",IF(AND(E422&lt;&gt;"SETUJU_USULAN",E422&lt;&gt;"KOREKSI"),"CEK_KEPUTUSAN",IF(AND(E422="SETUJU_USULAN",F422&lt;&gt;""),"HAPUS_KOREKSI",IF(H422="","ISI_KOREKSI",IF(NOT(OR(H422="FLOOD",H422="EARTHQUAKE",H422="FIRE",H422="ACCIDENT",H422="NON_EVENT")),"CEK_LABEL",IF(AND(E422="KOREKSI",TRIM(G422)=""),"ISI_CATATAN","REVIEW_TERCATAT"))))))))</x:f>
        <x:v>REVIEW_TERCATAT</x:v>
      </x:c>
      <x:c r="J422" s="4" t="str">
        <x:v>Label dataset dan prediksi baseline sama; makna MVP belum direview. Kesepakatan keduanya belum membuktikan label final.</x:v>
      </x:c>
      <x:c r="K422" s="4" t="str">
        <x:v>NON_EVENT</x:v>
      </x:c>
      <x:c r="L422" s="14" t="n">
        <x:v>0.990126371383667</x:v>
      </x:c>
    </x:row>
    <x:row r="423" ht="64" customHeight="1">
      <x:c r="A423" s="4" t="str">
        <x:v>KEB-01017</x:v>
      </x:c>
      <x:c r="B423" s="4" t="str">
        <x:v>pagi ini jumat 30 oktober . telah terjadi 10.1.1 ( kebakaran ) di kota baru kalimantan selatan . dan dilaporkan , api masih berkobar . . . minta doa nya semoga api cepat padam amiin . .</x:v>
      </x:c>
      <x:c r="C423" s="4" t="str">
        <x:v>FIRE</x:v>
      </x:c>
      <x:c r="D423" s="4" t="str">
        <x:v>FIRE</x:v>
      </x:c>
      <x:c r="E423" s="12" t="str">
        <x:v>SETUJU_USULAN</x:v>
      </x:c>
      <x:c r="F423" s="12" t="str"/>
      <x:c r="G423" s="12" t="str">
        <x:v>Narasi menyatakan kejadian kebakaran yang terjadi atau telah terjadi. Label mengikuti isi kejadian, termasuk penanganan dan dampak yang disebut. R1,R4.</x:v>
      </x:c>
      <x:c r="H423" s="4" t="str">
        <x:f>IF(E423="SETUJU_USULAN",D423,IF(E423="KOREKSI",F423,""))</x:f>
        <x:v>FIRE</x:v>
      </x:c>
      <x:c r="I423" s="4" t="str">
        <x:f>IF(E423="","BELUM_DIREVIEW",IF(E423="TUNDA","DITUNDA",IF(TRIM(Panduan!$B$5)="","ISI_REVIEWER",IF(AND(E423&lt;&gt;"SETUJU_USULAN",E423&lt;&gt;"KOREKSI"),"CEK_KEPUTUSAN",IF(AND(E423="SETUJU_USULAN",F423&lt;&gt;""),"HAPUS_KOREKSI",IF(H423="","ISI_KOREKSI",IF(NOT(OR(H423="FLOOD",H423="EARTHQUAKE",H423="FIRE",H423="ACCIDENT",H423="NON_EVENT")),"CEK_LABEL",IF(AND(E423="KOREKSI",TRIM(G423)=""),"ISI_CATATAN","REVIEW_TERCATAT"))))))))</x:f>
        <x:v>REVIEW_TERCATAT</x:v>
      </x:c>
      <x:c r="J423" s="4" t="str">
        <x:v>Label dataset dan prediksi baseline sama; makna MVP belum direview. Kesepakatan keduanya belum membuktikan label final.</x:v>
      </x:c>
      <x:c r="K423" s="4" t="str">
        <x:v>FIRE</x:v>
      </x:c>
      <x:c r="L423" s="14" t="n">
        <x:v>0.9901264905929565</x:v>
      </x:c>
    </x:row>
    <x:row r="424" ht="64" customHeight="1">
      <x:c r="A424" s="4" t="str">
        <x:v>GEM-01306</x:v>
      </x:c>
      <x:c r="B424" s="4" t="str">
        <x:v>ibm indonesia bersama dengan perwakilan dari pureheart wahana visi indonesia igegama iabie dan juga bppt datang mengunjungi tempat pengusian dari korban bencana alam gempa bumi di</x:v>
      </x:c>
      <x:c r="C424" s="4" t="str">
        <x:v>NON_EVENT</x:v>
      </x:c>
      <x:c r="D424" s="4" t="str">
        <x:v>NON_EVENT</x:v>
      </x:c>
      <x:c r="E424" s="12" t="str">
        <x:v>KOREKSI</x:v>
      </x:c>
      <x:c r="F424" s="12" t="str">
        <x:v>EARTHQUAKE</x:v>
      </x:c>
      <x:c r="G424" s="12" t="str">
        <x:v>Kunjungan perusahaan dan lembaga merujuk tempat pengungsian korban gempa. Lokasi yang terpotong tidak menghapus rujukan korban kejadian. R1,R4,R5.</x:v>
      </x:c>
      <x:c r="H424" s="4" t="str">
        <x:f>IF(E424="SETUJU_USULAN",D424,IF(E424="KOREKSI",F424,""))</x:f>
        <x:v>EARTHQUAKE</x:v>
      </x:c>
      <x:c r="I424" s="4" t="str">
        <x:f>IF(E424="","BELUM_DIREVIEW",IF(E424="TUNDA","DITUNDA",IF(TRIM(Panduan!$B$5)="","ISI_REVIEWER",IF(AND(E424&lt;&gt;"SETUJU_USULAN",E424&lt;&gt;"KOREKSI"),"CEK_KEPUTUSAN",IF(AND(E424="SETUJU_USULAN",F424&lt;&gt;""),"HAPUS_KOREKSI",IF(H424="","ISI_KOREKSI",IF(NOT(OR(H424="FLOOD",H424="EARTHQUAKE",H424="FIRE",H424="ACCIDENT",H424="NON_EVENT")),"CEK_LABEL",IF(AND(E424="KOREKSI",TRIM(G424)=""),"ISI_CATATAN","REVIEW_TERCATAT"))))))))</x:f>
        <x:v>REVIEW_TERCATAT</x:v>
      </x:c>
      <x:c r="J424" s="4" t="str">
        <x:v>Label dataset dan prediksi baseline sama; makna MVP belum direview. Kesepakatan keduanya belum membuktikan label final.</x:v>
      </x:c>
      <x:c r="K424" s="4" t="str">
        <x:v>NON_EVENT</x:v>
      </x:c>
      <x:c r="L424" s="14" t="n">
        <x:v>0.9901354908943176</x:v>
      </x:c>
    </x:row>
    <x:row r="425" ht="64" customHeight="1">
      <x:c r="A425" s="4" t="str">
        <x:v>BAN-01969</x:v>
      </x:c>
      <x:c r="B425" s="4" t="str">
        <x:v>bila besok ada kcebong terkena bencana alam gempa sunami banjir dll kami tidak akan berduka cita sama sekali cukup lihat di media sambil merokok dan minum kopi</x:v>
      </x:c>
      <x:c r="C425" s="4" t="str">
        <x:v>NON_EVENT</x:v>
      </x:c>
      <x:c r="D425" s="4" t="str">
        <x:v>NON_EVENT</x:v>
      </x:c>
      <x:c r="E425" s="12" t="str">
        <x:v>SETUJU_USULAN</x:v>
      </x:c>
      <x:c r="F425" s="12" t="str"/>
      <x:c r="G425" s="12" t="str">
        <x:v>Bencana hanya disebut dalam skenario bila besok terjadi. R3.</x:v>
      </x:c>
      <x:c r="H425" s="4" t="str">
        <x:f>IF(E425="SETUJU_USULAN",D425,IF(E425="KOREKSI",F425,""))</x:f>
        <x:v>NON_EVENT</x:v>
      </x:c>
      <x:c r="I425" s="4" t="str">
        <x:f>IF(E425="","BELUM_DIREVIEW",IF(E425="TUNDA","DITUNDA",IF(TRIM(Panduan!$B$5)="","ISI_REVIEWER",IF(AND(E425&lt;&gt;"SETUJU_USULAN",E425&lt;&gt;"KOREKSI"),"CEK_KEPUTUSAN",IF(AND(E425="SETUJU_USULAN",F425&lt;&gt;""),"HAPUS_KOREKSI",IF(H425="","ISI_KOREKSI",IF(NOT(OR(H425="FLOOD",H425="EARTHQUAKE",H425="FIRE",H425="ACCIDENT",H425="NON_EVENT")),"CEK_LABEL",IF(AND(E425="KOREKSI",TRIM(G425)=""),"ISI_CATATAN","REVIEW_TERCATAT"))))))))</x:f>
        <x:v>REVIEW_TERCATAT</x:v>
      </x:c>
      <x:c r="J425" s="4" t="str">
        <x:v>Label dataset dan prediksi baseline sama; makna MVP belum direview. Kesepakatan keduanya belum membuktikan label final.</x:v>
      </x:c>
      <x:c r="K425" s="4" t="str">
        <x:v>NON_EVENT</x:v>
      </x:c>
      <x:c r="L425" s="14" t="n">
        <x:v>0.9901464581489563</x:v>
      </x:c>
    </x:row>
    <x:row r="426" ht="64" customHeight="1">
      <x:c r="A426" s="4" t="str">
        <x:v>KEB-00615</x:v>
      </x:c>
      <x:c r="B426" s="4" t="str">
        <x:v>kebakaran 7 rumah di morokrembangan surabaya diduga karena korsleting : kebakaran 7 rumah di jalan tambak asri bunga rampai 5 , rw 6 , morokrembangan , surabaya , diduga dipicu oleh korsleting di salah satu rumah</x:v>
      </x:c>
      <x:c r="C426" s="4" t="str">
        <x:v>FIRE</x:v>
      </x:c>
      <x:c r="D426" s="4" t="str">
        <x:v>FIRE</x:v>
      </x:c>
      <x:c r="E426" s="12" t="str">
        <x:v>SETUJU_USULAN</x:v>
      </x:c>
      <x:c r="F426" s="12" t="str"/>
      <x:c r="G426" s="12" t="str">
        <x:v>Narasi menyatakan kejadian kebakaran yang terjadi atau telah terjadi. Label mengikuti isi kejadian, termasuk penanganan dan dampak yang disebut. R1,R4.</x:v>
      </x:c>
      <x:c r="H426" s="4" t="str">
        <x:f>IF(E426="SETUJU_USULAN",D426,IF(E426="KOREKSI",F426,""))</x:f>
        <x:v>FIRE</x:v>
      </x:c>
      <x:c r="I426" s="4" t="str">
        <x:f>IF(E426="","BELUM_DIREVIEW",IF(E426="TUNDA","DITUNDA",IF(TRIM(Panduan!$B$5)="","ISI_REVIEWER",IF(AND(E426&lt;&gt;"SETUJU_USULAN",E426&lt;&gt;"KOREKSI"),"CEK_KEPUTUSAN",IF(AND(E426="SETUJU_USULAN",F426&lt;&gt;""),"HAPUS_KOREKSI",IF(H426="","ISI_KOREKSI",IF(NOT(OR(H426="FLOOD",H426="EARTHQUAKE",H426="FIRE",H426="ACCIDENT",H426="NON_EVENT")),"CEK_LABEL",IF(AND(E426="KOREKSI",TRIM(G426)=""),"ISI_CATATAN","REVIEW_TERCATAT"))))))))</x:f>
        <x:v>REVIEW_TERCATAT</x:v>
      </x:c>
      <x:c r="J426" s="4" t="str">
        <x:v>Label dataset dan prediksi baseline sama; makna MVP belum direview. Kesepakatan keduanya belum membuktikan label final.</x:v>
      </x:c>
      <x:c r="K426" s="4" t="str">
        <x:v>FIRE</x:v>
      </x:c>
      <x:c r="L426" s="14" t="n">
        <x:v>0.9901700615882874</x:v>
      </x:c>
    </x:row>
    <x:row r="427" ht="64" customHeight="1">
      <x:c r="A427" s="4" t="str">
        <x:v>GEM-01520</x:v>
      </x:c>
      <x:c r="B427" s="4" t="str">
        <x:v>antam kembali menerima penghargaan dari kementerian esdm atas partisipasi aktif sebagai bagian dari tim esdm siaga bencana gempa bumi tsunami dan likuifaksi yang terjadi di provinisi sulawesi tengah pada bulan oktober lalu</x:v>
      </x:c>
      <x:c r="C427" s="4" t="str">
        <x:v>NON_EVENT</x:v>
      </x:c>
      <x:c r="D427" s="4" t="str">
        <x:v>NON_EVENT</x:v>
      </x:c>
      <x:c r="E427" s="12" t="str">
        <x:v>KOREKSI</x:v>
      </x:c>
      <x:c r="F427" s="12" t="str">
        <x:v>EARTHQUAKE</x:v>
      </x:c>
      <x:c r="G427" s="12" t="str">
        <x:v>Penghargaan Antam dikaitkan dengan partisipasi dalam penanganan gempa Sulawesi Tengah pada Oktober lalu. R1,R5,R6.</x:v>
      </x:c>
      <x:c r="H427" s="4" t="str">
        <x:f>IF(E427="SETUJU_USULAN",D427,IF(E427="KOREKSI",F427,""))</x:f>
        <x:v>EARTHQUAKE</x:v>
      </x:c>
      <x:c r="I427" s="4" t="str">
        <x:f>IF(E427="","BELUM_DIREVIEW",IF(E427="TUNDA","DITUNDA",IF(TRIM(Panduan!$B$5)="","ISI_REVIEWER",IF(AND(E427&lt;&gt;"SETUJU_USULAN",E427&lt;&gt;"KOREKSI"),"CEK_KEPUTUSAN",IF(AND(E427="SETUJU_USULAN",F427&lt;&gt;""),"HAPUS_KOREKSI",IF(H427="","ISI_KOREKSI",IF(NOT(OR(H427="FLOOD",H427="EARTHQUAKE",H427="FIRE",H427="ACCIDENT",H427="NON_EVENT")),"CEK_LABEL",IF(AND(E427="KOREKSI",TRIM(G427)=""),"ISI_CATATAN","REVIEW_TERCATAT"))))))))</x:f>
        <x:v>REVIEW_TERCATAT</x:v>
      </x:c>
      <x:c r="J427" s="4" t="str">
        <x:v>Label dataset dan prediksi baseline sama; makna MVP belum direview. Kesepakatan keduanya belum membuktikan label final.</x:v>
      </x:c>
      <x:c r="K427" s="4" t="str">
        <x:v>NON_EVENT</x:v>
      </x:c>
      <x:c r="L427" s="14" t="n">
        <x:v>0.9902217388153076</x:v>
      </x:c>
    </x:row>
    <x:row r="428" ht="64" customHeight="1">
      <x:c r="A428" s="4" t="str">
        <x:v>KEB-01031</x:v>
      </x:c>
      <x:c r="B428" s="4" t="str">
        <x:v>kebakaran di jl . dahlia , bjm . 0 : 40 wita 04/11 @ banjarmasin</x:v>
      </x:c>
      <x:c r="C428" s="4" t="str">
        <x:v>FIRE</x:v>
      </x:c>
      <x:c r="D428" s="4" t="str">
        <x:v>FIRE</x:v>
      </x:c>
      <x:c r="E428" s="12" t="str">
        <x:v>SETUJU_USULAN</x:v>
      </x:c>
      <x:c r="F428" s="12" t="str"/>
      <x:c r="G428" s="12" t="str">
        <x:v>Narasi menyatakan kejadian kebakaran yang terjadi atau telah terjadi. Label mengikuti isi kejadian, termasuk penanganan dan dampak yang disebut. R1,R4.</x:v>
      </x:c>
      <x:c r="H428" s="4" t="str">
        <x:f>IF(E428="SETUJU_USULAN",D428,IF(E428="KOREKSI",F428,""))</x:f>
        <x:v>FIRE</x:v>
      </x:c>
      <x:c r="I428" s="4" t="str">
        <x:f>IF(E428="","BELUM_DIREVIEW",IF(E428="TUNDA","DITUNDA",IF(TRIM(Panduan!$B$5)="","ISI_REVIEWER",IF(AND(E428&lt;&gt;"SETUJU_USULAN",E428&lt;&gt;"KOREKSI"),"CEK_KEPUTUSAN",IF(AND(E428="SETUJU_USULAN",F428&lt;&gt;""),"HAPUS_KOREKSI",IF(H428="","ISI_KOREKSI",IF(NOT(OR(H428="FLOOD",H428="EARTHQUAKE",H428="FIRE",H428="ACCIDENT",H428="NON_EVENT")),"CEK_LABEL",IF(AND(E428="KOREKSI",TRIM(G428)=""),"ISI_CATATAN","REVIEW_TERCATAT"))))))))</x:f>
        <x:v>REVIEW_TERCATAT</x:v>
      </x:c>
      <x:c r="J428" s="4" t="str">
        <x:v>Label dataset dan prediksi baseline sama; makna MVP belum direview. Kesepakatan keduanya belum membuktikan label final.</x:v>
      </x:c>
      <x:c r="K428" s="4" t="str">
        <x:v>FIRE</x:v>
      </x:c>
      <x:c r="L428" s="14" t="n">
        <x:v>0.9902313351631165</x:v>
      </x:c>
    </x:row>
    <x:row r="429" ht="64" customHeight="1">
      <x:c r="A429" s="4" t="str">
        <x:v>KEC-01170</x:v>
      </x:c>
      <x:c r="B429" s="4" t="str">
        <x:v>kecelakaan sepeda motor di madiun tiga orang tewas -</x:v>
      </x:c>
      <x:c r="C429" s="4" t="str">
        <x:v>ACCIDENT</x:v>
      </x:c>
      <x:c r="D429" s="4" t="str">
        <x:v>ACCIDENT</x:v>
      </x:c>
      <x:c r="E429" s="12" t="str">
        <x:v>SETUJU_USULAN</x:v>
      </x:c>
      <x:c r="F429" s="12" t="str"/>
      <x:c r="G429" s="12" t="str">
        <x:v>Narasi menyatakan kejadian kecelakaan yang terjadi atau telah terjadi. Label mengikuti isi kejadian, termasuk penanganan dan dampak yang disebut. R1,R4.</x:v>
      </x:c>
      <x:c r="H429" s="4" t="str">
        <x:f>IF(E429="SETUJU_USULAN",D429,IF(E429="KOREKSI",F429,""))</x:f>
        <x:v>ACCIDENT</x:v>
      </x:c>
      <x:c r="I429" s="4" t="str">
        <x:f>IF(E429="","BELUM_DIREVIEW",IF(E429="TUNDA","DITUNDA",IF(TRIM(Panduan!$B$5)="","ISI_REVIEWER",IF(AND(E429&lt;&gt;"SETUJU_USULAN",E429&lt;&gt;"KOREKSI"),"CEK_KEPUTUSAN",IF(AND(E429="SETUJU_USULAN",F429&lt;&gt;""),"HAPUS_KOREKSI",IF(H429="","ISI_KOREKSI",IF(NOT(OR(H429="FLOOD",H429="EARTHQUAKE",H429="FIRE",H429="ACCIDENT",H429="NON_EVENT")),"CEK_LABEL",IF(AND(E429="KOREKSI",TRIM(G429)=""),"ISI_CATATAN","REVIEW_TERCATAT"))))))))</x:f>
        <x:v>REVIEW_TERCATAT</x:v>
      </x:c>
      <x:c r="J429" s="4" t="str">
        <x:v>Label dataset dan prediksi baseline sama; makna MVP belum direview. Kesepakatan keduanya belum membuktikan label final.</x:v>
      </x:c>
      <x:c r="K429" s="4" t="str">
        <x:v>ACCIDENT</x:v>
      </x:c>
      <x:c r="L429" s="14" t="n">
        <x:v>0.9902936220169067</x:v>
      </x:c>
    </x:row>
    <x:row r="430" ht="66" customHeight="1">
      <x:c r="A430" s="4" t="str">
        <x:v>GEM-01560</x:v>
      </x:c>
      <x:c r="B430" s="4" t="str">
        <x:v>korban bencana gempa bumi di lombok belum mendapat bantuan sesuai yang dijanjikan jkw rumah2 yang hancur masih tetap hancur untung banyak relawan seperti memg muhammadiyah fpi pks dll yang membuatkan huntara = hunian sementara kasihan mereka apalagi sekarang musim hujan</x:v>
      </x:c>
      <x:c r="C430" s="4" t="str">
        <x:v>NON_EVENT</x:v>
      </x:c>
      <x:c r="D430" s="4" t="str">
        <x:v>NON_EVENT</x:v>
      </x:c>
      <x:c r="E430" s="12" t="str">
        <x:v>KOREKSI</x:v>
      </x:c>
      <x:c r="F430" s="12" t="str">
        <x:v>EARTHQUAKE</x:v>
      </x:c>
      <x:c r="G430" s="12" t="str">
        <x:v>Keluhan bantuan menyebut rumah korban gempa Lombok masih hancur serta pembangunan hunian sementara. R1,R5.</x:v>
      </x:c>
      <x:c r="H430" s="4" t="str">
        <x:f>IF(E430="SETUJU_USULAN",D430,IF(E430="KOREKSI",F430,""))</x:f>
        <x:v>EARTHQUAKE</x:v>
      </x:c>
      <x:c r="I430" s="4" t="str">
        <x:f>IF(E430="","BELUM_DIREVIEW",IF(E430="TUNDA","DITUNDA",IF(TRIM(Panduan!$B$5)="","ISI_REVIEWER",IF(AND(E430&lt;&gt;"SETUJU_USULAN",E430&lt;&gt;"KOREKSI"),"CEK_KEPUTUSAN",IF(AND(E430="SETUJU_USULAN",F430&lt;&gt;""),"HAPUS_KOREKSI",IF(H430="","ISI_KOREKSI",IF(NOT(OR(H430="FLOOD",H430="EARTHQUAKE",H430="FIRE",H430="ACCIDENT",H430="NON_EVENT")),"CEK_LABEL",IF(AND(E430="KOREKSI",TRIM(G430)=""),"ISI_CATATAN","REVIEW_TERCATAT"))))))))</x:f>
        <x:v>REVIEW_TERCATAT</x:v>
      </x:c>
      <x:c r="J430" s="4" t="str">
        <x:v>Label dataset dan prediksi baseline sama; makna MVP belum direview. Kesepakatan keduanya belum membuktikan label final.</x:v>
      </x:c>
      <x:c r="K430" s="4" t="str">
        <x:v>NON_EVENT</x:v>
      </x:c>
      <x:c r="L430" s="14" t="n">
        <x:v>0.9903222918510437</x:v>
      </x:c>
    </x:row>
    <x:row r="431" ht="66" customHeight="1">
      <x:c r="A431" s="4" t="str">
        <x:v>GEM-01075</x:v>
      </x:c>
      <x:c r="B431" s="4" t="str">
        <x:v>presiden menyambut baik keputusan untuk menyederhanakan prosedur pengambilan uang bagi korban gempa bumi di lombok ntb dari 17 menjadi tinggal 1 prosedur saja yang diikuti sehingga di lapangan betul-betul bisa dilaksanakan pembagian uang bantuan pembangunan rumah itu</x:v>
      </x:c>
      <x:c r="C431" s="4" t="str">
        <x:v>NON_EVENT</x:v>
      </x:c>
      <x:c r="D431" s="4" t="str">
        <x:v>NON_EVENT</x:v>
      </x:c>
      <x:c r="E431" s="12" t="str">
        <x:v>KOREKSI</x:v>
      </x:c>
      <x:c r="F431" s="12" t="str">
        <x:v>EARTHQUAKE</x:v>
      </x:c>
      <x:c r="G431" s="12" t="str">
        <x:v>Penyederhanaan prosedur bantuan ditujukan kepada korban gempa Lombok, NTB. Tujuan administratif tetap merujuk kejadian. R1,R5.</x:v>
      </x:c>
      <x:c r="H431" s="4" t="str">
        <x:f>IF(E431="SETUJU_USULAN",D431,IF(E431="KOREKSI",F431,""))</x:f>
        <x:v>EARTHQUAKE</x:v>
      </x:c>
      <x:c r="I431" s="4" t="str">
        <x:f>IF(E431="","BELUM_DIREVIEW",IF(E431="TUNDA","DITUNDA",IF(TRIM(Panduan!$B$5)="","ISI_REVIEWER",IF(AND(E431&lt;&gt;"SETUJU_USULAN",E431&lt;&gt;"KOREKSI"),"CEK_KEPUTUSAN",IF(AND(E431="SETUJU_USULAN",F431&lt;&gt;""),"HAPUS_KOREKSI",IF(H431="","ISI_KOREKSI",IF(NOT(OR(H431="FLOOD",H431="EARTHQUAKE",H431="FIRE",H431="ACCIDENT",H431="NON_EVENT")),"CEK_LABEL",IF(AND(E431="KOREKSI",TRIM(G431)=""),"ISI_CATATAN","REVIEW_TERCATAT"))))))))</x:f>
        <x:v>REVIEW_TERCATAT</x:v>
      </x:c>
      <x:c r="J431" s="4" t="str">
        <x:v>Label dataset dan prediksi baseline sama; makna MVP belum direview. Kesepakatan keduanya belum membuktikan label final.</x:v>
      </x:c>
      <x:c r="K431" s="4" t="str">
        <x:v>NON_EVENT</x:v>
      </x:c>
      <x:c r="L431" s="14" t="n">
        <x:v>0.990324854850769</x:v>
      </x:c>
    </x:row>
    <x:row r="432" ht="64" customHeight="1">
      <x:c r="A432" s="4" t="str">
        <x:v>GEM-01477</x:v>
      </x:c>
      <x:c r="B432" s="4" t="str">
        <x:v>kalau gempa bumi dan tsunami serta gunung meletus akibat dari perbuatan manusia di mana dan yang mana ?</x:v>
      </x:c>
      <x:c r="C432" s="4" t="str">
        <x:v>NON_EVENT</x:v>
      </x:c>
      <x:c r="D432" s="4" t="str">
        <x:v>NON_EVENT</x:v>
      </x:c>
      <x:c r="E432" s="12" t="str">
        <x:v>SETUJU_USULAN</x:v>
      </x:c>
      <x:c r="F432" s="12" t="str"/>
      <x:c r="G432" s="12" t="str">
        <x:v>Pertanyaan sebab bencana bersifat umum dan tidak merujuk kejadian tertentu. R3.</x:v>
      </x:c>
      <x:c r="H432" s="4" t="str">
        <x:f>IF(E432="SETUJU_USULAN",D432,IF(E432="KOREKSI",F432,""))</x:f>
        <x:v>NON_EVENT</x:v>
      </x:c>
      <x:c r="I432" s="4" t="str">
        <x:f>IF(E432="","BELUM_DIREVIEW",IF(E432="TUNDA","DITUNDA",IF(TRIM(Panduan!$B$5)="","ISI_REVIEWER",IF(AND(E432&lt;&gt;"SETUJU_USULAN",E432&lt;&gt;"KOREKSI"),"CEK_KEPUTUSAN",IF(AND(E432="SETUJU_USULAN",F432&lt;&gt;""),"HAPUS_KOREKSI",IF(H432="","ISI_KOREKSI",IF(NOT(OR(H432="FLOOD",H432="EARTHQUAKE",H432="FIRE",H432="ACCIDENT",H432="NON_EVENT")),"CEK_LABEL",IF(AND(E432="KOREKSI",TRIM(G432)=""),"ISI_CATATAN","REVIEW_TERCATAT"))))))))</x:f>
        <x:v>REVIEW_TERCATAT</x:v>
      </x:c>
      <x:c r="J432" s="4" t="str">
        <x:v>Label dataset dan prediksi baseline sama; makna MVP belum direview. Kesepakatan keduanya belum membuktikan label final.</x:v>
      </x:c>
      <x:c r="K432" s="4" t="str">
        <x:v>NON_EVENT</x:v>
      </x:c>
      <x:c r="L432" s="14" t="n">
        <x:v>0.9903609752655029</x:v>
      </x:c>
    </x:row>
    <x:row r="433" ht="64" customHeight="1">
      <x:c r="A433" s="4" t="str">
        <x:v>KEB-00355</x:v>
      </x:c>
      <x:c r="B433" s="4" t="str">
        <x:v>peristiwa kebakaran memecah kesunyian malam ramadhan sekitar pukul 1 : 30 dinihari tadi , sabtu ( 25/4/2020 ) yang terjadi di km 91 jalan raya room , kecamatan manyar . bermula dari hubungan pendek arus listrik yang</x:v>
      </x:c>
      <x:c r="C433" s="4" t="str">
        <x:v>FIRE</x:v>
      </x:c>
      <x:c r="D433" s="4" t="str">
        <x:v>FIRE</x:v>
      </x:c>
      <x:c r="E433" s="12" t="str">
        <x:v>SETUJU_USULAN</x:v>
      </x:c>
      <x:c r="F433" s="12" t="str"/>
      <x:c r="G433" s="12" t="str">
        <x:v>Narasi menyatakan kejadian kebakaran yang terjadi atau telah terjadi. Label mengikuti isi kejadian, termasuk penanganan dan dampak yang disebut. R1,R4.</x:v>
      </x:c>
      <x:c r="H433" s="4" t="str">
        <x:f>IF(E433="SETUJU_USULAN",D433,IF(E433="KOREKSI",F433,""))</x:f>
        <x:v>FIRE</x:v>
      </x:c>
      <x:c r="I433" s="4" t="str">
        <x:f>IF(E433="","BELUM_DIREVIEW",IF(E433="TUNDA","DITUNDA",IF(TRIM(Panduan!$B$5)="","ISI_REVIEWER",IF(AND(E433&lt;&gt;"SETUJU_USULAN",E433&lt;&gt;"KOREKSI"),"CEK_KEPUTUSAN",IF(AND(E433="SETUJU_USULAN",F433&lt;&gt;""),"HAPUS_KOREKSI",IF(H433="","ISI_KOREKSI",IF(NOT(OR(H433="FLOOD",H433="EARTHQUAKE",H433="FIRE",H433="ACCIDENT",H433="NON_EVENT")),"CEK_LABEL",IF(AND(E433="KOREKSI",TRIM(G433)=""),"ISI_CATATAN","REVIEW_TERCATAT"))))))))</x:f>
        <x:v>REVIEW_TERCATAT</x:v>
      </x:c>
      <x:c r="J433" s="4" t="str">
        <x:v>Label dataset dan prediksi baseline sama; makna MVP belum direview. Kesepakatan keduanya belum membuktikan label final.</x:v>
      </x:c>
      <x:c r="K433" s="4" t="str">
        <x:v>FIRE</x:v>
      </x:c>
      <x:c r="L433" s="14" t="n">
        <x:v>0.9903822541236877</x:v>
      </x:c>
    </x:row>
    <x:row r="434" ht="64" customHeight="1">
      <x:c r="A434" s="4" t="str">
        <x:v>KEB-00668</x:v>
      </x:c>
      <x:c r="B434" s="4" t="str">
        <x:v>kebakaran di polewali mandar , selengkapnya di :</x:v>
      </x:c>
      <x:c r="C434" s="4" t="str">
        <x:v>FIRE</x:v>
      </x:c>
      <x:c r="D434" s="4" t="str">
        <x:v>FIRE</x:v>
      </x:c>
      <x:c r="E434" s="12" t="str">
        <x:v>SETUJU_USULAN</x:v>
      </x:c>
      <x:c r="F434" s="12" t="str"/>
      <x:c r="G434" s="12" t="str">
        <x:v>Narasi menyatakan kejadian kebakaran yang terjadi atau telah terjadi. Label mengikuti isi kejadian, termasuk penanganan dan dampak yang disebut. R1,R4.</x:v>
      </x:c>
      <x:c r="H434" s="4" t="str">
        <x:f>IF(E434="SETUJU_USULAN",D434,IF(E434="KOREKSI",F434,""))</x:f>
        <x:v>FIRE</x:v>
      </x:c>
      <x:c r="I434" s="4" t="str">
        <x:f>IF(E434="","BELUM_DIREVIEW",IF(E434="TUNDA","DITUNDA",IF(TRIM(Panduan!$B$5)="","ISI_REVIEWER",IF(AND(E434&lt;&gt;"SETUJU_USULAN",E434&lt;&gt;"KOREKSI"),"CEK_KEPUTUSAN",IF(AND(E434="SETUJU_USULAN",F434&lt;&gt;""),"HAPUS_KOREKSI",IF(H434="","ISI_KOREKSI",IF(NOT(OR(H434="FLOOD",H434="EARTHQUAKE",H434="FIRE",H434="ACCIDENT",H434="NON_EVENT")),"CEK_LABEL",IF(AND(E434="KOREKSI",TRIM(G434)=""),"ISI_CATATAN","REVIEW_TERCATAT"))))))))</x:f>
        <x:v>REVIEW_TERCATAT</x:v>
      </x:c>
      <x:c r="J434" s="4" t="str">
        <x:v>Label dataset dan prediksi baseline sama; makna MVP belum direview. Kesepakatan keduanya belum membuktikan label final.</x:v>
      </x:c>
      <x:c r="K434" s="4" t="str">
        <x:v>FIRE</x:v>
      </x:c>
      <x:c r="L434" s="14" t="n">
        <x:v>0.9904177784919739</x:v>
      </x:c>
    </x:row>
    <x:row r="435" ht="66" customHeight="1">
      <x:c r="A435" s="4" t="str">
        <x:v>GEM-01577</x:v>
      </x:c>
      <x:c r="B435" s="4" t="str">
        <x:v>admin mau kasih info supaya tidak cepat mempercayai informasi yang tidak bisa di pertanggung jawabkan kebenarannya karena sampai saat ini gempa bumi masih belum bisa di prediksi kapan dan dimana bisa terjadi selalu waspada di manapun kalian berada salam admin</x:v>
      </x:c>
      <x:c r="C435" s="4" t="str">
        <x:v>NON_EVENT</x:v>
      </x:c>
      <x:c r="D435" s="4" t="str">
        <x:v>NON_EVENT</x:v>
      </x:c>
      <x:c r="E435" s="12" t="str">
        <x:v>SETUJU_USULAN</x:v>
      </x:c>
      <x:c r="F435" s="12" t="str"/>
      <x:c r="G435" s="12" t="str">
        <x:v>Edukasi tentang ketidakmampuan memprediksi gempa dan imbauan kewaspadaan, tanpa kejadian tertentu. R3.</x:v>
      </x:c>
      <x:c r="H435" s="4" t="str">
        <x:f>IF(E435="SETUJU_USULAN",D435,IF(E435="KOREKSI",F435,""))</x:f>
        <x:v>NON_EVENT</x:v>
      </x:c>
      <x:c r="I435" s="4" t="str">
        <x:f>IF(E435="","BELUM_DIREVIEW",IF(E435="TUNDA","DITUNDA",IF(TRIM(Panduan!$B$5)="","ISI_REVIEWER",IF(AND(E435&lt;&gt;"SETUJU_USULAN",E435&lt;&gt;"KOREKSI"),"CEK_KEPUTUSAN",IF(AND(E435="SETUJU_USULAN",F435&lt;&gt;""),"HAPUS_KOREKSI",IF(H435="","ISI_KOREKSI",IF(NOT(OR(H435="FLOOD",H435="EARTHQUAKE",H435="FIRE",H435="ACCIDENT",H435="NON_EVENT")),"CEK_LABEL",IF(AND(E435="KOREKSI",TRIM(G435)=""),"ISI_CATATAN","REVIEW_TERCATAT"))))))))</x:f>
        <x:v>REVIEW_TERCATAT</x:v>
      </x:c>
      <x:c r="J435" s="4" t="str">
        <x:v>Label dataset dan prediksi baseline sama; makna MVP belum direview. Kesepakatan keduanya belum membuktikan label final.</x:v>
      </x:c>
      <x:c r="K435" s="4" t="str">
        <x:v>NON_EVENT</x:v>
      </x:c>
      <x:c r="L435" s="14" t="n">
        <x:v>0.9904373288154602</x:v>
      </x:c>
    </x:row>
    <x:row r="436" ht="64" customHeight="1">
      <x:c r="A436" s="4" t="str">
        <x:v>GEM-01040</x:v>
      </x:c>
      <x:c r="B436" s="4" t="str">
        <x:v>mengapai menunggu azab tuhan sampai kejadian gempa bumi dsb nya kemarin lo enggak ibadah besoknya di lewatin iring iringan jenazah lebih dari 2x saja itu sudah teguran kok namanya</x:v>
      </x:c>
      <x:c r="C436" s="4" t="str">
        <x:v>NON_EVENT</x:v>
      </x:c>
      <x:c r="D436" s="4" t="str">
        <x:v>NON_EVENT</x:v>
      </x:c>
      <x:c r="E436" s="12" t="str">
        <x:v>SETUJU_USULAN</x:v>
      </x:c>
      <x:c r="F436" s="12" t="str"/>
      <x:c r="G436" s="12" t="str">
        <x:v>Nasihat menunggu teguran Tuhan memakai gempa sebagai contoh umum, tanpa kejadian tertentu. R3.</x:v>
      </x:c>
      <x:c r="H436" s="4" t="str">
        <x:f>IF(E436="SETUJU_USULAN",D436,IF(E436="KOREKSI",F436,""))</x:f>
        <x:v>NON_EVENT</x:v>
      </x:c>
      <x:c r="I436" s="4" t="str">
        <x:f>IF(E436="","BELUM_DIREVIEW",IF(E436="TUNDA","DITUNDA",IF(TRIM(Panduan!$B$5)="","ISI_REVIEWER",IF(AND(E436&lt;&gt;"SETUJU_USULAN",E436&lt;&gt;"KOREKSI"),"CEK_KEPUTUSAN",IF(AND(E436="SETUJU_USULAN",F436&lt;&gt;""),"HAPUS_KOREKSI",IF(H436="","ISI_KOREKSI",IF(NOT(OR(H436="FLOOD",H436="EARTHQUAKE",H436="FIRE",H436="ACCIDENT",H436="NON_EVENT")),"CEK_LABEL",IF(AND(E436="KOREKSI",TRIM(G436)=""),"ISI_CATATAN","REVIEW_TERCATAT"))))))))</x:f>
        <x:v>REVIEW_TERCATAT</x:v>
      </x:c>
      <x:c r="J436" s="4" t="str">
        <x:v>Label dataset dan prediksi baseline sama; makna MVP belum direview. Kesepakatan keduanya belum membuktikan label final.</x:v>
      </x:c>
      <x:c r="K436" s="4" t="str">
        <x:v>NON_EVENT</x:v>
      </x:c>
      <x:c r="L436" s="14" t="n">
        <x:v>0.9904882907867432</x:v>
      </x:c>
    </x:row>
    <x:row r="437" ht="64" customHeight="1">
      <x:c r="A437" s="4" t="str">
        <x:v>KEB-01016</x:v>
      </x:c>
      <x:c r="B437" s="4" t="str">
        <x:v>hari ini jumat 30 oktober 2020 telah terjadi kebakaran di jl . patmaraga kotabaru kalimantan selatan . saat ini api masih berkobar . .</x:v>
      </x:c>
      <x:c r="C437" s="4" t="str">
        <x:v>FIRE</x:v>
      </x:c>
      <x:c r="D437" s="4" t="str">
        <x:v>FIRE</x:v>
      </x:c>
      <x:c r="E437" s="12" t="str">
        <x:v>SETUJU_USULAN</x:v>
      </x:c>
      <x:c r="F437" s="12" t="str"/>
      <x:c r="G437" s="12" t="str">
        <x:v>Narasi menyatakan kejadian kebakaran yang terjadi atau telah terjadi. Label mengikuti isi kejadian, termasuk penanganan dan dampak yang disebut. R1,R4.</x:v>
      </x:c>
      <x:c r="H437" s="4" t="str">
        <x:f>IF(E437="SETUJU_USULAN",D437,IF(E437="KOREKSI",F437,""))</x:f>
        <x:v>FIRE</x:v>
      </x:c>
      <x:c r="I437" s="4" t="str">
        <x:f>IF(E437="","BELUM_DIREVIEW",IF(E437="TUNDA","DITUNDA",IF(TRIM(Panduan!$B$5)="","ISI_REVIEWER",IF(AND(E437&lt;&gt;"SETUJU_USULAN",E437&lt;&gt;"KOREKSI"),"CEK_KEPUTUSAN",IF(AND(E437="SETUJU_USULAN",F437&lt;&gt;""),"HAPUS_KOREKSI",IF(H437="","ISI_KOREKSI",IF(NOT(OR(H437="FLOOD",H437="EARTHQUAKE",H437="FIRE",H437="ACCIDENT",H437="NON_EVENT")),"CEK_LABEL",IF(AND(E437="KOREKSI",TRIM(G437)=""),"ISI_CATATAN","REVIEW_TERCATAT"))))))))</x:f>
        <x:v>REVIEW_TERCATAT</x:v>
      </x:c>
      <x:c r="J437" s="4" t="str">
        <x:v>Label dataset dan prediksi baseline sama; makna MVP belum direview. Kesepakatan keduanya belum membuktikan label final.</x:v>
      </x:c>
      <x:c r="K437" s="4" t="str">
        <x:v>FIRE</x:v>
      </x:c>
      <x:c r="L437" s="14" t="n">
        <x:v>0.990497350692749</x:v>
      </x:c>
    </x:row>
    <x:row r="438" ht="64" customHeight="1">
      <x:c r="A438" s="4" t="str">
        <x:v>KEC-00310</x:v>
      </x:c>
      <x:c r="B438" s="4" t="str">
        <x:v>kecelakaan maut di subang 27 tewas</x:v>
      </x:c>
      <x:c r="C438" s="4" t="str">
        <x:v>ACCIDENT</x:v>
      </x:c>
      <x:c r="D438" s="4" t="str">
        <x:v>ACCIDENT</x:v>
      </x:c>
      <x:c r="E438" s="12" t="str">
        <x:v>SETUJU_USULAN</x:v>
      </x:c>
      <x:c r="F438" s="12" t="str"/>
      <x:c r="G438" s="12" t="str">
        <x:v>Narasi menyatakan kejadian kecelakaan yang terjadi atau telah terjadi. Label mengikuti isi kejadian, termasuk penanganan dan dampak yang disebut. R1,R4.</x:v>
      </x:c>
      <x:c r="H438" s="4" t="str">
        <x:f>IF(E438="SETUJU_USULAN",D438,IF(E438="KOREKSI",F438,""))</x:f>
        <x:v>ACCIDENT</x:v>
      </x:c>
      <x:c r="I438" s="4" t="str">
        <x:f>IF(E438="","BELUM_DIREVIEW",IF(E438="TUNDA","DITUNDA",IF(TRIM(Panduan!$B$5)="","ISI_REVIEWER",IF(AND(E438&lt;&gt;"SETUJU_USULAN",E438&lt;&gt;"KOREKSI"),"CEK_KEPUTUSAN",IF(AND(E438="SETUJU_USULAN",F438&lt;&gt;""),"HAPUS_KOREKSI",IF(H438="","ISI_KOREKSI",IF(NOT(OR(H438="FLOOD",H438="EARTHQUAKE",H438="FIRE",H438="ACCIDENT",H438="NON_EVENT")),"CEK_LABEL",IF(AND(E438="KOREKSI",TRIM(G438)=""),"ISI_CATATAN","REVIEW_TERCATAT"))))))))</x:f>
        <x:v>REVIEW_TERCATAT</x:v>
      </x:c>
      <x:c r="J438" s="4" t="str">
        <x:v>Label dataset dan prediksi baseline sama; makna MVP belum direview. Kesepakatan keduanya belum membuktikan label final.</x:v>
      </x:c>
      <x:c r="K438" s="4" t="str">
        <x:v>ACCIDENT</x:v>
      </x:c>
      <x:c r="L438" s="14" t="n">
        <x:v>0.9905422329902649</x:v>
      </x:c>
    </x:row>
    <x:row r="439" ht="66" customHeight="1">
      <x:c r="A439" s="4" t="str">
        <x:v>BAN-01984</x:v>
      </x:c>
      <x:c r="B439" s="4" t="str">
        <x:v>asli ngeri-ngeri sedap naf eug beberapa kali bikin kegiatan sosial open donasi dari banjir 2014 kelud sinabung bencana asap dan ada beberapa kegiatan sosial lainnya wajib banget share dana yang masuk &amp; keluar sampai terakir bikin lpj itu kalo di komunitas</x:v>
      </x:c>
      <x:c r="C439" s="4" t="str">
        <x:v>NON_EVENT</x:v>
      </x:c>
      <x:c r="D439" s="4" t="str">
        <x:v>NON_EVENT</x:v>
      </x:c>
      <x:c r="E439" s="12" t="str">
        <x:v>KOREKSI</x:v>
      </x:c>
      <x:c r="F439" s="12" t="str">
        <x:v>FLOOD</x:v>
      </x:c>
      <x:c r="G439" s="12" t="str">
        <x:v>Pengalaman penggalangan donasi secara eksplisit merujuk banjir 2014. Tanggal lama dan ketiadaan lokasi rinci tidak meniadakan rujukan kejadian. R1,R4,R5,R6.</x:v>
      </x:c>
      <x:c r="H439" s="4" t="str">
        <x:f>IF(E439="SETUJU_USULAN",D439,IF(E439="KOREKSI",F439,""))</x:f>
        <x:v>FLOOD</x:v>
      </x:c>
      <x:c r="I439" s="4" t="str">
        <x:f>IF(E439="","BELUM_DIREVIEW",IF(E439="TUNDA","DITUNDA",IF(TRIM(Panduan!$B$5)="","ISI_REVIEWER",IF(AND(E439&lt;&gt;"SETUJU_USULAN",E439&lt;&gt;"KOREKSI"),"CEK_KEPUTUSAN",IF(AND(E439="SETUJU_USULAN",F439&lt;&gt;""),"HAPUS_KOREKSI",IF(H439="","ISI_KOREKSI",IF(NOT(OR(H439="FLOOD",H439="EARTHQUAKE",H439="FIRE",H439="ACCIDENT",H439="NON_EVENT")),"CEK_LABEL",IF(AND(E439="KOREKSI",TRIM(G439)=""),"ISI_CATATAN","REVIEW_TERCATAT"))))))))</x:f>
        <x:v>REVIEW_TERCATAT</x:v>
      </x:c>
      <x:c r="J439" s="4" t="str">
        <x:v>Label dataset dan prediksi baseline sama; makna MVP belum direview. Kesepakatan keduanya belum membuktikan label final.</x:v>
      </x:c>
      <x:c r="K439" s="4" t="str">
        <x:v>NON_EVENT</x:v>
      </x:c>
      <x:c r="L439" s="14" t="n">
        <x:v>0.9905514717102051</x:v>
      </x:c>
    </x:row>
    <x:row r="440" ht="64" customHeight="1">
      <x:c r="A440" s="4" t="str">
        <x:v>KEB-00955</x:v>
      </x:c>
      <x:c r="B440" s="4" t="str">
        <x:v>kebakaran di desa tumbang bahan , api melahap balai desa dan panggungadat</x:v>
      </x:c>
      <x:c r="C440" s="4" t="str">
        <x:v>FIRE</x:v>
      </x:c>
      <x:c r="D440" s="4" t="str">
        <x:v>FIRE</x:v>
      </x:c>
      <x:c r="E440" s="12" t="str">
        <x:v>SETUJU_USULAN</x:v>
      </x:c>
      <x:c r="F440" s="12" t="str"/>
      <x:c r="G440" s="12" t="str">
        <x:v>Narasi menyatakan kejadian kebakaran yang terjadi atau telah terjadi. Label mengikuti isi kejadian, termasuk penanganan dan dampak yang disebut. R1,R4.</x:v>
      </x:c>
      <x:c r="H440" s="4" t="str">
        <x:f>IF(E440="SETUJU_USULAN",D440,IF(E440="KOREKSI",F440,""))</x:f>
        <x:v>FIRE</x:v>
      </x:c>
      <x:c r="I440" s="4" t="str">
        <x:f>IF(E440="","BELUM_DIREVIEW",IF(E440="TUNDA","DITUNDA",IF(TRIM(Panduan!$B$5)="","ISI_REVIEWER",IF(AND(E440&lt;&gt;"SETUJU_USULAN",E440&lt;&gt;"KOREKSI"),"CEK_KEPUTUSAN",IF(AND(E440="SETUJU_USULAN",F440&lt;&gt;""),"HAPUS_KOREKSI",IF(H440="","ISI_KOREKSI",IF(NOT(OR(H440="FLOOD",H440="EARTHQUAKE",H440="FIRE",H440="ACCIDENT",H440="NON_EVENT")),"CEK_LABEL",IF(AND(E440="KOREKSI",TRIM(G440)=""),"ISI_CATATAN","REVIEW_TERCATAT"))))))))</x:f>
        <x:v>REVIEW_TERCATAT</x:v>
      </x:c>
      <x:c r="J440" s="4" t="str">
        <x:v>Label dataset dan prediksi baseline sama; makna MVP belum direview. Kesepakatan keduanya belum membuktikan label final.</x:v>
      </x:c>
      <x:c r="K440" s="4" t="str">
        <x:v>FIRE</x:v>
      </x:c>
      <x:c r="L440" s="14" t="n">
        <x:v>0.9905699491500854</x:v>
      </x:c>
    </x:row>
    <x:row r="441" ht="64" customHeight="1">
      <x:c r="A441" s="4" t="str">
        <x:v>KEB-00496</x:v>
      </x:c>
      <x:c r="B441" s="4" t="str">
        <x:v>breaking news , kebakaran di kawasan pasar baru , balikpapan kota , di tempekong , pukul 2.55 wita saat ini pemadam sedang berupaya memadamkan api , video : ig / junaedyf aryarap _ dennyalfajry</x:v>
      </x:c>
      <x:c r="C441" s="4" t="str">
        <x:v>FIRE</x:v>
      </x:c>
      <x:c r="D441" s="4" t="str">
        <x:v>FIRE</x:v>
      </x:c>
      <x:c r="E441" s="12" t="str">
        <x:v>SETUJU_USULAN</x:v>
      </x:c>
      <x:c r="F441" s="12" t="str"/>
      <x:c r="G441" s="12" t="str">
        <x:v>Narasi menyatakan kejadian kebakaran yang terjadi atau telah terjadi. Label mengikuti isi kejadian, termasuk penanganan dan dampak yang disebut. R1,R4.</x:v>
      </x:c>
      <x:c r="H441" s="4" t="str">
        <x:f>IF(E441="SETUJU_USULAN",D441,IF(E441="KOREKSI",F441,""))</x:f>
        <x:v>FIRE</x:v>
      </x:c>
      <x:c r="I441" s="4" t="str">
        <x:f>IF(E441="","BELUM_DIREVIEW",IF(E441="TUNDA","DITUNDA",IF(TRIM(Panduan!$B$5)="","ISI_REVIEWER",IF(AND(E441&lt;&gt;"SETUJU_USULAN",E441&lt;&gt;"KOREKSI"),"CEK_KEPUTUSAN",IF(AND(E441="SETUJU_USULAN",F441&lt;&gt;""),"HAPUS_KOREKSI",IF(H441="","ISI_KOREKSI",IF(NOT(OR(H441="FLOOD",H441="EARTHQUAKE",H441="FIRE",H441="ACCIDENT",H441="NON_EVENT")),"CEK_LABEL",IF(AND(E441="KOREKSI",TRIM(G441)=""),"ISI_CATATAN","REVIEW_TERCATAT"))))))))</x:f>
        <x:v>REVIEW_TERCATAT</x:v>
      </x:c>
      <x:c r="J441" s="4" t="str">
        <x:v>Label dataset dan prediksi baseline sama; makna MVP belum direview. Kesepakatan keduanya belum membuktikan label final.</x:v>
      </x:c>
      <x:c r="K441" s="4" t="str">
        <x:v>FIRE</x:v>
      </x:c>
      <x:c r="L441" s="14" t="n">
        <x:v>0.9906437993049622</x:v>
      </x:c>
    </x:row>
    <x:row r="442" ht="66" customHeight="1">
      <x:c r="A442" s="4" t="str">
        <x:v>GEM-01014</x:v>
      </x:c>
      <x:c r="B442" s="4" t="str">
        <x:v>h+12 upaya recovery kelistrikan pasca bencana alam gempa bumi dan tsunami di sulawesi tengah pln secara bertahap telah berhasil memulihkan pasokan listrik untuk membantu masyarakat &amp; pemerintahan di sulawesi tengah bisa terang kembali oleh layanan listrik pln</x:v>
      </x:c>
      <x:c r="C442" s="4" t="str">
        <x:v>NON_EVENT</x:v>
      </x:c>
      <x:c r="D442" s="4" t="str">
        <x:v>NON_EVENT</x:v>
      </x:c>
      <x:c r="E442" s="12" t="str">
        <x:v>KOREKSI</x:v>
      </x:c>
      <x:c r="F442" s="12" t="str">
        <x:v>EARTHQUAKE</x:v>
      </x:c>
      <x:c r="G442" s="12" t="str">
        <x:v>Pemulihan listrik pada H+12 secara eksplisit disebut pascagempa dan tsunami Sulawesi Tengah. R1,R5.</x:v>
      </x:c>
      <x:c r="H442" s="4" t="str">
        <x:f>IF(E442="SETUJU_USULAN",D442,IF(E442="KOREKSI",F442,""))</x:f>
        <x:v>EARTHQUAKE</x:v>
      </x:c>
      <x:c r="I442" s="4" t="str">
        <x:f>IF(E442="","BELUM_DIREVIEW",IF(E442="TUNDA","DITUNDA",IF(TRIM(Panduan!$B$5)="","ISI_REVIEWER",IF(AND(E442&lt;&gt;"SETUJU_USULAN",E442&lt;&gt;"KOREKSI"),"CEK_KEPUTUSAN",IF(AND(E442="SETUJU_USULAN",F442&lt;&gt;""),"HAPUS_KOREKSI",IF(H442="","ISI_KOREKSI",IF(NOT(OR(H442="FLOOD",H442="EARTHQUAKE",H442="FIRE",H442="ACCIDENT",H442="NON_EVENT")),"CEK_LABEL",IF(AND(E442="KOREKSI",TRIM(G442)=""),"ISI_CATATAN","REVIEW_TERCATAT"))))))))</x:f>
        <x:v>REVIEW_TERCATAT</x:v>
      </x:c>
      <x:c r="J442" s="4" t="str">
        <x:v>Label dataset dan prediksi baseline sama; makna MVP belum direview. Kesepakatan keduanya belum membuktikan label final.</x:v>
      </x:c>
      <x:c r="K442" s="4" t="str">
        <x:v>NON_EVENT</x:v>
      </x:c>
      <x:c r="L442" s="14" t="n">
        <x:v>0.9906489253044128</x:v>
      </x:c>
    </x:row>
    <x:row r="443" ht="64" customHeight="1">
      <x:c r="A443" s="4" t="str">
        <x:v>GEM-01249</x:v>
      </x:c>
      <x:c r="B443" s="4" t="str">
        <x:v>andai ada peringatan gempa bumi susulan andai alarm tsunami berbunyi dan andai penanggulangan bencana cepat dilakukan -- di alkhairaat</x:v>
      </x:c>
      <x:c r="C443" s="4" t="str">
        <x:v>NON_EVENT</x:v>
      </x:c>
      <x:c r="D443" s="4" t="str">
        <x:v>NON_EVENT</x:v>
      </x:c>
      <x:c r="E443" s="12" t="str">
        <x:v>SETUJU_USULAN</x:v>
      </x:c>
      <x:c r="F443" s="12" t="str"/>
      <x:c r="G443" s="12" t="str">
        <x:v>Rangkaian andai menyatakan skenario peringatan dan penanganan, tanpa klaim gempa tertentu dalam teks. R3.</x:v>
      </x:c>
      <x:c r="H443" s="4" t="str">
        <x:f>IF(E443="SETUJU_USULAN",D443,IF(E443="KOREKSI",F443,""))</x:f>
        <x:v>NON_EVENT</x:v>
      </x:c>
      <x:c r="I443" s="4" t="str">
        <x:f>IF(E443="","BELUM_DIREVIEW",IF(E443="TUNDA","DITUNDA",IF(TRIM(Panduan!$B$5)="","ISI_REVIEWER",IF(AND(E443&lt;&gt;"SETUJU_USULAN",E443&lt;&gt;"KOREKSI"),"CEK_KEPUTUSAN",IF(AND(E443="SETUJU_USULAN",F443&lt;&gt;""),"HAPUS_KOREKSI",IF(H443="","ISI_KOREKSI",IF(NOT(OR(H443="FLOOD",H443="EARTHQUAKE",H443="FIRE",H443="ACCIDENT",H443="NON_EVENT")),"CEK_LABEL",IF(AND(E443="KOREKSI",TRIM(G443)=""),"ISI_CATATAN","REVIEW_TERCATAT"))))))))</x:f>
        <x:v>REVIEW_TERCATAT</x:v>
      </x:c>
      <x:c r="J443" s="4" t="str">
        <x:v>Label dataset dan prediksi baseline sama; makna MVP belum direview. Kesepakatan keduanya belum membuktikan label final.</x:v>
      </x:c>
      <x:c r="K443" s="4" t="str">
        <x:v>NON_EVENT</x:v>
      </x:c>
      <x:c r="L443" s="14" t="n">
        <x:v>0.9906601309776306</x:v>
      </x:c>
    </x:row>
    <x:row r="444" ht="64" customHeight="1">
      <x:c r="A444" s="4" t="str">
        <x:v>KEC-01454</x:v>
      </x:c>
      <x:c r="B444" s="4" t="str">
        <x:v>turut berduka atas semua kecelakaan &amp; amp bencana yang membawa kesedihan cuman muak saja lihat kelakuan para politisi `` penunggang '' bencana di tahun politik ketulusan itu bukan dilihat tapi dirasakan</x:v>
      </x:c>
      <x:c r="C444" s="4" t="str">
        <x:v>NON_EVENT</x:v>
      </x:c>
      <x:c r="D444" s="4" t="str">
        <x:v>NON_EVENT</x:v>
      </x:c>
      <x:c r="E444" s="12" t="str">
        <x:v>SETUJU_USULAN</x:v>
      </x:c>
      <x:c r="F444" s="12" t="str"/>
      <x:c r="G444" s="12" t="str">
        <x:v>Belasungkawa disampaikan untuk semua kecelakaan dan bencana secara umum. Tidak ada kasus tertentu. R3.</x:v>
      </x:c>
      <x:c r="H444" s="4" t="str">
        <x:f>IF(E444="SETUJU_USULAN",D444,IF(E444="KOREKSI",F444,""))</x:f>
        <x:v>NON_EVENT</x:v>
      </x:c>
      <x:c r="I444" s="4" t="str">
        <x:f>IF(E444="","BELUM_DIREVIEW",IF(E444="TUNDA","DITUNDA",IF(TRIM(Panduan!$B$5)="","ISI_REVIEWER",IF(AND(E444&lt;&gt;"SETUJU_USULAN",E444&lt;&gt;"KOREKSI"),"CEK_KEPUTUSAN",IF(AND(E444="SETUJU_USULAN",F444&lt;&gt;""),"HAPUS_KOREKSI",IF(H444="","ISI_KOREKSI",IF(NOT(OR(H444="FLOOD",H444="EARTHQUAKE",H444="FIRE",H444="ACCIDENT",H444="NON_EVENT")),"CEK_LABEL",IF(AND(E444="KOREKSI",TRIM(G444)=""),"ISI_CATATAN","REVIEW_TERCATAT"))))))))</x:f>
        <x:v>REVIEW_TERCATAT</x:v>
      </x:c>
      <x:c r="J444" s="4" t="str">
        <x:v>Label dataset dan prediksi baseline sama; makna MVP belum direview. Kesepakatan keduanya belum membuktikan label final.</x:v>
      </x:c>
      <x:c r="K444" s="4" t="str">
        <x:v>NON_EVENT</x:v>
      </x:c>
      <x:c r="L444" s="14" t="n">
        <x:v>0.9906899929046631</x:v>
      </x:c>
    </x:row>
    <x:row r="445" ht="64" customHeight="1">
      <x:c r="A445" s="4" t="str">
        <x:v>GEM-01272</x:v>
      </x:c>
      <x:c r="B445" s="4" t="str">
        <x:v>* laporan pendampingan tim d2 bnpb dalam rangka penanganan darurat bencana gempa bumi tsunami dan likuifaksi di provinsi sulawesi tengah * * kepada yth kepala bnpb * cc pejabat eselon 1 dilap dah kegiatan pendampingan</x:v>
      </x:c>
      <x:c r="C445" s="4" t="str">
        <x:v>NON_EVENT</x:v>
      </x:c>
      <x:c r="D445" s="4" t="str">
        <x:v>NON_EVENT</x:v>
      </x:c>
      <x:c r="E445" s="12" t="str">
        <x:v>KOREKSI</x:v>
      </x:c>
      <x:c r="F445" s="12" t="str">
        <x:v>EARTHQUAKE</x:v>
      </x:c>
      <x:c r="G445" s="12" t="str">
        <x:v>Laporan pendampingan BNPB merujuk penanganan darurat gempa Sulawesi Tengah. R1,R5.</x:v>
      </x:c>
      <x:c r="H445" s="4" t="str">
        <x:f>IF(E445="SETUJU_USULAN",D445,IF(E445="KOREKSI",F445,""))</x:f>
        <x:v>EARTHQUAKE</x:v>
      </x:c>
      <x:c r="I445" s="4" t="str">
        <x:f>IF(E445="","BELUM_DIREVIEW",IF(E445="TUNDA","DITUNDA",IF(TRIM(Panduan!$B$5)="","ISI_REVIEWER",IF(AND(E445&lt;&gt;"SETUJU_USULAN",E445&lt;&gt;"KOREKSI"),"CEK_KEPUTUSAN",IF(AND(E445="SETUJU_USULAN",F445&lt;&gt;""),"HAPUS_KOREKSI",IF(H445="","ISI_KOREKSI",IF(NOT(OR(H445="FLOOD",H445="EARTHQUAKE",H445="FIRE",H445="ACCIDENT",H445="NON_EVENT")),"CEK_LABEL",IF(AND(E445="KOREKSI",TRIM(G445)=""),"ISI_CATATAN","REVIEW_TERCATAT"))))))))</x:f>
        <x:v>REVIEW_TERCATAT</x:v>
      </x:c>
      <x:c r="J445" s="4" t="str">
        <x:v>Label dataset dan prediksi baseline sama; makna MVP belum direview. Kesepakatan keduanya belum membuktikan label final.</x:v>
      </x:c>
      <x:c r="K445" s="4" t="str">
        <x:v>NON_EVENT</x:v>
      </x:c>
      <x:c r="L445" s="14" t="n">
        <x:v>0.990709662437439</x:v>
      </x:c>
    </x:row>
    <x:row r="446" ht="66" customHeight="1">
      <x:c r="A446" s="4" t="str">
        <x:v>GEM-01155</x:v>
      </x:c>
      <x:c r="B446" s="4" t="str">
        <x:v>bismillah kami masih terus bergerak kali ini pada 18 oktober 2018 donasi perlengkapan mandi sembako dll di daerah kelurahan kawatuna kecamatan mantikulore palu semoga bermanfaat untuk saudara-saudara kita di wilayah terdampak gempa bumi &amp; tsunami di palu</x:v>
      </x:c>
      <x:c r="C446" s="4" t="str">
        <x:v>NON_EVENT</x:v>
      </x:c>
      <x:c r="D446" s="4" t="str">
        <x:v>NON_EVENT</x:v>
      </x:c>
      <x:c r="E446" s="12" t="str">
        <x:v>KOREKSI</x:v>
      </x:c>
      <x:c r="F446" s="12" t="str">
        <x:v>EARTHQUAKE</x:v>
      </x:c>
      <x:c r="G446" s="12" t="str">
        <x:v>Donasi perlengkapan dan sembako ditujukan ke wilayah Palu yang terdampak gempa dan tsunami. R1,R5,R6.</x:v>
      </x:c>
      <x:c r="H446" s="4" t="str">
        <x:f>IF(E446="SETUJU_USULAN",D446,IF(E446="KOREKSI",F446,""))</x:f>
        <x:v>EARTHQUAKE</x:v>
      </x:c>
      <x:c r="I446" s="4" t="str">
        <x:f>IF(E446="","BELUM_DIREVIEW",IF(E446="TUNDA","DITUNDA",IF(TRIM(Panduan!$B$5)="","ISI_REVIEWER",IF(AND(E446&lt;&gt;"SETUJU_USULAN",E446&lt;&gt;"KOREKSI"),"CEK_KEPUTUSAN",IF(AND(E446="SETUJU_USULAN",F446&lt;&gt;""),"HAPUS_KOREKSI",IF(H446="","ISI_KOREKSI",IF(NOT(OR(H446="FLOOD",H446="EARTHQUAKE",H446="FIRE",H446="ACCIDENT",H446="NON_EVENT")),"CEK_LABEL",IF(AND(E446="KOREKSI",TRIM(G446)=""),"ISI_CATATAN","REVIEW_TERCATAT"))))))))</x:f>
        <x:v>REVIEW_TERCATAT</x:v>
      </x:c>
      <x:c r="J446" s="4" t="str">
        <x:v>Label dataset dan prediksi baseline sama; makna MVP belum direview. Kesepakatan keduanya belum membuktikan label final.</x:v>
      </x:c>
      <x:c r="K446" s="4" t="str">
        <x:v>NON_EVENT</x:v>
      </x:c>
      <x:c r="L446" s="14" t="n">
        <x:v>0.9907309412956238</x:v>
      </x:c>
    </x:row>
    <x:row r="447" ht="64" customHeight="1">
      <x:c r="A447" s="4" t="str">
        <x:v>KEC-00263</x:v>
      </x:c>
      <x:c r="B447" s="4" t="str">
        <x:v>4 pengendara sepeda motor terlibat kecelakaan di dairi</x:v>
      </x:c>
      <x:c r="C447" s="4" t="str">
        <x:v>ACCIDENT</x:v>
      </x:c>
      <x:c r="D447" s="4" t="str">
        <x:v>ACCIDENT</x:v>
      </x:c>
      <x:c r="E447" s="12" t="str">
        <x:v>SETUJU_USULAN</x:v>
      </x:c>
      <x:c r="F447" s="12" t="str"/>
      <x:c r="G447" s="12" t="str">
        <x:v>Narasi menyatakan kejadian kecelakaan yang terjadi atau telah terjadi. Label mengikuti isi kejadian, termasuk penanganan dan dampak yang disebut. R1,R4.</x:v>
      </x:c>
      <x:c r="H447" s="4" t="str">
        <x:f>IF(E447="SETUJU_USULAN",D447,IF(E447="KOREKSI",F447,""))</x:f>
        <x:v>ACCIDENT</x:v>
      </x:c>
      <x:c r="I447" s="4" t="str">
        <x:f>IF(E447="","BELUM_DIREVIEW",IF(E447="TUNDA","DITUNDA",IF(TRIM(Panduan!$B$5)="","ISI_REVIEWER",IF(AND(E447&lt;&gt;"SETUJU_USULAN",E447&lt;&gt;"KOREKSI"),"CEK_KEPUTUSAN",IF(AND(E447="SETUJU_USULAN",F447&lt;&gt;""),"HAPUS_KOREKSI",IF(H447="","ISI_KOREKSI",IF(NOT(OR(H447="FLOOD",H447="EARTHQUAKE",H447="FIRE",H447="ACCIDENT",H447="NON_EVENT")),"CEK_LABEL",IF(AND(E447="KOREKSI",TRIM(G447)=""),"ISI_CATATAN","REVIEW_TERCATAT"))))))))</x:f>
        <x:v>REVIEW_TERCATAT</x:v>
      </x:c>
      <x:c r="J447" s="4" t="str">
        <x:v>Label dataset dan prediksi baseline sama; makna MVP belum direview. Kesepakatan keduanya belum membuktikan label final.</x:v>
      </x:c>
      <x:c r="K447" s="4" t="str">
        <x:v>ACCIDENT</x:v>
      </x:c>
      <x:c r="L447" s="14" t="n">
        <x:v>0.9907405376434326</x:v>
      </x:c>
    </x:row>
    <x:row r="448" ht="64" customHeight="1">
      <x:c r="A448" s="4" t="str">
        <x:v>GEM-01161</x:v>
      </x:c>
      <x:c r="B448" s="4" t="str">
        <x:v>bantu kami menyediakan hunian dan fasum transisional bagi para penyintas bencana gempa bumi di lombok dan sulawesi tengah terimakasih atas donasi anda</x:v>
      </x:c>
      <x:c r="C448" s="4" t="str">
        <x:v>NON_EVENT</x:v>
      </x:c>
      <x:c r="D448" s="4" t="str">
        <x:v>NON_EVENT</x:v>
      </x:c>
      <x:c r="E448" s="12" t="str">
        <x:v>KOREKSI</x:v>
      </x:c>
      <x:c r="F448" s="12" t="str">
        <x:v>EARTHQUAKE</x:v>
      </x:c>
      <x:c r="G448" s="12" t="str">
        <x:v>Penyediaan hunian dan fasilitas transisional merujuk penyintas gempa Lombok dan Sulawesi Tengah. R1,R5.</x:v>
      </x:c>
      <x:c r="H448" s="4" t="str">
        <x:f>IF(E448="SETUJU_USULAN",D448,IF(E448="KOREKSI",F448,""))</x:f>
        <x:v>EARTHQUAKE</x:v>
      </x:c>
      <x:c r="I448" s="4" t="str">
        <x:f>IF(E448="","BELUM_DIREVIEW",IF(E448="TUNDA","DITUNDA",IF(TRIM(Panduan!$B$5)="","ISI_REVIEWER",IF(AND(E448&lt;&gt;"SETUJU_USULAN",E448&lt;&gt;"KOREKSI"),"CEK_KEPUTUSAN",IF(AND(E448="SETUJU_USULAN",F448&lt;&gt;""),"HAPUS_KOREKSI",IF(H448="","ISI_KOREKSI",IF(NOT(OR(H448="FLOOD",H448="EARTHQUAKE",H448="FIRE",H448="ACCIDENT",H448="NON_EVENT")),"CEK_LABEL",IF(AND(E448="KOREKSI",TRIM(G448)=""),"ISI_CATATAN","REVIEW_TERCATAT"))))))))</x:f>
        <x:v>REVIEW_TERCATAT</x:v>
      </x:c>
      <x:c r="J448" s="4" t="str">
        <x:v>Label dataset dan prediksi baseline sama; makna MVP belum direview. Kesepakatan keduanya belum membuktikan label final.</x:v>
      </x:c>
      <x:c r="K448" s="4" t="str">
        <x:v>NON_EVENT</x:v>
      </x:c>
      <x:c r="L448" s="14" t="n">
        <x:v>0.9908022880554199</x:v>
      </x:c>
    </x:row>
    <x:row r="449" ht="66" customHeight="1">
      <x:c r="A449" s="4" t="str">
        <x:v>KEB-00613</x:v>
      </x:c>
      <x:c r="B449" s="4" t="str">
        <x:v>sabtu ( 25/7 ) sekitar pukul 5.1 wita terjadi kebakaran gudang garmen dan sablon di jalan gunung ringin raya , tegal harum denpasar barat . kebakaran diduga terjadi akibat percikan api sisa pembakaran sampah . tidak ada korban jiwa dalam peristiwa ini . . info</x:v>
      </x:c>
      <x:c r="C449" s="4" t="str">
        <x:v>FIRE</x:v>
      </x:c>
      <x:c r="D449" s="4" t="str">
        <x:v>FIRE</x:v>
      </x:c>
      <x:c r="E449" s="12" t="str">
        <x:v>SETUJU_USULAN</x:v>
      </x:c>
      <x:c r="F449" s="12" t="str"/>
      <x:c r="G449" s="12" t="str">
        <x:v>Narasi menyatakan kejadian kebakaran yang terjadi atau telah terjadi. Label mengikuti isi kejadian, termasuk penanganan dan dampak yang disebut. R1,R4.</x:v>
      </x:c>
      <x:c r="H449" s="4" t="str">
        <x:f>IF(E449="SETUJU_USULAN",D449,IF(E449="KOREKSI",F449,""))</x:f>
        <x:v>FIRE</x:v>
      </x:c>
      <x:c r="I449" s="4" t="str">
        <x:f>IF(E449="","BELUM_DIREVIEW",IF(E449="TUNDA","DITUNDA",IF(TRIM(Panduan!$B$5)="","ISI_REVIEWER",IF(AND(E449&lt;&gt;"SETUJU_USULAN",E449&lt;&gt;"KOREKSI"),"CEK_KEPUTUSAN",IF(AND(E449="SETUJU_USULAN",F449&lt;&gt;""),"HAPUS_KOREKSI",IF(H449="","ISI_KOREKSI",IF(NOT(OR(H449="FLOOD",H449="EARTHQUAKE",H449="FIRE",H449="ACCIDENT",H449="NON_EVENT")),"CEK_LABEL",IF(AND(E449="KOREKSI",TRIM(G449)=""),"ISI_CATATAN","REVIEW_TERCATAT"))))))))</x:f>
        <x:v>REVIEW_TERCATAT</x:v>
      </x:c>
      <x:c r="J449" s="4" t="str">
        <x:v>Label dataset dan prediksi baseline sama; makna MVP belum direview. Kesepakatan keduanya belum membuktikan label final.</x:v>
      </x:c>
      <x:c r="K449" s="4" t="str">
        <x:v>FIRE</x:v>
      </x:c>
      <x:c r="L449" s="14" t="n">
        <x:v>0.99081951379776</x:v>
      </x:c>
    </x:row>
    <x:row r="450" ht="64" customHeight="1">
      <x:c r="A450" s="4" t="str">
        <x:v>KEC-01348</x:v>
      </x:c>
      <x:c r="B450" s="4" t="str">
        <x:v>kecelakaan saat liburan idul fitri tewaskan 3 orang di uea</x:v>
      </x:c>
      <x:c r="C450" s="4" t="str">
        <x:v>ACCIDENT</x:v>
      </x:c>
      <x:c r="D450" s="4" t="str">
        <x:v>ACCIDENT</x:v>
      </x:c>
      <x:c r="E450" s="12" t="str">
        <x:v>SETUJU_USULAN</x:v>
      </x:c>
      <x:c r="F450" s="12" t="str"/>
      <x:c r="G450" s="12" t="str">
        <x:v>Narasi menyatakan kejadian kecelakaan yang terjadi atau telah terjadi. Label mengikuti isi kejadian, termasuk penanganan dan dampak yang disebut. R1,R4.</x:v>
      </x:c>
      <x:c r="H450" s="4" t="str">
        <x:f>IF(E450="SETUJU_USULAN",D450,IF(E450="KOREKSI",F450,""))</x:f>
        <x:v>ACCIDENT</x:v>
      </x:c>
      <x:c r="I450" s="4" t="str">
        <x:f>IF(E450="","BELUM_DIREVIEW",IF(E450="TUNDA","DITUNDA",IF(TRIM(Panduan!$B$5)="","ISI_REVIEWER",IF(AND(E450&lt;&gt;"SETUJU_USULAN",E450&lt;&gt;"KOREKSI"),"CEK_KEPUTUSAN",IF(AND(E450="SETUJU_USULAN",F450&lt;&gt;""),"HAPUS_KOREKSI",IF(H450="","ISI_KOREKSI",IF(NOT(OR(H450="FLOOD",H450="EARTHQUAKE",H450="FIRE",H450="ACCIDENT",H450="NON_EVENT")),"CEK_LABEL",IF(AND(E450="KOREKSI",TRIM(G450)=""),"ISI_CATATAN","REVIEW_TERCATAT"))))))))</x:f>
        <x:v>REVIEW_TERCATAT</x:v>
      </x:c>
      <x:c r="J450" s="4" t="str">
        <x:v>Label dataset dan prediksi baseline sama; makna MVP belum direview. Kesepakatan keduanya belum membuktikan label final.</x:v>
      </x:c>
      <x:c r="K450" s="4" t="str">
        <x:v>ACCIDENT</x:v>
      </x:c>
      <x:c r="L450" s="14" t="n">
        <x:v>0.9908775687217712</x:v>
      </x:c>
    </x:row>
    <x:row r="451" ht="64" customHeight="1">
      <x:c r="A451" s="4" t="str">
        <x:v>GEM-01323</x:v>
      </x:c>
      <x:c r="B451" s="4" t="str">
        <x:v>sebelum gempa bumi yang begitu dahsat begitu indah ya pemandang di kator inch setiap ada kegiatan apa saja pasti di tempat inich orang berkumpul tapi sayang itu semua tinggal kenangan belaka saja karena sok di hempas</x:v>
      </x:c>
      <x:c r="C451" s="4" t="str">
        <x:v>NON_EVENT</x:v>
      </x:c>
      <x:c r="D451" s="4" t="str">
        <x:v>NON_EVENT</x:v>
      </x:c>
      <x:c r="E451" s="12" t="str">
        <x:v>KOREKSI</x:v>
      </x:c>
      <x:c r="F451" s="12" t="str">
        <x:v>EARTHQUAKE</x:v>
      </x:c>
      <x:c r="G451" s="12" t="str">
        <x:v>Kenangan pemandangan yang telah hilang dinyatakan berkaitan dengan gempa dahsyat. Tidak diperlukan lokasi rinci untuk mengakui klaim kejadian. R1,R4,R6.</x:v>
      </x:c>
      <x:c r="H451" s="4" t="str">
        <x:f>IF(E451="SETUJU_USULAN",D451,IF(E451="KOREKSI",F451,""))</x:f>
        <x:v>EARTHQUAKE</x:v>
      </x:c>
      <x:c r="I451" s="4" t="str">
        <x:f>IF(E451="","BELUM_DIREVIEW",IF(E451="TUNDA","DITUNDA",IF(TRIM(Panduan!$B$5)="","ISI_REVIEWER",IF(AND(E451&lt;&gt;"SETUJU_USULAN",E451&lt;&gt;"KOREKSI"),"CEK_KEPUTUSAN",IF(AND(E451="SETUJU_USULAN",F451&lt;&gt;""),"HAPUS_KOREKSI",IF(H451="","ISI_KOREKSI",IF(NOT(OR(H451="FLOOD",H451="EARTHQUAKE",H451="FIRE",H451="ACCIDENT",H451="NON_EVENT")),"CEK_LABEL",IF(AND(E451="KOREKSI",TRIM(G451)=""),"ISI_CATATAN","REVIEW_TERCATAT"))))))))</x:f>
        <x:v>REVIEW_TERCATAT</x:v>
      </x:c>
      <x:c r="J451" s="4" t="str">
        <x:v>Label dataset dan prediksi baseline sama; makna MVP belum direview. Kesepakatan keduanya belum membuktikan label final.</x:v>
      </x:c>
      <x:c r="K451" s="4" t="str">
        <x:v>NON_EVENT</x:v>
      </x:c>
      <x:c r="L451" s="14" t="n">
        <x:v>0.9908866882324219</x:v>
      </x:c>
    </x:row>
    <x:row r="452" ht="64" customHeight="1">
      <x:c r="A452" s="4" t="str">
        <x:v>GEM-01223</x:v>
      </x:c>
      <x:c r="B452" s="4" t="str">
        <x:v>`` secara khusus kami sampaikan belasungkawa kepada lion air yang selama penanganan bencana gempa bumi di lombok dan palu telah memberikan kemudahan bagi fpi dalam</x:v>
      </x:c>
      <x:c r="C452" s="4" t="str">
        <x:v>NON_EVENT</x:v>
      </x:c>
      <x:c r="D452" s="4" t="str">
        <x:v>NON_EVENT</x:v>
      </x:c>
      <x:c r="E452" s="12" t="str">
        <x:v>KOREKSI</x:v>
      </x:c>
      <x:c r="F452" s="12" t="str">
        <x:v>EARTHQUAKE</x:v>
      </x:c>
      <x:c r="G452" s="12" t="str">
        <x:v>Ucapan kepada Lion Air secara eksplisit merujuk perannya dalam penanganan gempa Lombok dan Palu. Tidak ditambahkan klaim kecelakaan pesawat yang tidak dinyatakan. R1,R5.</x:v>
      </x:c>
      <x:c r="H452" s="4" t="str">
        <x:f>IF(E452="SETUJU_USULAN",D452,IF(E452="KOREKSI",F452,""))</x:f>
        <x:v>EARTHQUAKE</x:v>
      </x:c>
      <x:c r="I452" s="4" t="str">
        <x:f>IF(E452="","BELUM_DIREVIEW",IF(E452="TUNDA","DITUNDA",IF(TRIM(Panduan!$B$5)="","ISI_REVIEWER",IF(AND(E452&lt;&gt;"SETUJU_USULAN",E452&lt;&gt;"KOREKSI"),"CEK_KEPUTUSAN",IF(AND(E452="SETUJU_USULAN",F452&lt;&gt;""),"HAPUS_KOREKSI",IF(H452="","ISI_KOREKSI",IF(NOT(OR(H452="FLOOD",H452="EARTHQUAKE",H452="FIRE",H452="ACCIDENT",H452="NON_EVENT")),"CEK_LABEL",IF(AND(E452="KOREKSI",TRIM(G452)=""),"ISI_CATATAN","REVIEW_TERCATAT"))))))))</x:f>
        <x:v>REVIEW_TERCATAT</x:v>
      </x:c>
      <x:c r="J452" s="4" t="str">
        <x:v>Label dataset dan prediksi baseline sama; makna MVP belum direview. Kesepakatan keduanya belum membuktikan label final.</x:v>
      </x:c>
      <x:c r="K452" s="4" t="str">
        <x:v>NON_EVENT</x:v>
      </x:c>
      <x:c r="L452" s="14" t="n">
        <x:v>0.9909077882766724</x:v>
      </x:c>
    </x:row>
    <x:row r="453" ht="64" customHeight="1">
      <x:c r="A453" s="4" t="str">
        <x:v>GEM-01567</x:v>
      </x:c>
      <x:c r="B453" s="4" t="str">
        <x:v>minggu 23 desember 2018 enggak pernah menyangka setelah menyelesaikan foto cerita tentang gempa bumi tsunami dan likuifaksi di palu sigi dan donggala bakal menulis cerita tentang bencana</x:v>
      </x:c>
      <x:c r="C453" s="4" t="str">
        <x:v>NON_EVENT</x:v>
      </x:c>
      <x:c r="D453" s="4" t="str">
        <x:v>NON_EVENT</x:v>
      </x:c>
      <x:c r="E453" s="12" t="str">
        <x:v>KOREKSI</x:v>
      </x:c>
      <x:c r="F453" s="12" t="str">
        <x:v>EARTHQUAKE</x:v>
      </x:c>
      <x:c r="G453" s="12" t="str">
        <x:v>Foto cerita disebut membahas gempa, tsunami dan likuifaksi Palu, Sigi dan Donggala. Penilaian mengikuti rujukan kejadian dalam teks. R1,R5,R6.</x:v>
      </x:c>
      <x:c r="H453" s="4" t="str">
        <x:f>IF(E453="SETUJU_USULAN",D453,IF(E453="KOREKSI",F453,""))</x:f>
        <x:v>EARTHQUAKE</x:v>
      </x:c>
      <x:c r="I453" s="4" t="str">
        <x:f>IF(E453="","BELUM_DIREVIEW",IF(E453="TUNDA","DITUNDA",IF(TRIM(Panduan!$B$5)="","ISI_REVIEWER",IF(AND(E453&lt;&gt;"SETUJU_USULAN",E453&lt;&gt;"KOREKSI"),"CEK_KEPUTUSAN",IF(AND(E453="SETUJU_USULAN",F453&lt;&gt;""),"HAPUS_KOREKSI",IF(H453="","ISI_KOREKSI",IF(NOT(OR(H453="FLOOD",H453="EARTHQUAKE",H453="FIRE",H453="ACCIDENT",H453="NON_EVENT")),"CEK_LABEL",IF(AND(E453="KOREKSI",TRIM(G453)=""),"ISI_CATATAN","REVIEW_TERCATAT"))))))))</x:f>
        <x:v>REVIEW_TERCATAT</x:v>
      </x:c>
      <x:c r="J453" s="4" t="str">
        <x:v>Label dataset dan prediksi baseline sama; makna MVP belum direview. Kesepakatan keduanya belum membuktikan label final.</x:v>
      </x:c>
      <x:c r="K453" s="4" t="str">
        <x:v>NON_EVENT</x:v>
      </x:c>
      <x:c r="L453" s="14" t="n">
        <x:v>0.9909454584121704</x:v>
      </x:c>
    </x:row>
    <x:row r="454" ht="64" customHeight="1">
      <x:c r="A454" s="4" t="str">
        <x:v>GEM-01545</x:v>
      </x:c>
      <x:c r="B454" s="4" t="str">
        <x:v>iya din jadi bagaimana ya ini bencana alam yang termasuk baru begitu biasanya kan tsunami gara-gara gempa bumi tapi kata bmkg bukan gara-gara gempa coba lihat di twtnya bmkg deh</x:v>
      </x:c>
      <x:c r="C454" s="4" t="str">
        <x:v>NON_EVENT</x:v>
      </x:c>
      <x:c r="D454" s="4" t="str">
        <x:v>NON_EVENT</x:v>
      </x:c>
      <x:c r="E454" s="12" t="str">
        <x:v>SETUJU_USULAN</x:v>
      </x:c>
      <x:c r="F454" s="12" t="str"/>
      <x:c r="G454" s="12" t="str">
        <x:v>Tsunami dibahas dengan pernyataan bukan karena gempa. Tidak ada gempa atau kategori MVP lain yang ditegaskan. R2.</x:v>
      </x:c>
      <x:c r="H454" s="4" t="str">
        <x:f>IF(E454="SETUJU_USULAN",D454,IF(E454="KOREKSI",F454,""))</x:f>
        <x:v>NON_EVENT</x:v>
      </x:c>
      <x:c r="I454" s="4" t="str">
        <x:f>IF(E454="","BELUM_DIREVIEW",IF(E454="TUNDA","DITUNDA",IF(TRIM(Panduan!$B$5)="","ISI_REVIEWER",IF(AND(E454&lt;&gt;"SETUJU_USULAN",E454&lt;&gt;"KOREKSI"),"CEK_KEPUTUSAN",IF(AND(E454="SETUJU_USULAN",F454&lt;&gt;""),"HAPUS_KOREKSI",IF(H454="","ISI_KOREKSI",IF(NOT(OR(H454="FLOOD",H454="EARTHQUAKE",H454="FIRE",H454="ACCIDENT",H454="NON_EVENT")),"CEK_LABEL",IF(AND(E454="KOREKSI",TRIM(G454)=""),"ISI_CATATAN","REVIEW_TERCATAT"))))))))</x:f>
        <x:v>REVIEW_TERCATAT</x:v>
      </x:c>
      <x:c r="J454" s="4" t="str">
        <x:v>Label dataset dan prediksi baseline sama; makna MVP belum direview. Kesepakatan keduanya belum membuktikan label final.</x:v>
      </x:c>
      <x:c r="K454" s="4" t="str">
        <x:v>NON_EVENT</x:v>
      </x:c>
      <x:c r="L454" s="14" t="n">
        <x:v>0.9909521341323853</x:v>
      </x:c>
    </x:row>
    <x:row r="455" ht="64" customHeight="1">
      <x:c r="A455" s="4" t="str">
        <x:v>GEM-01087</x:v>
      </x:c>
      <x:c r="B455" s="4" t="str">
        <x:v>kepedulian bsm umat kepada balita dan anak-anak penyintas palu pasca bencana gempa bumi dan tsunami yang meluluh lantahkan sebagian besar daerah di sulawesi tengah pemberian makanan</x:v>
      </x:c>
      <x:c r="C455" s="4" t="str">
        <x:v>NON_EVENT</x:v>
      </x:c>
      <x:c r="D455" s="4" t="str">
        <x:v>NON_EVENT</x:v>
      </x:c>
      <x:c r="E455" s="12" t="str">
        <x:v>KOREKSI</x:v>
      </x:c>
      <x:c r="F455" s="12" t="str">
        <x:v>EARTHQUAKE</x:v>
      </x:c>
      <x:c r="G455" s="12" t="str">
        <x:v>Pemberian makanan kepada anak penyintas secara eksplisit dilakukan pascagempa Palu dan Sulawesi Tengah. R1,R5.</x:v>
      </x:c>
      <x:c r="H455" s="4" t="str">
        <x:f>IF(E455="SETUJU_USULAN",D455,IF(E455="KOREKSI",F455,""))</x:f>
        <x:v>EARTHQUAKE</x:v>
      </x:c>
      <x:c r="I455" s="4" t="str">
        <x:f>IF(E455="","BELUM_DIREVIEW",IF(E455="TUNDA","DITUNDA",IF(TRIM(Panduan!$B$5)="","ISI_REVIEWER",IF(AND(E455&lt;&gt;"SETUJU_USULAN",E455&lt;&gt;"KOREKSI"),"CEK_KEPUTUSAN",IF(AND(E455="SETUJU_USULAN",F455&lt;&gt;""),"HAPUS_KOREKSI",IF(H455="","ISI_KOREKSI",IF(NOT(OR(H455="FLOOD",H455="EARTHQUAKE",H455="FIRE",H455="ACCIDENT",H455="NON_EVENT")),"CEK_LABEL",IF(AND(E455="KOREKSI",TRIM(G455)=""),"ISI_CATATAN","REVIEW_TERCATAT"))))))))</x:f>
        <x:v>REVIEW_TERCATAT</x:v>
      </x:c>
      <x:c r="J455" s="4" t="str">
        <x:v>Label dataset dan prediksi baseline sama; makna MVP belum direview. Kesepakatan keduanya belum membuktikan label final.</x:v>
      </x:c>
      <x:c r="K455" s="4" t="str">
        <x:v>NON_EVENT</x:v>
      </x:c>
      <x:c r="L455" s="14" t="n">
        <x:v>0.9909855127334595</x:v>
      </x:c>
    </x:row>
    <x:row r="456" ht="64" customHeight="1">
      <x:c r="A456" s="4" t="str">
        <x:v>GEM-01441</x:v>
      </x:c>
      <x:c r="B456" s="4" t="str">
        <x:v>kabtegal - jateng ( 5/12 ) sama n 1 slawi bersama bpbd dan pmi kabtegal adakan simulasi penanganan bencana gempa bumi di lingkungan sekolah</x:v>
      </x:c>
      <x:c r="C456" s="4" t="str">
        <x:v>NON_EVENT</x:v>
      </x:c>
      <x:c r="D456" s="4" t="str">
        <x:v>NON_EVENT</x:v>
      </x:c>
      <x:c r="E456" s="12" t="str">
        <x:v>SETUJU_USULAN</x:v>
      </x:c>
      <x:c r="F456" s="12" t="str"/>
      <x:c r="G456" s="12" t="str">
        <x:v>Kegiatan yang dilaporkan ialah simulasi gempa di sekolah. R3.</x:v>
      </x:c>
      <x:c r="H456" s="4" t="str">
        <x:f>IF(E456="SETUJU_USULAN",D456,IF(E456="KOREKSI",F456,""))</x:f>
        <x:v>NON_EVENT</x:v>
      </x:c>
      <x:c r="I456" s="4" t="str">
        <x:f>IF(E456="","BELUM_DIREVIEW",IF(E456="TUNDA","DITUNDA",IF(TRIM(Panduan!$B$5)="","ISI_REVIEWER",IF(AND(E456&lt;&gt;"SETUJU_USULAN",E456&lt;&gt;"KOREKSI"),"CEK_KEPUTUSAN",IF(AND(E456="SETUJU_USULAN",F456&lt;&gt;""),"HAPUS_KOREKSI",IF(H456="","ISI_KOREKSI",IF(NOT(OR(H456="FLOOD",H456="EARTHQUAKE",H456="FIRE",H456="ACCIDENT",H456="NON_EVENT")),"CEK_LABEL",IF(AND(E456="KOREKSI",TRIM(G456)=""),"ISI_CATATAN","REVIEW_TERCATAT"))))))))</x:f>
        <x:v>REVIEW_TERCATAT</x:v>
      </x:c>
      <x:c r="J456" s="4" t="str">
        <x:v>Label dataset dan prediksi baseline sama; makna MVP belum direview. Kesepakatan keduanya belum membuktikan label final.</x:v>
      </x:c>
      <x:c r="K456" s="4" t="str">
        <x:v>NON_EVENT</x:v>
      </x:c>
      <x:c r="L456" s="14" t="n">
        <x:v>0.9911110997200012</x:v>
      </x:c>
    </x:row>
    <x:row r="457" ht="66" customHeight="1">
      <x:c r="A457" s="4" t="str">
        <x:v>GEM-01504</x:v>
      </x:c>
      <x:c r="B457" s="4" t="str">
        <x:v>kenapa ojk tidak berpihak sama masyrakat yang kena bencana alam yang luar biasa yang sangat mengerikan seperti mau kiamat menghancurkan semua nya gempa bumi tsunami likuifaksiharta benda keluarga yang telah hilang banget saja di telan bumi di gulung di hempas ke lautjaln2 terbelahpasigalakua</x:v>
      </x:c>
      <x:c r="C457" s="4" t="str">
        <x:v>NON_EVENT</x:v>
      </x:c>
      <x:c r="D457" s="4" t="str">
        <x:v>NON_EVENT</x:v>
      </x:c>
      <x:c r="E457" s="12" t="str">
        <x:v>KOREKSI</x:v>
      </x:c>
      <x:c r="F457" s="12" t="str">
        <x:v>EARTHQUAKE</x:v>
      </x:c>
      <x:c r="G457" s="12" t="str">
        <x:v>Keluhan kepada OJK menyatakan masyarakat kehilangan keluarga dan harta akibat gempa, tsunami dan likuifaksi. Klaim dampak fisik tetap literal. R1,R4,R5.</x:v>
      </x:c>
      <x:c r="H457" s="4" t="str">
        <x:f>IF(E457="SETUJU_USULAN",D457,IF(E457="KOREKSI",F457,""))</x:f>
        <x:v>EARTHQUAKE</x:v>
      </x:c>
      <x:c r="I457" s="4" t="str">
        <x:f>IF(E457="","BELUM_DIREVIEW",IF(E457="TUNDA","DITUNDA",IF(TRIM(Panduan!$B$5)="","ISI_REVIEWER",IF(AND(E457&lt;&gt;"SETUJU_USULAN",E457&lt;&gt;"KOREKSI"),"CEK_KEPUTUSAN",IF(AND(E457="SETUJU_USULAN",F457&lt;&gt;""),"HAPUS_KOREKSI",IF(H457="","ISI_KOREKSI",IF(NOT(OR(H457="FLOOD",H457="EARTHQUAKE",H457="FIRE",H457="ACCIDENT",H457="NON_EVENT")),"CEK_LABEL",IF(AND(E457="KOREKSI",TRIM(G457)=""),"ISI_CATATAN","REVIEW_TERCATAT"))))))))</x:f>
        <x:v>REVIEW_TERCATAT</x:v>
      </x:c>
      <x:c r="J457" s="4" t="str">
        <x:v>Label dataset dan prediksi baseline sama; makna MVP belum direview. Kesepakatan keduanya belum membuktikan label final.</x:v>
      </x:c>
      <x:c r="K457" s="4" t="str">
        <x:v>NON_EVENT</x:v>
      </x:c>
      <x:c r="L457" s="14" t="n">
        <x:v>0.9911271929740906</x:v>
      </x:c>
    </x:row>
    <x:row r="458" ht="64" customHeight="1">
      <x:c r="A458" s="4" t="str">
        <x:v>GEM-01565</x:v>
      </x:c>
      <x:c r="B458" s="4" t="str">
        <x:v>now ! peneliti gempa bumi dari lipi geoteknologi dari mudrick r daryono : bagaimana mewaspadai potensi gempa dan tsunami di pulau jawa ? tanggapan anda ?</x:v>
      </x:c>
      <x:c r="C458" s="4" t="str">
        <x:v>NON_EVENT</x:v>
      </x:c>
      <x:c r="D458" s="4" t="str">
        <x:v>NON_EVENT</x:v>
      </x:c>
      <x:c r="E458" s="12" t="str">
        <x:v>SETUJU_USULAN</x:v>
      </x:c>
      <x:c r="F458" s="12" t="str"/>
      <x:c r="G458" s="12" t="str">
        <x:v>Wawancara mengenai potensi gempa dan tsunami merupakan kewaspadaan umum. R3.</x:v>
      </x:c>
      <x:c r="H458" s="4" t="str">
        <x:f>IF(E458="SETUJU_USULAN",D458,IF(E458="KOREKSI",F458,""))</x:f>
        <x:v>NON_EVENT</x:v>
      </x:c>
      <x:c r="I458" s="4" t="str">
        <x:f>IF(E458="","BELUM_DIREVIEW",IF(E458="TUNDA","DITUNDA",IF(TRIM(Panduan!$B$5)="","ISI_REVIEWER",IF(AND(E458&lt;&gt;"SETUJU_USULAN",E458&lt;&gt;"KOREKSI"),"CEK_KEPUTUSAN",IF(AND(E458="SETUJU_USULAN",F458&lt;&gt;""),"HAPUS_KOREKSI",IF(H458="","ISI_KOREKSI",IF(NOT(OR(H458="FLOOD",H458="EARTHQUAKE",H458="FIRE",H458="ACCIDENT",H458="NON_EVENT")),"CEK_LABEL",IF(AND(E458="KOREKSI",TRIM(G458)=""),"ISI_CATATAN","REVIEW_TERCATAT"))))))))</x:f>
        <x:v>REVIEW_TERCATAT</x:v>
      </x:c>
      <x:c r="J458" s="4" t="str">
        <x:v>Label dataset dan prediksi baseline sama; makna MVP belum direview. Kesepakatan keduanya belum membuktikan label final.</x:v>
      </x:c>
      <x:c r="K458" s="4" t="str">
        <x:v>NON_EVENT</x:v>
      </x:c>
      <x:c r="L458" s="14" t="n">
        <x:v>0.9911393523216248</x:v>
      </x:c>
    </x:row>
    <x:row r="459" ht="66" customHeight="1">
      <x:c r="A459" s="4" t="str">
        <x:v>GEM-01200</x:v>
      </x:c>
      <x:c r="B459" s="4" t="str">
        <x:v>srikandi polrestabes makassar lakukan boulding traumac kepada korban bencana alam gempa bumi dan tsunami yang terjadi di sulteng yang saat ini masih berada di kota makassar tepatnya di asrama haji sudiang makassar dimana untuk korban dewasa diberikan motivasi dan semangat</x:v>
      </x:c>
      <x:c r="C459" s="4" t="str">
        <x:v>NON_EVENT</x:v>
      </x:c>
      <x:c r="D459" s="4" t="str">
        <x:v>NON_EVENT</x:v>
      </x:c>
      <x:c r="E459" s="12" t="str">
        <x:v>KOREKSI</x:v>
      </x:c>
      <x:c r="F459" s="12" t="str">
        <x:v>EARTHQUAKE</x:v>
      </x:c>
      <x:c r="G459" s="12" t="str">
        <x:v>Dukungan trauma diberikan kepada korban gempa Sulawesi Tengah yang berada di Asrama Haji Sudiang. R1,R5.</x:v>
      </x:c>
      <x:c r="H459" s="4" t="str">
        <x:f>IF(E459="SETUJU_USULAN",D459,IF(E459="KOREKSI",F459,""))</x:f>
        <x:v>EARTHQUAKE</x:v>
      </x:c>
      <x:c r="I459" s="4" t="str">
        <x:f>IF(E459="","BELUM_DIREVIEW",IF(E459="TUNDA","DITUNDA",IF(TRIM(Panduan!$B$5)="","ISI_REVIEWER",IF(AND(E459&lt;&gt;"SETUJU_USULAN",E459&lt;&gt;"KOREKSI"),"CEK_KEPUTUSAN",IF(AND(E459="SETUJU_USULAN",F459&lt;&gt;""),"HAPUS_KOREKSI",IF(H459="","ISI_KOREKSI",IF(NOT(OR(H459="FLOOD",H459="EARTHQUAKE",H459="FIRE",H459="ACCIDENT",H459="NON_EVENT")),"CEK_LABEL",IF(AND(E459="KOREKSI",TRIM(G459)=""),"ISI_CATATAN","REVIEW_TERCATAT"))))))))</x:f>
        <x:v>REVIEW_TERCATAT</x:v>
      </x:c>
      <x:c r="J459" s="4" t="str">
        <x:v>Label dataset dan prediksi baseline sama; makna MVP belum direview. Kesepakatan keduanya belum membuktikan label final.</x:v>
      </x:c>
      <x:c r="K459" s="4" t="str">
        <x:v>NON_EVENT</x:v>
      </x:c>
      <x:c r="L459" s="14" t="n">
        <x:v>0.9912472367286682</x:v>
      </x:c>
    </x:row>
    <x:row r="460" ht="64" customHeight="1">
      <x:c r="A460" s="4" t="str">
        <x:v>GEM-01088</x:v>
      </x:c>
      <x:c r="B460" s="4" t="str">
        <x:v>terima kasih pt eisai indonesia atas sumbangan kemanusiaan sebesar rp 36000000 - melalui pmi dki jakarta untuk korban bencana gempa bumi di lombok</x:v>
      </x:c>
      <x:c r="C460" s="4" t="str">
        <x:v>NON_EVENT</x:v>
      </x:c>
      <x:c r="D460" s="4" t="str">
        <x:v>NON_EVENT</x:v>
      </x:c>
      <x:c r="E460" s="12" t="str">
        <x:v>KOREKSI</x:v>
      </x:c>
      <x:c r="F460" s="12" t="str">
        <x:v>EARTHQUAKE</x:v>
      </x:c>
      <x:c r="G460" s="12" t="str">
        <x:v>Sumbangan kemanusiaan melalui PMI ditujukan kepada korban gempa di Lombok. R1,R5.</x:v>
      </x:c>
      <x:c r="H460" s="4" t="str">
        <x:f>IF(E460="SETUJU_USULAN",D460,IF(E460="KOREKSI",F460,""))</x:f>
        <x:v>EARTHQUAKE</x:v>
      </x:c>
      <x:c r="I460" s="4" t="str">
        <x:f>IF(E460="","BELUM_DIREVIEW",IF(E460="TUNDA","DITUNDA",IF(TRIM(Panduan!$B$5)="","ISI_REVIEWER",IF(AND(E460&lt;&gt;"SETUJU_USULAN",E460&lt;&gt;"KOREKSI"),"CEK_KEPUTUSAN",IF(AND(E460="SETUJU_USULAN",F460&lt;&gt;""),"HAPUS_KOREKSI",IF(H460="","ISI_KOREKSI",IF(NOT(OR(H460="FLOOD",H460="EARTHQUAKE",H460="FIRE",H460="ACCIDENT",H460="NON_EVENT")),"CEK_LABEL",IF(AND(E460="KOREKSI",TRIM(G460)=""),"ISI_CATATAN","REVIEW_TERCATAT"))))))))</x:f>
        <x:v>REVIEW_TERCATAT</x:v>
      </x:c>
      <x:c r="J460" s="4" t="str">
        <x:v>Label dataset dan prediksi baseline sama; makna MVP belum direview. Kesepakatan keduanya belum membuktikan label final.</x:v>
      </x:c>
      <x:c r="K460" s="4" t="str">
        <x:v>NON_EVENT</x:v>
      </x:c>
      <x:c r="L460" s="14" t="n">
        <x:v>0.9912848472595215</x:v>
      </x:c>
    </x:row>
    <x:row r="461" ht="64" customHeight="1">
      <x:c r="A461" s="4" t="str">
        <x:v>KEC-01282</x:v>
      </x:c>
      <x:c r="B461" s="4" t="str">
        <x:v>kecelakaan tunggal jam 340wib krian arah prambon mobil xenia hitam dah di tangani oleh polsek krian</x:v>
      </x:c>
      <x:c r="C461" s="4" t="str">
        <x:v>ACCIDENT</x:v>
      </x:c>
      <x:c r="D461" s="4" t="str">
        <x:v>ACCIDENT</x:v>
      </x:c>
      <x:c r="E461" s="12" t="str">
        <x:v>SETUJU_USULAN</x:v>
      </x:c>
      <x:c r="F461" s="12" t="str"/>
      <x:c r="G461" s="12" t="str">
        <x:v>Narasi menyatakan kejadian kecelakaan yang terjadi atau telah terjadi. Label mengikuti isi kejadian, termasuk penanganan dan dampak yang disebut. R1,R4.</x:v>
      </x:c>
      <x:c r="H461" s="4" t="str">
        <x:f>IF(E461="SETUJU_USULAN",D461,IF(E461="KOREKSI",F461,""))</x:f>
        <x:v>ACCIDENT</x:v>
      </x:c>
      <x:c r="I461" s="4" t="str">
        <x:f>IF(E461="","BELUM_DIREVIEW",IF(E461="TUNDA","DITUNDA",IF(TRIM(Panduan!$B$5)="","ISI_REVIEWER",IF(AND(E461&lt;&gt;"SETUJU_USULAN",E461&lt;&gt;"KOREKSI"),"CEK_KEPUTUSAN",IF(AND(E461="SETUJU_USULAN",F461&lt;&gt;""),"HAPUS_KOREKSI",IF(H461="","ISI_KOREKSI",IF(NOT(OR(H461="FLOOD",H461="EARTHQUAKE",H461="FIRE",H461="ACCIDENT",H461="NON_EVENT")),"CEK_LABEL",IF(AND(E461="KOREKSI",TRIM(G461)=""),"ISI_CATATAN","REVIEW_TERCATAT"))))))))</x:f>
        <x:v>REVIEW_TERCATAT</x:v>
      </x:c>
      <x:c r="J461" s="4" t="str">
        <x:v>Label dataset dan prediksi baseline sama; makna MVP belum direview. Kesepakatan keduanya belum membuktikan label final.</x:v>
      </x:c>
      <x:c r="K461" s="4" t="str">
        <x:v>ACCIDENT</x:v>
      </x:c>
      <x:c r="L461" s="14" t="n">
        <x:v>0.991293728351593</x:v>
      </x:c>
    </x:row>
    <x:row r="462" ht="64" customHeight="1">
      <x:c r="A462" s="4" t="str">
        <x:v>KEB-00938</x:v>
      </x:c>
      <x:c r="B462" s="4" t="str">
        <x:v>kebakaran kabel listrik dibawah tanah pukul 2.3 wib di jalan mh thamrin depan bank indonesia , kel . gambir , kec . gambir , jakarta pusat , situasi sudah padam pengerahan 1 unit mp dari pos tim</x:v>
      </x:c>
      <x:c r="C462" s="4" t="str">
        <x:v>FIRE</x:v>
      </x:c>
      <x:c r="D462" s="4" t="str">
        <x:v>FIRE</x:v>
      </x:c>
      <x:c r="E462" s="12" t="str">
        <x:v>SETUJU_USULAN</x:v>
      </x:c>
      <x:c r="F462" s="12" t="str"/>
      <x:c r="G462" s="12" t="str">
        <x:v>Narasi menyatakan kejadian kebakaran yang terjadi atau telah terjadi. Label mengikuti isi kejadian, termasuk penanganan dan dampak yang disebut. R1,R4.</x:v>
      </x:c>
      <x:c r="H462" s="4" t="str">
        <x:f>IF(E462="SETUJU_USULAN",D462,IF(E462="KOREKSI",F462,""))</x:f>
        <x:v>FIRE</x:v>
      </x:c>
      <x:c r="I462" s="4" t="str">
        <x:f>IF(E462="","BELUM_DIREVIEW",IF(E462="TUNDA","DITUNDA",IF(TRIM(Panduan!$B$5)="","ISI_REVIEWER",IF(AND(E462&lt;&gt;"SETUJU_USULAN",E462&lt;&gt;"KOREKSI"),"CEK_KEPUTUSAN",IF(AND(E462="SETUJU_USULAN",F462&lt;&gt;""),"HAPUS_KOREKSI",IF(H462="","ISI_KOREKSI",IF(NOT(OR(H462="FLOOD",H462="EARTHQUAKE",H462="FIRE",H462="ACCIDENT",H462="NON_EVENT")),"CEK_LABEL",IF(AND(E462="KOREKSI",TRIM(G462)=""),"ISI_CATATAN","REVIEW_TERCATAT"))))))))</x:f>
        <x:v>REVIEW_TERCATAT</x:v>
      </x:c>
      <x:c r="J462" s="4" t="str">
        <x:v>Label dataset dan prediksi baseline sama; makna MVP belum direview. Kesepakatan keduanya belum membuktikan label final.</x:v>
      </x:c>
      <x:c r="K462" s="4" t="str">
        <x:v>FIRE</x:v>
      </x:c>
      <x:c r="L462" s="14" t="n">
        <x:v>0.9913098812103271</x:v>
      </x:c>
    </x:row>
    <x:row r="463" ht="66" customHeight="1">
      <x:c r="A463" s="4" t="str">
        <x:v>GEM-01111</x:v>
      </x:c>
      <x:c r="B463" s="4" t="str">
        <x:v>gempa bumi di lombok memang merubuhkan rumah dan bangunan publik tapi harapan masa depan jangan ikut tumbang mahasiswa ntb harus tetap melanjutkan pendidikan untuk itu kemarin saya menyerahkan beasiswa pemerintah kepada 5144 mahasiswa ntb yang kuliah di seluruh indonesia</x:v>
      </x:c>
      <x:c r="C463" s="4" t="str">
        <x:v>NON_EVENT</x:v>
      </x:c>
      <x:c r="D463" s="4" t="str">
        <x:v>NON_EVENT</x:v>
      </x:c>
      <x:c r="E463" s="12" t="str">
        <x:v>KOREKSI</x:v>
      </x:c>
      <x:c r="F463" s="12" t="str">
        <x:v>EARTHQUAKE</x:v>
      </x:c>
      <x:c r="G463" s="12" t="str">
        <x:v>Gempa Lombok dinyatakan merobohkan rumah dan bangunan publik. Pemberian beasiswa merupakan informasi lanjutan dari kejadian tersebut. R1,R5.</x:v>
      </x:c>
      <x:c r="H463" s="4" t="str">
        <x:f>IF(E463="SETUJU_USULAN",D463,IF(E463="KOREKSI",F463,""))</x:f>
        <x:v>EARTHQUAKE</x:v>
      </x:c>
      <x:c r="I463" s="4" t="str">
        <x:f>IF(E463="","BELUM_DIREVIEW",IF(E463="TUNDA","DITUNDA",IF(TRIM(Panduan!$B$5)="","ISI_REVIEWER",IF(AND(E463&lt;&gt;"SETUJU_USULAN",E463&lt;&gt;"KOREKSI"),"CEK_KEPUTUSAN",IF(AND(E463="SETUJU_USULAN",F463&lt;&gt;""),"HAPUS_KOREKSI",IF(H463="","ISI_KOREKSI",IF(NOT(OR(H463="FLOOD",H463="EARTHQUAKE",H463="FIRE",H463="ACCIDENT",H463="NON_EVENT")),"CEK_LABEL",IF(AND(E463="KOREKSI",TRIM(G463)=""),"ISI_CATATAN","REVIEW_TERCATAT"))))))))</x:f>
        <x:v>REVIEW_TERCATAT</x:v>
      </x:c>
      <x:c r="J463" s="4" t="str">
        <x:v>Label dataset dan prediksi baseline sama; makna MVP belum direview. Kesepakatan keduanya belum membuktikan label final.</x:v>
      </x:c>
      <x:c r="K463" s="4" t="str">
        <x:v>NON_EVENT</x:v>
      </x:c>
      <x:c r="L463" s="14" t="n">
        <x:v>0.9913653135299683</x:v>
      </x:c>
    </x:row>
    <x:row r="464" ht="64" customHeight="1">
      <x:c r="A464" s="4" t="str">
        <x:v>KEB-00989</x:v>
      </x:c>
      <x:c r="B464" s="4" t="str">
        <x:v>malam tadu terjadi kebakaran di tanjung pandan pulau bromo kelurahan mantuil kecamatan banjarmasin selatan . masih nunggu update data</x:v>
      </x:c>
      <x:c r="C464" s="4" t="str">
        <x:v>FIRE</x:v>
      </x:c>
      <x:c r="D464" s="4" t="str">
        <x:v>FIRE</x:v>
      </x:c>
      <x:c r="E464" s="12" t="str">
        <x:v>SETUJU_USULAN</x:v>
      </x:c>
      <x:c r="F464" s="12" t="str"/>
      <x:c r="G464" s="12" t="str">
        <x:v>Narasi menyatakan kejadian kebakaran yang terjadi atau telah terjadi. Label mengikuti isi kejadian, termasuk penanganan dan dampak yang disebut. R1,R4.</x:v>
      </x:c>
      <x:c r="H464" s="4" t="str">
        <x:f>IF(E464="SETUJU_USULAN",D464,IF(E464="KOREKSI",F464,""))</x:f>
        <x:v>FIRE</x:v>
      </x:c>
      <x:c r="I464" s="4" t="str">
        <x:f>IF(E464="","BELUM_DIREVIEW",IF(E464="TUNDA","DITUNDA",IF(TRIM(Panduan!$B$5)="","ISI_REVIEWER",IF(AND(E464&lt;&gt;"SETUJU_USULAN",E464&lt;&gt;"KOREKSI"),"CEK_KEPUTUSAN",IF(AND(E464="SETUJU_USULAN",F464&lt;&gt;""),"HAPUS_KOREKSI",IF(H464="","ISI_KOREKSI",IF(NOT(OR(H464="FLOOD",H464="EARTHQUAKE",H464="FIRE",H464="ACCIDENT",H464="NON_EVENT")),"CEK_LABEL",IF(AND(E464="KOREKSI",TRIM(G464)=""),"ISI_CATATAN","REVIEW_TERCATAT"))))))))</x:f>
        <x:v>REVIEW_TERCATAT</x:v>
      </x:c>
      <x:c r="J464" s="4" t="str">
        <x:v>Label dataset dan prediksi baseline sama; makna MVP belum direview. Kesepakatan keduanya belum membuktikan label final.</x:v>
      </x:c>
      <x:c r="K464" s="4" t="str">
        <x:v>FIRE</x:v>
      </x:c>
      <x:c r="L464" s="14" t="n">
        <x:v>0.9914323091506958</x:v>
      </x:c>
    </x:row>
    <x:row r="465" ht="64" customHeight="1">
      <x:c r="A465" s="4" t="str">
        <x:v>KEC-00260</x:v>
      </x:c>
      <x:c r="B465" s="4" t="str">
        <x:v>ada kecelakaan di km 21 jalan tol waru arah sidoarjo macet</x:v>
      </x:c>
      <x:c r="C465" s="4" t="str">
        <x:v>ACCIDENT</x:v>
      </x:c>
      <x:c r="D465" s="4" t="str">
        <x:v>ACCIDENT</x:v>
      </x:c>
      <x:c r="E465" s="12" t="str">
        <x:v>SETUJU_USULAN</x:v>
      </x:c>
      <x:c r="F465" s="12" t="str"/>
      <x:c r="G465" s="12" t="str">
        <x:v>Narasi menyatakan kejadian kecelakaan yang terjadi atau telah terjadi. Label mengikuti isi kejadian, termasuk penanganan dan dampak yang disebut. R1,R4.</x:v>
      </x:c>
      <x:c r="H465" s="4" t="str">
        <x:f>IF(E465="SETUJU_USULAN",D465,IF(E465="KOREKSI",F465,""))</x:f>
        <x:v>ACCIDENT</x:v>
      </x:c>
      <x:c r="I465" s="4" t="str">
        <x:f>IF(E465="","BELUM_DIREVIEW",IF(E465="TUNDA","DITUNDA",IF(TRIM(Panduan!$B$5)="","ISI_REVIEWER",IF(AND(E465&lt;&gt;"SETUJU_USULAN",E465&lt;&gt;"KOREKSI"),"CEK_KEPUTUSAN",IF(AND(E465="SETUJU_USULAN",F465&lt;&gt;""),"HAPUS_KOREKSI",IF(H465="","ISI_KOREKSI",IF(NOT(OR(H465="FLOOD",H465="EARTHQUAKE",H465="FIRE",H465="ACCIDENT",H465="NON_EVENT")),"CEK_LABEL",IF(AND(E465="KOREKSI",TRIM(G465)=""),"ISI_CATATAN","REVIEW_TERCATAT"))))))))</x:f>
        <x:v>REVIEW_TERCATAT</x:v>
      </x:c>
      <x:c r="J465" s="4" t="str">
        <x:v>Label dataset dan prediksi baseline sama; makna MVP belum direview. Kesepakatan keduanya belum membuktikan label final.</x:v>
      </x:c>
      <x:c r="K465" s="4" t="str">
        <x:v>ACCIDENT</x:v>
      </x:c>
      <x:c r="L465" s="14" t="n">
        <x:v>0.991442859172821</x:v>
      </x:c>
    </x:row>
    <x:row r="466" ht="66" customHeight="1">
      <x:c r="A466" s="4" t="str">
        <x:v>KEB-00862</x:v>
      </x:c>
      <x:c r="B466" s="4" t="str">
        <x:v>terjadi kebakaran pkl . 5.45 pd salah satu ruangan di apartemen centra timur lt . 6 jl . raya pulo gebang kel . pulo gebang kec . cakung jakarta timur . pengerahan 8 unit . dalam penanganan petugas ( pendinginan) ( 13/9/2020 ) .</x:v>
      </x:c>
      <x:c r="C466" s="4" t="str">
        <x:v>FIRE</x:v>
      </x:c>
      <x:c r="D466" s="4" t="str">
        <x:v>FIRE</x:v>
      </x:c>
      <x:c r="E466" s="12" t="str">
        <x:v>SETUJU_USULAN</x:v>
      </x:c>
      <x:c r="F466" s="12" t="str"/>
      <x:c r="G466" s="12" t="str">
        <x:v>Narasi menyatakan kejadian kebakaran yang terjadi atau telah terjadi. Label mengikuti isi kejadian, termasuk penanganan dan dampak yang disebut. R1,R4.</x:v>
      </x:c>
      <x:c r="H466" s="4" t="str">
        <x:f>IF(E466="SETUJU_USULAN",D466,IF(E466="KOREKSI",F466,""))</x:f>
        <x:v>FIRE</x:v>
      </x:c>
      <x:c r="I466" s="4" t="str">
        <x:f>IF(E466="","BELUM_DIREVIEW",IF(E466="TUNDA","DITUNDA",IF(TRIM(Panduan!$B$5)="","ISI_REVIEWER",IF(AND(E466&lt;&gt;"SETUJU_USULAN",E466&lt;&gt;"KOREKSI"),"CEK_KEPUTUSAN",IF(AND(E466="SETUJU_USULAN",F466&lt;&gt;""),"HAPUS_KOREKSI",IF(H466="","ISI_KOREKSI",IF(NOT(OR(H466="FLOOD",H466="EARTHQUAKE",H466="FIRE",H466="ACCIDENT",H466="NON_EVENT")),"CEK_LABEL",IF(AND(E466="KOREKSI",TRIM(G466)=""),"ISI_CATATAN","REVIEW_TERCATAT"))))))))</x:f>
        <x:v>REVIEW_TERCATAT</x:v>
      </x:c>
      <x:c r="J466" s="4" t="str">
        <x:v>Label dataset dan prediksi baseline sama; makna MVP belum direview. Kesepakatan keduanya belum membuktikan label final.</x:v>
      </x:c>
      <x:c r="K466" s="4" t="str">
        <x:v>FIRE</x:v>
      </x:c>
      <x:c r="L466" s="14" t="n">
        <x:v>0.9914763569831848</x:v>
      </x:c>
    </x:row>
    <x:row r="467" ht="66" customHeight="1">
      <x:c r="A467" s="4" t="str">
        <x:v>KEB-00506</x:v>
      </x:c>
      <x:c r="B467" s="4" t="str">
        <x:v>sabtu , 27 juni 2020 pukul 22.00wib , terjadi kebakaran rumah huni di jl . purnosari no . 12 rt05 / rw02 , kel . kemijen , kec . semarang timur . belum diketahui pasti penyebab terjadi nya kebakaran . dugaan sementara berasal dari</x:v>
      </x:c>
      <x:c r="C467" s="4" t="str">
        <x:v>FIRE</x:v>
      </x:c>
      <x:c r="D467" s="4" t="str">
        <x:v>FIRE</x:v>
      </x:c>
      <x:c r="E467" s="12" t="str">
        <x:v>SETUJU_USULAN</x:v>
      </x:c>
      <x:c r="F467" s="12" t="str"/>
      <x:c r="G467" s="12" t="str">
        <x:v>Narasi menyatakan kejadian kebakaran yang terjadi atau telah terjadi. Label mengikuti isi kejadian, termasuk penanganan dan dampak yang disebut. R1,R4.</x:v>
      </x:c>
      <x:c r="H467" s="4" t="str">
        <x:f>IF(E467="SETUJU_USULAN",D467,IF(E467="KOREKSI",F467,""))</x:f>
        <x:v>FIRE</x:v>
      </x:c>
      <x:c r="I467" s="4" t="str">
        <x:f>IF(E467="","BELUM_DIREVIEW",IF(E467="TUNDA","DITUNDA",IF(TRIM(Panduan!$B$5)="","ISI_REVIEWER",IF(AND(E467&lt;&gt;"SETUJU_USULAN",E467&lt;&gt;"KOREKSI"),"CEK_KEPUTUSAN",IF(AND(E467="SETUJU_USULAN",F467&lt;&gt;""),"HAPUS_KOREKSI",IF(H467="","ISI_KOREKSI",IF(NOT(OR(H467="FLOOD",H467="EARTHQUAKE",H467="FIRE",H467="ACCIDENT",H467="NON_EVENT")),"CEK_LABEL",IF(AND(E467="KOREKSI",TRIM(G467)=""),"ISI_CATATAN","REVIEW_TERCATAT"))))))))</x:f>
        <x:v>REVIEW_TERCATAT</x:v>
      </x:c>
      <x:c r="J467" s="4" t="str">
        <x:v>Label dataset dan prediksi baseline sama; makna MVP belum direview. Kesepakatan keduanya belum membuktikan label final.</x:v>
      </x:c>
      <x:c r="K467" s="4" t="str">
        <x:v>FIRE</x:v>
      </x:c>
      <x:c r="L467" s="14" t="n">
        <x:v>0.9915018081665039</x:v>
      </x:c>
    </x:row>
    <x:row r="468" ht="64" customHeight="1">
      <x:c r="A468" s="4" t="str">
        <x:v>KEC-01429</x:v>
      </x:c>
      <x:c r="B468" s="4" t="str">
        <x:v>44 tewas dalam kecelakaan bus di india utara</x:v>
      </x:c>
      <x:c r="C468" s="4" t="str">
        <x:v>ACCIDENT</x:v>
      </x:c>
      <x:c r="D468" s="4" t="str">
        <x:v>ACCIDENT</x:v>
      </x:c>
      <x:c r="E468" s="12" t="str">
        <x:v>SETUJU_USULAN</x:v>
      </x:c>
      <x:c r="F468" s="12" t="str"/>
      <x:c r="G468" s="12" t="str">
        <x:v>Narasi menyatakan kejadian kecelakaan yang terjadi atau telah terjadi. Label mengikuti isi kejadian, termasuk penanganan dan dampak yang disebut. R1,R4.</x:v>
      </x:c>
      <x:c r="H468" s="4" t="str">
        <x:f>IF(E468="SETUJU_USULAN",D468,IF(E468="KOREKSI",F468,""))</x:f>
        <x:v>ACCIDENT</x:v>
      </x:c>
      <x:c r="I468" s="4" t="str">
        <x:f>IF(E468="","BELUM_DIREVIEW",IF(E468="TUNDA","DITUNDA",IF(TRIM(Panduan!$B$5)="","ISI_REVIEWER",IF(AND(E468&lt;&gt;"SETUJU_USULAN",E468&lt;&gt;"KOREKSI"),"CEK_KEPUTUSAN",IF(AND(E468="SETUJU_USULAN",F468&lt;&gt;""),"HAPUS_KOREKSI",IF(H468="","ISI_KOREKSI",IF(NOT(OR(H468="FLOOD",H468="EARTHQUAKE",H468="FIRE",H468="ACCIDENT",H468="NON_EVENT")),"CEK_LABEL",IF(AND(E468="KOREKSI",TRIM(G468)=""),"ISI_CATATAN","REVIEW_TERCATAT"))))))))</x:f>
        <x:v>REVIEW_TERCATAT</x:v>
      </x:c>
      <x:c r="J468" s="4" t="str">
        <x:v>Label dataset dan prediksi baseline sama; makna MVP belum direview. Kesepakatan keduanya belum membuktikan label final.</x:v>
      </x:c>
      <x:c r="K468" s="4" t="str">
        <x:v>ACCIDENT</x:v>
      </x:c>
      <x:c r="L468" s="14" t="n">
        <x:v>0.9915221929550171</x:v>
      </x:c>
    </x:row>
    <x:row r="469" ht="66" customHeight="1">
      <x:c r="A469" s="4" t="str">
        <x:v>GEM-01224</x:v>
      </x:c>
      <x:c r="B469" s="4" t="str">
        <x:v>indonesiaku mengapa begitu banyak musibah menimpamunggak darat laut sekarang udaralain lagi gempa bumi tsunamioohhh sakitnya indonesia saja kini yang jadi perhatian dunia tetapi mengapa masih ribut saja tetapi aku percaya tuhan akan memberantas habis pengacau di nkri</x:v>
      </x:c>
      <x:c r="C469" s="4" t="str">
        <x:v>NON_EVENT</x:v>
      </x:c>
      <x:c r="D469" s="4" t="str">
        <x:v>NON_EVENT</x:v>
      </x:c>
      <x:c r="E469" s="12" t="str">
        <x:v>SETUJU_USULAN</x:v>
      </x:c>
      <x:c r="F469" s="12" t="str"/>
      <x:c r="G469" s="12" t="str">
        <x:v>Ungkapan duka membahas banyak musibah di Indonesia secara umum, tanpa satu kejadian tertentu. R3.</x:v>
      </x:c>
      <x:c r="H469" s="4" t="str">
        <x:f>IF(E469="SETUJU_USULAN",D469,IF(E469="KOREKSI",F469,""))</x:f>
        <x:v>NON_EVENT</x:v>
      </x:c>
      <x:c r="I469" s="4" t="str">
        <x:f>IF(E469="","BELUM_DIREVIEW",IF(E469="TUNDA","DITUNDA",IF(TRIM(Panduan!$B$5)="","ISI_REVIEWER",IF(AND(E469&lt;&gt;"SETUJU_USULAN",E469&lt;&gt;"KOREKSI"),"CEK_KEPUTUSAN",IF(AND(E469="SETUJU_USULAN",F469&lt;&gt;""),"HAPUS_KOREKSI",IF(H469="","ISI_KOREKSI",IF(NOT(OR(H469="FLOOD",H469="EARTHQUAKE",H469="FIRE",H469="ACCIDENT",H469="NON_EVENT")),"CEK_LABEL",IF(AND(E469="KOREKSI",TRIM(G469)=""),"ISI_CATATAN","REVIEW_TERCATAT"))))))))</x:f>
        <x:v>REVIEW_TERCATAT</x:v>
      </x:c>
      <x:c r="J469" s="4" t="str">
        <x:v>Label dataset dan prediksi baseline sama; makna MVP belum direview. Kesepakatan keduanya belum membuktikan label final.</x:v>
      </x:c>
      <x:c r="K469" s="4" t="str">
        <x:v>NON_EVENT</x:v>
      </x:c>
      <x:c r="L469" s="14" t="n">
        <x:v>0.9915334582328796</x:v>
      </x:c>
    </x:row>
    <x:row r="470" ht="66" customHeight="1">
      <x:c r="A470" s="4" t="str">
        <x:v>KEB-00472</x:v>
      </x:c>
      <x:c r="B470" s="4" t="str">
        <x:v>23.11 : kebakaran rumah di rt 03/07 , kel . tugu selatan , kec . koja , jakarta utara , senin ( 15/6 ) malam , pukul 22.25 wib . 7 unit damkar dikerhakn kelokasi , selesai pemadaman pukul 22.46 wib . ( info sudin damkar jakarta utara angga ) .</x:v>
      </x:c>
      <x:c r="C470" s="4" t="str">
        <x:v>FIRE</x:v>
      </x:c>
      <x:c r="D470" s="4" t="str">
        <x:v>FIRE</x:v>
      </x:c>
      <x:c r="E470" s="12" t="str">
        <x:v>SETUJU_USULAN</x:v>
      </x:c>
      <x:c r="F470" s="12" t="str"/>
      <x:c r="G470" s="12" t="str">
        <x:v>Narasi menyatakan kejadian kebakaran yang terjadi atau telah terjadi. Label mengikuti isi kejadian, termasuk penanganan dan dampak yang disebut. R1,R4.</x:v>
      </x:c>
      <x:c r="H470" s="4" t="str">
        <x:f>IF(E470="SETUJU_USULAN",D470,IF(E470="KOREKSI",F470,""))</x:f>
        <x:v>FIRE</x:v>
      </x:c>
      <x:c r="I470" s="4" t="str">
        <x:f>IF(E470="","BELUM_DIREVIEW",IF(E470="TUNDA","DITUNDA",IF(TRIM(Panduan!$B$5)="","ISI_REVIEWER",IF(AND(E470&lt;&gt;"SETUJU_USULAN",E470&lt;&gt;"KOREKSI"),"CEK_KEPUTUSAN",IF(AND(E470="SETUJU_USULAN",F470&lt;&gt;""),"HAPUS_KOREKSI",IF(H470="","ISI_KOREKSI",IF(NOT(OR(H470="FLOOD",H470="EARTHQUAKE",H470="FIRE",H470="ACCIDENT",H470="NON_EVENT")),"CEK_LABEL",IF(AND(E470="KOREKSI",TRIM(G470)=""),"ISI_CATATAN","REVIEW_TERCATAT"))))))))</x:f>
        <x:v>REVIEW_TERCATAT</x:v>
      </x:c>
      <x:c r="J470" s="4" t="str">
        <x:v>Label dataset dan prediksi baseline sama; makna MVP belum direview. Kesepakatan keduanya belum membuktikan label final.</x:v>
      </x:c>
      <x:c r="K470" s="4" t="str">
        <x:v>FIRE</x:v>
      </x:c>
      <x:c r="L470" s="14" t="n">
        <x:v>0.9915345311164856</x:v>
      </x:c>
    </x:row>
    <x:row r="471" ht="64" customHeight="1">
      <x:c r="A471" s="4" t="str">
        <x:v>KEC-01176</x:v>
      </x:c>
      <x:c r="B471" s="4" t="str">
        <x:v>652 : rt : kecelakaan di jalan tol km 44100 ke arah merak</x:v>
      </x:c>
      <x:c r="C471" s="4" t="str">
        <x:v>ACCIDENT</x:v>
      </x:c>
      <x:c r="D471" s="4" t="str">
        <x:v>ACCIDENT</x:v>
      </x:c>
      <x:c r="E471" s="12" t="str">
        <x:v>SETUJU_USULAN</x:v>
      </x:c>
      <x:c r="F471" s="12" t="str"/>
      <x:c r="G471" s="12" t="str">
        <x:v>Narasi menyatakan kejadian kecelakaan yang terjadi atau telah terjadi. Label mengikuti isi kejadian, termasuk penanganan dan dampak yang disebut. R1,R4.</x:v>
      </x:c>
      <x:c r="H471" s="4" t="str">
        <x:f>IF(E471="SETUJU_USULAN",D471,IF(E471="KOREKSI",F471,""))</x:f>
        <x:v>ACCIDENT</x:v>
      </x:c>
      <x:c r="I471" s="4" t="str">
        <x:f>IF(E471="","BELUM_DIREVIEW",IF(E471="TUNDA","DITUNDA",IF(TRIM(Panduan!$B$5)="","ISI_REVIEWER",IF(AND(E471&lt;&gt;"SETUJU_USULAN",E471&lt;&gt;"KOREKSI"),"CEK_KEPUTUSAN",IF(AND(E471="SETUJU_USULAN",F471&lt;&gt;""),"HAPUS_KOREKSI",IF(H471="","ISI_KOREKSI",IF(NOT(OR(H471="FLOOD",H471="EARTHQUAKE",H471="FIRE",H471="ACCIDENT",H471="NON_EVENT")),"CEK_LABEL",IF(AND(E471="KOREKSI",TRIM(G471)=""),"ISI_CATATAN","REVIEW_TERCATAT"))))))))</x:f>
        <x:v>REVIEW_TERCATAT</x:v>
      </x:c>
      <x:c r="J471" s="4" t="str">
        <x:v>Label dataset dan prediksi baseline sama; makna MVP belum direview. Kesepakatan keduanya belum membuktikan label final.</x:v>
      </x:c>
      <x:c r="K471" s="4" t="str">
        <x:v>ACCIDENT</x:v>
      </x:c>
      <x:c r="L471" s="14" t="n">
        <x:v>0.9915388226509094</x:v>
      </x:c>
    </x:row>
    <x:row r="472" ht="64" customHeight="1">
      <x:c r="A472" s="4" t="str">
        <x:v>KEB-00990</x:v>
      </x:c>
      <x:c r="B472" s="4" t="str">
        <x:v>kebakaran pemukiman di distrik-9 jayapura utara kota jayapura ratusan rumah warga dilahap si jago merah . semoga tidak ada kaitan dengan separatis . .</x:v>
      </x:c>
      <x:c r="C472" s="4" t="str">
        <x:v>FIRE</x:v>
      </x:c>
      <x:c r="D472" s="4" t="str">
        <x:v>FIRE</x:v>
      </x:c>
      <x:c r="E472" s="12" t="str">
        <x:v>SETUJU_USULAN</x:v>
      </x:c>
      <x:c r="F472" s="12" t="str"/>
      <x:c r="G472" s="12" t="str">
        <x:v>Narasi menyatakan kejadian kebakaran yang terjadi atau telah terjadi. Label mengikuti isi kejadian, termasuk penanganan dan dampak yang disebut. R1,R4.</x:v>
      </x:c>
      <x:c r="H472" s="4" t="str">
        <x:f>IF(E472="SETUJU_USULAN",D472,IF(E472="KOREKSI",F472,""))</x:f>
        <x:v>FIRE</x:v>
      </x:c>
      <x:c r="I472" s="4" t="str">
        <x:f>IF(E472="","BELUM_DIREVIEW",IF(E472="TUNDA","DITUNDA",IF(TRIM(Panduan!$B$5)="","ISI_REVIEWER",IF(AND(E472&lt;&gt;"SETUJU_USULAN",E472&lt;&gt;"KOREKSI"),"CEK_KEPUTUSAN",IF(AND(E472="SETUJU_USULAN",F472&lt;&gt;""),"HAPUS_KOREKSI",IF(H472="","ISI_KOREKSI",IF(NOT(OR(H472="FLOOD",H472="EARTHQUAKE",H472="FIRE",H472="ACCIDENT",H472="NON_EVENT")),"CEK_LABEL",IF(AND(E472="KOREKSI",TRIM(G472)=""),"ISI_CATATAN","REVIEW_TERCATAT"))))))))</x:f>
        <x:v>REVIEW_TERCATAT</x:v>
      </x:c>
      <x:c r="J472" s="4" t="str">
        <x:v>Label dataset dan prediksi baseline sama; makna MVP belum direview. Kesepakatan keduanya belum membuktikan label final.</x:v>
      </x:c>
      <x:c r="K472" s="4" t="str">
        <x:v>FIRE</x:v>
      </x:c>
      <x:c r="L472" s="14" t="n">
        <x:v>0.9915444850921631</x:v>
      </x:c>
    </x:row>
    <x:row r="473" ht="64" customHeight="1">
      <x:c r="A473" s="4" t="str">
        <x:v>KEB-00553</x:v>
      </x:c>
      <x:c r="B473" s="4" t="str">
        <x:v>kemarin malam sekitar pukul 22.2 wib terjadi kebakaran rumah di kelurahan sidorejo rt 5 rw 1 , kecamatan / kabupaten tuban kebakaran berasal dari konsleting listrik dari kamar gudang di lantai 2 . kemudian api</x:v>
      </x:c>
      <x:c r="C473" s="4" t="str">
        <x:v>FIRE</x:v>
      </x:c>
      <x:c r="D473" s="4" t="str">
        <x:v>FIRE</x:v>
      </x:c>
      <x:c r="E473" s="12" t="str">
        <x:v>SETUJU_USULAN</x:v>
      </x:c>
      <x:c r="F473" s="12" t="str"/>
      <x:c r="G473" s="12" t="str">
        <x:v>Narasi menyatakan kejadian kebakaran yang terjadi atau telah terjadi. Label mengikuti isi kejadian, termasuk penanganan dan dampak yang disebut. R1,R4.</x:v>
      </x:c>
      <x:c r="H473" s="4" t="str">
        <x:f>IF(E473="SETUJU_USULAN",D473,IF(E473="KOREKSI",F473,""))</x:f>
        <x:v>FIRE</x:v>
      </x:c>
      <x:c r="I473" s="4" t="str">
        <x:f>IF(E473="","BELUM_DIREVIEW",IF(E473="TUNDA","DITUNDA",IF(TRIM(Panduan!$B$5)="","ISI_REVIEWER",IF(AND(E473&lt;&gt;"SETUJU_USULAN",E473&lt;&gt;"KOREKSI"),"CEK_KEPUTUSAN",IF(AND(E473="SETUJU_USULAN",F473&lt;&gt;""),"HAPUS_KOREKSI",IF(H473="","ISI_KOREKSI",IF(NOT(OR(H473="FLOOD",H473="EARTHQUAKE",H473="FIRE",H473="ACCIDENT",H473="NON_EVENT")),"CEK_LABEL",IF(AND(E473="KOREKSI",TRIM(G473)=""),"ISI_CATATAN","REVIEW_TERCATAT"))))))))</x:f>
        <x:v>REVIEW_TERCATAT</x:v>
      </x:c>
      <x:c r="J473" s="4" t="str">
        <x:v>Label dataset dan prediksi baseline sama; makna MVP belum direview. Kesepakatan keduanya belum membuktikan label final.</x:v>
      </x:c>
      <x:c r="K473" s="4" t="str">
        <x:v>FIRE</x:v>
      </x:c>
      <x:c r="L473" s="14" t="n">
        <x:v>0.9915575981140137</x:v>
      </x:c>
    </x:row>
    <x:row r="474" ht="64" customHeight="1">
      <x:c r="A474" s="4" t="str">
        <x:v>KEC-00289</x:v>
      </x:c>
      <x:c r="B474" s="4" t="str">
        <x:v>jumat ( 9/1 ) pukul 0:04 pagi telah terjadi kecelakaan mobil apv terbalik di pas ngurah rai kuta info by</x:v>
      </x:c>
      <x:c r="C474" s="4" t="str">
        <x:v>ACCIDENT</x:v>
      </x:c>
      <x:c r="D474" s="4" t="str">
        <x:v>ACCIDENT</x:v>
      </x:c>
      <x:c r="E474" s="12" t="str">
        <x:v>SETUJU_USULAN</x:v>
      </x:c>
      <x:c r="F474" s="12" t="str"/>
      <x:c r="G474" s="12" t="str">
        <x:v>Narasi menyatakan kejadian kecelakaan yang terjadi atau telah terjadi. Label mengikuti isi kejadian, termasuk penanganan dan dampak yang disebut. R1,R4.</x:v>
      </x:c>
      <x:c r="H474" s="4" t="str">
        <x:f>IF(E474="SETUJU_USULAN",D474,IF(E474="KOREKSI",F474,""))</x:f>
        <x:v>ACCIDENT</x:v>
      </x:c>
      <x:c r="I474" s="4" t="str">
        <x:f>IF(E474="","BELUM_DIREVIEW",IF(E474="TUNDA","DITUNDA",IF(TRIM(Panduan!$B$5)="","ISI_REVIEWER",IF(AND(E474&lt;&gt;"SETUJU_USULAN",E474&lt;&gt;"KOREKSI"),"CEK_KEPUTUSAN",IF(AND(E474="SETUJU_USULAN",F474&lt;&gt;""),"HAPUS_KOREKSI",IF(H474="","ISI_KOREKSI",IF(NOT(OR(H474="FLOOD",H474="EARTHQUAKE",H474="FIRE",H474="ACCIDENT",H474="NON_EVENT")),"CEK_LABEL",IF(AND(E474="KOREKSI",TRIM(G474)=""),"ISI_CATATAN","REVIEW_TERCATAT"))))))))</x:f>
        <x:v>REVIEW_TERCATAT</x:v>
      </x:c>
      <x:c r="J474" s="4" t="str">
        <x:v>Label dataset dan prediksi baseline sama; makna MVP belum direview. Kesepakatan keduanya belum membuktikan label final.</x:v>
      </x:c>
      <x:c r="K474" s="4" t="str">
        <x:v>ACCIDENT</x:v>
      </x:c>
      <x:c r="L474" s="14" t="n">
        <x:v>0.991579532623291</x:v>
      </x:c>
    </x:row>
    <x:row r="475" ht="66" customHeight="1">
      <x:c r="A475" s="4" t="str">
        <x:v>GEM-01043</x:v>
      </x:c>
      <x:c r="B475" s="4" t="str">
        <x:v>dulu itu manusia dijadikan tumbal agar tuhan tidak membuat gunung meletus ombak laut tetap tenang dan tak ada gempa bumi sekarang ini di jaman yang katanya modern kaum lgbt dikriminalkan agar tuhan tidak murka it 's the same primitive bullshit !</x:v>
      </x:c>
      <x:c r="C475" s="4" t="str">
        <x:v>NON_EVENT</x:v>
      </x:c>
      <x:c r="D475" s="4" t="str">
        <x:v>NON_EVENT</x:v>
      </x:c>
      <x:c r="E475" s="12" t="str">
        <x:v>SETUJU_USULAN</x:v>
      </x:c>
      <x:c r="F475" s="12" t="str"/>
      <x:c r="G475" s="12" t="str">
        <x:v>Pembahasan pengorbanan dan keyakinan pencegahan bencana tidak melaporkan kejadian. R3.</x:v>
      </x:c>
      <x:c r="H475" s="4" t="str">
        <x:f>IF(E475="SETUJU_USULAN",D475,IF(E475="KOREKSI",F475,""))</x:f>
        <x:v>NON_EVENT</x:v>
      </x:c>
      <x:c r="I475" s="4" t="str">
        <x:f>IF(E475="","BELUM_DIREVIEW",IF(E475="TUNDA","DITUNDA",IF(TRIM(Panduan!$B$5)="","ISI_REVIEWER",IF(AND(E475&lt;&gt;"SETUJU_USULAN",E475&lt;&gt;"KOREKSI"),"CEK_KEPUTUSAN",IF(AND(E475="SETUJU_USULAN",F475&lt;&gt;""),"HAPUS_KOREKSI",IF(H475="","ISI_KOREKSI",IF(NOT(OR(H475="FLOOD",H475="EARTHQUAKE",H475="FIRE",H475="ACCIDENT",H475="NON_EVENT")),"CEK_LABEL",IF(AND(E475="KOREKSI",TRIM(G475)=""),"ISI_CATATAN","REVIEW_TERCATAT"))))))))</x:f>
        <x:v>REVIEW_TERCATAT</x:v>
      </x:c>
      <x:c r="J475" s="4" t="str">
        <x:v>Label dataset dan prediksi baseline sama; makna MVP belum direview. Kesepakatan keduanya belum membuktikan label final.</x:v>
      </x:c>
      <x:c r="K475" s="4" t="str">
        <x:v>NON_EVENT</x:v>
      </x:c>
      <x:c r="L475" s="14" t="n">
        <x:v>0.9916210174560547</x:v>
      </x:c>
    </x:row>
    <x:row r="476" ht="64" customHeight="1">
      <x:c r="A476" s="4" t="str">
        <x:v>KEC-00311</x:v>
      </x:c>
      <x:c r="B476" s="4" t="str">
        <x:v>rombongan koperasi asal ciputat terlibat kecelakaan di tanjakan emen subang -</x:v>
      </x:c>
      <x:c r="C476" s="4" t="str">
        <x:v>ACCIDENT</x:v>
      </x:c>
      <x:c r="D476" s="4" t="str">
        <x:v>ACCIDENT</x:v>
      </x:c>
      <x:c r="E476" s="12" t="str">
        <x:v>SETUJU_USULAN</x:v>
      </x:c>
      <x:c r="F476" s="12" t="str"/>
      <x:c r="G476" s="12" t="str">
        <x:v>Narasi menyatakan kejadian kecelakaan yang terjadi atau telah terjadi. Label mengikuti isi kejadian, termasuk penanganan dan dampak yang disebut. R1,R4.</x:v>
      </x:c>
      <x:c r="H476" s="4" t="str">
        <x:f>IF(E476="SETUJU_USULAN",D476,IF(E476="KOREKSI",F476,""))</x:f>
        <x:v>ACCIDENT</x:v>
      </x:c>
      <x:c r="I476" s="4" t="str">
        <x:f>IF(E476="","BELUM_DIREVIEW",IF(E476="TUNDA","DITUNDA",IF(TRIM(Panduan!$B$5)="","ISI_REVIEWER",IF(AND(E476&lt;&gt;"SETUJU_USULAN",E476&lt;&gt;"KOREKSI"),"CEK_KEPUTUSAN",IF(AND(E476="SETUJU_USULAN",F476&lt;&gt;""),"HAPUS_KOREKSI",IF(H476="","ISI_KOREKSI",IF(NOT(OR(H476="FLOOD",H476="EARTHQUAKE",H476="FIRE",H476="ACCIDENT",H476="NON_EVENT")),"CEK_LABEL",IF(AND(E476="KOREKSI",TRIM(G476)=""),"ISI_CATATAN","REVIEW_TERCATAT"))))))))</x:f>
        <x:v>REVIEW_TERCATAT</x:v>
      </x:c>
      <x:c r="J476" s="4" t="str">
        <x:v>Label dataset dan prediksi baseline sama; makna MVP belum direview. Kesepakatan keduanya belum membuktikan label final.</x:v>
      </x:c>
      <x:c r="K476" s="4" t="str">
        <x:v>ACCIDENT</x:v>
      </x:c>
      <x:c r="L476" s="14" t="n">
        <x:v>0.9916326403617859</x:v>
      </x:c>
    </x:row>
    <x:row r="477" ht="64" customHeight="1">
      <x:c r="A477" s="4" t="str">
        <x:v>KEB-00401</x:v>
      </x:c>
      <x:c r="B477" s="4" t="str">
        <x:v>kebakaran hanguskan bangunan di smp negeri 7 pekanbaru , diduga akibat tersambar petir via</x:v>
      </x:c>
      <x:c r="C477" s="4" t="str">
        <x:v>FIRE</x:v>
      </x:c>
      <x:c r="D477" s="4" t="str">
        <x:v>FIRE</x:v>
      </x:c>
      <x:c r="E477" s="12" t="str">
        <x:v>SETUJU_USULAN</x:v>
      </x:c>
      <x:c r="F477" s="12" t="str"/>
      <x:c r="G477" s="12" t="str">
        <x:v>Narasi menyatakan kejadian kebakaran yang terjadi atau telah terjadi. Label mengikuti isi kejadian, termasuk penanganan dan dampak yang disebut. R1,R4.</x:v>
      </x:c>
      <x:c r="H477" s="4" t="str">
        <x:f>IF(E477="SETUJU_USULAN",D477,IF(E477="KOREKSI",F477,""))</x:f>
        <x:v>FIRE</x:v>
      </x:c>
      <x:c r="I477" s="4" t="str">
        <x:f>IF(E477="","BELUM_DIREVIEW",IF(E477="TUNDA","DITUNDA",IF(TRIM(Panduan!$B$5)="","ISI_REVIEWER",IF(AND(E477&lt;&gt;"SETUJU_USULAN",E477&lt;&gt;"KOREKSI"),"CEK_KEPUTUSAN",IF(AND(E477="SETUJU_USULAN",F477&lt;&gt;""),"HAPUS_KOREKSI",IF(H477="","ISI_KOREKSI",IF(NOT(OR(H477="FLOOD",H477="EARTHQUAKE",H477="FIRE",H477="ACCIDENT",H477="NON_EVENT")),"CEK_LABEL",IF(AND(E477="KOREKSI",TRIM(G477)=""),"ISI_CATATAN","REVIEW_TERCATAT"))))))))</x:f>
        <x:v>REVIEW_TERCATAT</x:v>
      </x:c>
      <x:c r="J477" s="4" t="str">
        <x:v>Label dataset dan prediksi baseline sama; makna MVP belum direview. Kesepakatan keduanya belum membuktikan label final.</x:v>
      </x:c>
      <x:c r="K477" s="4" t="str">
        <x:v>FIRE</x:v>
      </x:c>
      <x:c r="L477" s="14" t="n">
        <x:v>0.9916427135467529</x:v>
      </x:c>
    </x:row>
    <x:row r="478" ht="64" customHeight="1">
      <x:c r="A478" s="4" t="str">
        <x:v>KEC-01306</x:v>
      </x:c>
      <x:c r="B478" s="4" t="str">
        <x:v>info menarik terbaru tentang ( tiga kecelakaan terjadi di jalur selatan kabupaten kendal selama mudik ) -</x:v>
      </x:c>
      <x:c r="C478" s="4" t="str">
        <x:v>ACCIDENT</x:v>
      </x:c>
      <x:c r="D478" s="4" t="str">
        <x:v>ACCIDENT</x:v>
      </x:c>
      <x:c r="E478" s="12" t="str">
        <x:v>SETUJU_USULAN</x:v>
      </x:c>
      <x:c r="F478" s="12" t="str"/>
      <x:c r="G478" s="12" t="str">
        <x:v>Narasi menyatakan kejadian kecelakaan yang terjadi atau telah terjadi. Label mengikuti isi kejadian, termasuk penanganan dan dampak yang disebut. R1,R4.</x:v>
      </x:c>
      <x:c r="H478" s="4" t="str">
        <x:f>IF(E478="SETUJU_USULAN",D478,IF(E478="KOREKSI",F478,""))</x:f>
        <x:v>ACCIDENT</x:v>
      </x:c>
      <x:c r="I478" s="4" t="str">
        <x:f>IF(E478="","BELUM_DIREVIEW",IF(E478="TUNDA","DITUNDA",IF(TRIM(Panduan!$B$5)="","ISI_REVIEWER",IF(AND(E478&lt;&gt;"SETUJU_USULAN",E478&lt;&gt;"KOREKSI"),"CEK_KEPUTUSAN",IF(AND(E478="SETUJU_USULAN",F478&lt;&gt;""),"HAPUS_KOREKSI",IF(H478="","ISI_KOREKSI",IF(NOT(OR(H478="FLOOD",H478="EARTHQUAKE",H478="FIRE",H478="ACCIDENT",H478="NON_EVENT")),"CEK_LABEL",IF(AND(E478="KOREKSI",TRIM(G478)=""),"ISI_CATATAN","REVIEW_TERCATAT"))))))))</x:f>
        <x:v>REVIEW_TERCATAT</x:v>
      </x:c>
      <x:c r="J478" s="4" t="str">
        <x:v>Label dataset dan prediksi baseline sama; makna MVP belum direview. Kesepakatan keduanya belum membuktikan label final.</x:v>
      </x:c>
      <x:c r="K478" s="4" t="str">
        <x:v>ACCIDENT</x:v>
      </x:c>
      <x:c r="L478" s="14" t="n">
        <x:v>0.9916881918907166</x:v>
      </x:c>
    </x:row>
    <x:row r="479" ht="64" customHeight="1">
      <x:c r="A479" s="4" t="str">
        <x:v>KEB-00659</x:v>
      </x:c>
      <x:c r="B479" s="4" t="str">
        <x:v>terjadi kebakaran pd tumpukan pallet pkl . 5.14 di jl . dr . soemarno kelurahan pulogebang kecamatan cakung jakarta timur . pengerahan 3 unit . unit tiba pkl . 5.2 . dalam penanganan petugas ( 1/8/2020 ) .</x:v>
      </x:c>
      <x:c r="C479" s="4" t="str">
        <x:v>FIRE</x:v>
      </x:c>
      <x:c r="D479" s="4" t="str">
        <x:v>FIRE</x:v>
      </x:c>
      <x:c r="E479" s="12" t="str">
        <x:v>SETUJU_USULAN</x:v>
      </x:c>
      <x:c r="F479" s="12" t="str"/>
      <x:c r="G479" s="12" t="str">
        <x:v>Narasi menyatakan kejadian kebakaran yang terjadi atau telah terjadi. Label mengikuti isi kejadian, termasuk penanganan dan dampak yang disebut. R1,R4.</x:v>
      </x:c>
      <x:c r="H479" s="4" t="str">
        <x:f>IF(E479="SETUJU_USULAN",D479,IF(E479="KOREKSI",F479,""))</x:f>
        <x:v>FIRE</x:v>
      </x:c>
      <x:c r="I479" s="4" t="str">
        <x:f>IF(E479="","BELUM_DIREVIEW",IF(E479="TUNDA","DITUNDA",IF(TRIM(Panduan!$B$5)="","ISI_REVIEWER",IF(AND(E479&lt;&gt;"SETUJU_USULAN",E479&lt;&gt;"KOREKSI"),"CEK_KEPUTUSAN",IF(AND(E479="SETUJU_USULAN",F479&lt;&gt;""),"HAPUS_KOREKSI",IF(H479="","ISI_KOREKSI",IF(NOT(OR(H479="FLOOD",H479="EARTHQUAKE",H479="FIRE",H479="ACCIDENT",H479="NON_EVENT")),"CEK_LABEL",IF(AND(E479="KOREKSI",TRIM(G479)=""),"ISI_CATATAN","REVIEW_TERCATAT"))))))))</x:f>
        <x:v>REVIEW_TERCATAT</x:v>
      </x:c>
      <x:c r="J479" s="4" t="str">
        <x:v>Label dataset dan prediksi baseline sama; makna MVP belum direview. Kesepakatan keduanya belum membuktikan label final.</x:v>
      </x:c>
      <x:c r="K479" s="4" t="str">
        <x:v>FIRE</x:v>
      </x:c>
      <x:c r="L479" s="14" t="n">
        <x:v>0.9917669892311096</x:v>
      </x:c>
    </x:row>
    <x:row r="480" ht="64" customHeight="1">
      <x:c r="A480" s="4" t="str">
        <x:v>KEB-00459</x:v>
      </x:c>
      <x:c r="B480" s="4" t="str">
        <x:v>telah terjadi kebakaran sebuah gudang distributor furniture yang berlokasi di kawasan akong sepatan kab . tangerang terbakar hebat ( 11/6/2020 ) prtugas damkar dari bpbd kab . tangerang terima laporan jam 20.45 . wib .</x:v>
      </x:c>
      <x:c r="C480" s="4" t="str">
        <x:v>FIRE</x:v>
      </x:c>
      <x:c r="D480" s="4" t="str">
        <x:v>FIRE</x:v>
      </x:c>
      <x:c r="E480" s="12" t="str">
        <x:v>SETUJU_USULAN</x:v>
      </x:c>
      <x:c r="F480" s="12" t="str"/>
      <x:c r="G480" s="12" t="str">
        <x:v>Narasi menyatakan kejadian kebakaran yang terjadi atau telah terjadi. Label mengikuti isi kejadian, termasuk penanganan dan dampak yang disebut. R1,R4.</x:v>
      </x:c>
      <x:c r="H480" s="4" t="str">
        <x:f>IF(E480="SETUJU_USULAN",D480,IF(E480="KOREKSI",F480,""))</x:f>
        <x:v>FIRE</x:v>
      </x:c>
      <x:c r="I480" s="4" t="str">
        <x:f>IF(E480="","BELUM_DIREVIEW",IF(E480="TUNDA","DITUNDA",IF(TRIM(Panduan!$B$5)="","ISI_REVIEWER",IF(AND(E480&lt;&gt;"SETUJU_USULAN",E480&lt;&gt;"KOREKSI"),"CEK_KEPUTUSAN",IF(AND(E480="SETUJU_USULAN",F480&lt;&gt;""),"HAPUS_KOREKSI",IF(H480="","ISI_KOREKSI",IF(NOT(OR(H480="FLOOD",H480="EARTHQUAKE",H480="FIRE",H480="ACCIDENT",H480="NON_EVENT")),"CEK_LABEL",IF(AND(E480="KOREKSI",TRIM(G480)=""),"ISI_CATATAN","REVIEW_TERCATAT"))))))))</x:f>
        <x:v>REVIEW_TERCATAT</x:v>
      </x:c>
      <x:c r="J480" s="4" t="str">
        <x:v>Label dataset dan prediksi baseline sama; makna MVP belum direview. Kesepakatan keduanya belum membuktikan label final.</x:v>
      </x:c>
      <x:c r="K480" s="4" t="str">
        <x:v>FIRE</x:v>
      </x:c>
      <x:c r="L480" s="14" t="n">
        <x:v>0.9917725920677185</x:v>
      </x:c>
    </x:row>
    <x:row r="481" ht="64" customHeight="1">
      <x:c r="A481" s="4" t="str">
        <x:v>KEC-01016</x:v>
      </x:c>
      <x:c r="B481" s="4" t="str">
        <x:v>553 : : kecelakaan di karawang timur kamu 51+600 arah cikampek dalam penanganan petugas di lajur 1/kiri</x:v>
      </x:c>
      <x:c r="C481" s="4" t="str">
        <x:v>ACCIDENT</x:v>
      </x:c>
      <x:c r="D481" s="4" t="str">
        <x:v>ACCIDENT</x:v>
      </x:c>
      <x:c r="E481" s="12" t="str">
        <x:v>SETUJU_USULAN</x:v>
      </x:c>
      <x:c r="F481" s="12" t="str"/>
      <x:c r="G481" s="12" t="str">
        <x:v>Narasi menyatakan kejadian kecelakaan yang terjadi atau telah terjadi. Label mengikuti isi kejadian, termasuk penanganan dan dampak yang disebut. R1,R4.</x:v>
      </x:c>
      <x:c r="H481" s="4" t="str">
        <x:f>IF(E481="SETUJU_USULAN",D481,IF(E481="KOREKSI",F481,""))</x:f>
        <x:v>ACCIDENT</x:v>
      </x:c>
      <x:c r="I481" s="4" t="str">
        <x:f>IF(E481="","BELUM_DIREVIEW",IF(E481="TUNDA","DITUNDA",IF(TRIM(Panduan!$B$5)="","ISI_REVIEWER",IF(AND(E481&lt;&gt;"SETUJU_USULAN",E481&lt;&gt;"KOREKSI"),"CEK_KEPUTUSAN",IF(AND(E481="SETUJU_USULAN",F481&lt;&gt;""),"HAPUS_KOREKSI",IF(H481="","ISI_KOREKSI",IF(NOT(OR(H481="FLOOD",H481="EARTHQUAKE",H481="FIRE",H481="ACCIDENT",H481="NON_EVENT")),"CEK_LABEL",IF(AND(E481="KOREKSI",TRIM(G481)=""),"ISI_CATATAN","REVIEW_TERCATAT"))))))))</x:f>
        <x:v>REVIEW_TERCATAT</x:v>
      </x:c>
      <x:c r="J481" s="4" t="str">
        <x:v>Label dataset dan prediksi baseline sama; makna MVP belum direview. Kesepakatan keduanya belum membuktikan label final.</x:v>
      </x:c>
      <x:c r="K481" s="4" t="str">
        <x:v>ACCIDENT</x:v>
      </x:c>
      <x:c r="L481" s="14" t="n">
        <x:v>0.9917742609977722</x:v>
      </x:c>
    </x:row>
    <x:row r="482" ht="66" customHeight="1">
      <x:c r="A482" s="4" t="str">
        <x:v>GEM-01196</x:v>
      </x:c>
      <x:c r="B482" s="4" t="str">
        <x:v>selamat datang para pejuang kemanusiaan yang di tugaskan negara di lokasi bencana gempa bumi dan tsunami selama 19 hari di palu sulawesi tahun 2018 kami mengucapkan terima kasih demi bangsa dan demi negara telah meluangkan waktu juga telah berkorban tenaga bahkan harta</x:v>
      </x:c>
      <x:c r="C482" s="4" t="str">
        <x:v>NON_EVENT</x:v>
      </x:c>
      <x:c r="D482" s="4" t="str">
        <x:v>NON_EVENT</x:v>
      </x:c>
      <x:c r="E482" s="12" t="str">
        <x:v>KOREKSI</x:v>
      </x:c>
      <x:c r="F482" s="12" t="str">
        <x:v>EARTHQUAKE</x:v>
      </x:c>
      <x:c r="G482" s="12" t="str">
        <x:v>Penghargaan kepada pejuang kemanusiaan merujuk tugas di lokasi gempa dan tsunami Palu tahun 2018. R1,R5,R6.</x:v>
      </x:c>
      <x:c r="H482" s="4" t="str">
        <x:f>IF(E482="SETUJU_USULAN",D482,IF(E482="KOREKSI",F482,""))</x:f>
        <x:v>EARTHQUAKE</x:v>
      </x:c>
      <x:c r="I482" s="4" t="str">
        <x:f>IF(E482="","BELUM_DIREVIEW",IF(E482="TUNDA","DITUNDA",IF(TRIM(Panduan!$B$5)="","ISI_REVIEWER",IF(AND(E482&lt;&gt;"SETUJU_USULAN",E482&lt;&gt;"KOREKSI"),"CEK_KEPUTUSAN",IF(AND(E482="SETUJU_USULAN",F482&lt;&gt;""),"HAPUS_KOREKSI",IF(H482="","ISI_KOREKSI",IF(NOT(OR(H482="FLOOD",H482="EARTHQUAKE",H482="FIRE",H482="ACCIDENT",H482="NON_EVENT")),"CEK_LABEL",IF(AND(E482="KOREKSI",TRIM(G482)=""),"ISI_CATATAN","REVIEW_TERCATAT"))))))))</x:f>
        <x:v>REVIEW_TERCATAT</x:v>
      </x:c>
      <x:c r="J482" s="4" t="str">
        <x:v>Label dataset dan prediksi baseline sama; makna MVP belum direview. Kesepakatan keduanya belum membuktikan label final.</x:v>
      </x:c>
      <x:c r="K482" s="4" t="str">
        <x:v>NON_EVENT</x:v>
      </x:c>
      <x:c r="L482" s="14" t="n">
        <x:v>0.9917797446250916</x:v>
      </x:c>
    </x:row>
    <x:row r="483" ht="64" customHeight="1">
      <x:c r="A483" s="4" t="str">
        <x:v>KEC-01287</x:v>
      </x:c>
      <x:c r="B483" s="4" t="str">
        <x:v>kecelakaan bus dengan angkot di jalan poros sabbang masamba</x:v>
      </x:c>
      <x:c r="C483" s="4" t="str">
        <x:v>ACCIDENT</x:v>
      </x:c>
      <x:c r="D483" s="4" t="str">
        <x:v>ACCIDENT</x:v>
      </x:c>
      <x:c r="E483" s="12" t="str">
        <x:v>SETUJU_USULAN</x:v>
      </x:c>
      <x:c r="F483" s="12" t="str"/>
      <x:c r="G483" s="12" t="str">
        <x:v>Narasi menyatakan kejadian kecelakaan yang terjadi atau telah terjadi. Label mengikuti isi kejadian, termasuk penanganan dan dampak yang disebut. R1,R4.</x:v>
      </x:c>
      <x:c r="H483" s="4" t="str">
        <x:f>IF(E483="SETUJU_USULAN",D483,IF(E483="KOREKSI",F483,""))</x:f>
        <x:v>ACCIDENT</x:v>
      </x:c>
      <x:c r="I483" s="4" t="str">
        <x:f>IF(E483="","BELUM_DIREVIEW",IF(E483="TUNDA","DITUNDA",IF(TRIM(Panduan!$B$5)="","ISI_REVIEWER",IF(AND(E483&lt;&gt;"SETUJU_USULAN",E483&lt;&gt;"KOREKSI"),"CEK_KEPUTUSAN",IF(AND(E483="SETUJU_USULAN",F483&lt;&gt;""),"HAPUS_KOREKSI",IF(H483="","ISI_KOREKSI",IF(NOT(OR(H483="FLOOD",H483="EARTHQUAKE",H483="FIRE",H483="ACCIDENT",H483="NON_EVENT")),"CEK_LABEL",IF(AND(E483="KOREKSI",TRIM(G483)=""),"ISI_CATATAN","REVIEW_TERCATAT"))))))))</x:f>
        <x:v>REVIEW_TERCATAT</x:v>
      </x:c>
      <x:c r="J483" s="4" t="str">
        <x:v>Label dataset dan prediksi baseline sama; makna MVP belum direview. Kesepakatan keduanya belum membuktikan label final.</x:v>
      </x:c>
      <x:c r="K483" s="4" t="str">
        <x:v>ACCIDENT</x:v>
      </x:c>
      <x:c r="L483" s="14" t="n">
        <x:v>0.9917855858802795</x:v>
      </x:c>
    </x:row>
    <x:row r="484" ht="64" customHeight="1">
      <x:c r="A484" s="4" t="str">
        <x:v>KEC-00340</x:v>
      </x:c>
      <x:c r="B484" s="4" t="str">
        <x:v>643 : rt : kecelakaan di jalan toll km 64 arah merak menunggu evakuasi kemacetan +/- 2 km cc :</x:v>
      </x:c>
      <x:c r="C484" s="4" t="str">
        <x:v>ACCIDENT</x:v>
      </x:c>
      <x:c r="D484" s="4" t="str">
        <x:v>ACCIDENT</x:v>
      </x:c>
      <x:c r="E484" s="12" t="str">
        <x:v>SETUJU_USULAN</x:v>
      </x:c>
      <x:c r="F484" s="12" t="str"/>
      <x:c r="G484" s="12" t="str">
        <x:v>Narasi menyatakan kejadian kecelakaan yang terjadi atau telah terjadi. Label mengikuti isi kejadian, termasuk penanganan dan dampak yang disebut. R1,R4.</x:v>
      </x:c>
      <x:c r="H484" s="4" t="str">
        <x:f>IF(E484="SETUJU_USULAN",D484,IF(E484="KOREKSI",F484,""))</x:f>
        <x:v>ACCIDENT</x:v>
      </x:c>
      <x:c r="I484" s="4" t="str">
        <x:f>IF(E484="","BELUM_DIREVIEW",IF(E484="TUNDA","DITUNDA",IF(TRIM(Panduan!$B$5)="","ISI_REVIEWER",IF(AND(E484&lt;&gt;"SETUJU_USULAN",E484&lt;&gt;"KOREKSI"),"CEK_KEPUTUSAN",IF(AND(E484="SETUJU_USULAN",F484&lt;&gt;""),"HAPUS_KOREKSI",IF(H484="","ISI_KOREKSI",IF(NOT(OR(H484="FLOOD",H484="EARTHQUAKE",H484="FIRE",H484="ACCIDENT",H484="NON_EVENT")),"CEK_LABEL",IF(AND(E484="KOREKSI",TRIM(G484)=""),"ISI_CATATAN","REVIEW_TERCATAT"))))))))</x:f>
        <x:v>REVIEW_TERCATAT</x:v>
      </x:c>
      <x:c r="J484" s="4" t="str">
        <x:v>Label dataset dan prediksi baseline sama; makna MVP belum direview. Kesepakatan keduanya belum membuktikan label final.</x:v>
      </x:c>
      <x:c r="K484" s="4" t="str">
        <x:v>ACCIDENT</x:v>
      </x:c>
      <x:c r="L484" s="14" t="n">
        <x:v>0.9918025135993958</x:v>
      </x:c>
    </x:row>
    <x:row r="485" ht="64" customHeight="1">
      <x:c r="A485" s="4" t="str">
        <x:v>KEC-01107</x:v>
      </x:c>
      <x:c r="B485" s="4" t="str">
        <x:v>kronologi kecelakaan truk di brebes yang tewaskan 12 orang</x:v>
      </x:c>
      <x:c r="C485" s="4" t="str">
        <x:v>ACCIDENT</x:v>
      </x:c>
      <x:c r="D485" s="4" t="str">
        <x:v>ACCIDENT</x:v>
      </x:c>
      <x:c r="E485" s="12" t="str">
        <x:v>SETUJU_USULAN</x:v>
      </x:c>
      <x:c r="F485" s="12" t="str"/>
      <x:c r="G485" s="12" t="str">
        <x:v>Narasi menyatakan kejadian kecelakaan yang terjadi atau telah terjadi. Label mengikuti isi kejadian, termasuk penanganan dan dampak yang disebut. R1,R4.</x:v>
      </x:c>
      <x:c r="H485" s="4" t="str">
        <x:f>IF(E485="SETUJU_USULAN",D485,IF(E485="KOREKSI",F485,""))</x:f>
        <x:v>ACCIDENT</x:v>
      </x:c>
      <x:c r="I485" s="4" t="str">
        <x:f>IF(E485="","BELUM_DIREVIEW",IF(E485="TUNDA","DITUNDA",IF(TRIM(Panduan!$B$5)="","ISI_REVIEWER",IF(AND(E485&lt;&gt;"SETUJU_USULAN",E485&lt;&gt;"KOREKSI"),"CEK_KEPUTUSAN",IF(AND(E485="SETUJU_USULAN",F485&lt;&gt;""),"HAPUS_KOREKSI",IF(H485="","ISI_KOREKSI",IF(NOT(OR(H485="FLOOD",H485="EARTHQUAKE",H485="FIRE",H485="ACCIDENT",H485="NON_EVENT")),"CEK_LABEL",IF(AND(E485="KOREKSI",TRIM(G485)=""),"ISI_CATATAN","REVIEW_TERCATAT"))))))))</x:f>
        <x:v>REVIEW_TERCATAT</x:v>
      </x:c>
      <x:c r="J485" s="4" t="str">
        <x:v>Label dataset dan prediksi baseline sama; makna MVP belum direview. Kesepakatan keduanya belum membuktikan label final.</x:v>
      </x:c>
      <x:c r="K485" s="4" t="str">
        <x:v>ACCIDENT</x:v>
      </x:c>
      <x:c r="L485" s="14" t="n">
        <x:v>0.9918570518493652</x:v>
      </x:c>
    </x:row>
    <x:row r="486" ht="64" customHeight="1">
      <x:c r="A486" s="4" t="str">
        <x:v>GEM-01170</x:v>
      </x:c>
      <x:c r="B486" s="4" t="str">
        <x:v>bukan kpg kamu ke itu wak gempa bumi betatus kali di jepun itu apa pula ya wak ? ? wak alim kucing kali usah cukup boleh bila kurang ilmu</x:v>
      </x:c>
      <x:c r="C486" s="4" t="str">
        <x:v>NON_EVENT</x:v>
      </x:c>
      <x:c r="D486" s="4" t="str">
        <x:v>NON_EVENT</x:v>
      </x:c>
      <x:c r="E486" s="12" t="str">
        <x:v>SETUJU_USULAN</x:v>
      </x:c>
      <x:c r="F486" s="12" t="str"/>
      <x:c r="G486" s="12" t="str">
        <x:v>Rujukan ratusan gempa di Jepang merupakan perbandingan umum, tanpa satu kejadian tertentu. R3.</x:v>
      </x:c>
      <x:c r="H486" s="4" t="str">
        <x:f>IF(E486="SETUJU_USULAN",D486,IF(E486="KOREKSI",F486,""))</x:f>
        <x:v>NON_EVENT</x:v>
      </x:c>
      <x:c r="I486" s="4" t="str">
        <x:f>IF(E486="","BELUM_DIREVIEW",IF(E486="TUNDA","DITUNDA",IF(TRIM(Panduan!$B$5)="","ISI_REVIEWER",IF(AND(E486&lt;&gt;"SETUJU_USULAN",E486&lt;&gt;"KOREKSI"),"CEK_KEPUTUSAN",IF(AND(E486="SETUJU_USULAN",F486&lt;&gt;""),"HAPUS_KOREKSI",IF(H486="","ISI_KOREKSI",IF(NOT(OR(H486="FLOOD",H486="EARTHQUAKE",H486="FIRE",H486="ACCIDENT",H486="NON_EVENT")),"CEK_LABEL",IF(AND(E486="KOREKSI",TRIM(G486)=""),"ISI_CATATAN","REVIEW_TERCATAT"))))))))</x:f>
        <x:v>REVIEW_TERCATAT</x:v>
      </x:c>
      <x:c r="J486" s="4" t="str">
        <x:v>Label dataset dan prediksi baseline sama; makna MVP belum direview. Kesepakatan keduanya belum membuktikan label final.</x:v>
      </x:c>
      <x:c r="K486" s="4" t="str">
        <x:v>NON_EVENT</x:v>
      </x:c>
      <x:c r="L486" s="14" t="n">
        <x:v>0.9918650984764099</x:v>
      </x:c>
    </x:row>
    <x:row r="487" ht="66" customHeight="1">
      <x:c r="A487" s="4" t="str">
        <x:v>KEB-00677</x:v>
      </x:c>
      <x:c r="B487" s="4" t="str">
        <x:v>05/08/2020 20.24 kebakaran lahan kosong di jl pakel baru sorosutan umbulharjo yogyakarta . 2 unit damkar yogyakarta dikerahkan ke lokasi kebakaran untuk pemadaman . penyebab kebakaran karena membakar sampah . kebakaran selesai 21</x:v>
      </x:c>
      <x:c r="C487" s="4" t="str">
        <x:v>FIRE</x:v>
      </x:c>
      <x:c r="D487" s="4" t="str">
        <x:v>FIRE</x:v>
      </x:c>
      <x:c r="E487" s="12" t="str">
        <x:v>SETUJU_USULAN</x:v>
      </x:c>
      <x:c r="F487" s="12" t="str"/>
      <x:c r="G487" s="12" t="str">
        <x:v>Narasi menyatakan kejadian kebakaran yang terjadi atau telah terjadi. Label mengikuti isi kejadian, termasuk penanganan dan dampak yang disebut. R1,R4.</x:v>
      </x:c>
      <x:c r="H487" s="4" t="str">
        <x:f>IF(E487="SETUJU_USULAN",D487,IF(E487="KOREKSI",F487,""))</x:f>
        <x:v>FIRE</x:v>
      </x:c>
      <x:c r="I487" s="4" t="str">
        <x:f>IF(E487="","BELUM_DIREVIEW",IF(E487="TUNDA","DITUNDA",IF(TRIM(Panduan!$B$5)="","ISI_REVIEWER",IF(AND(E487&lt;&gt;"SETUJU_USULAN",E487&lt;&gt;"KOREKSI"),"CEK_KEPUTUSAN",IF(AND(E487="SETUJU_USULAN",F487&lt;&gt;""),"HAPUS_KOREKSI",IF(H487="","ISI_KOREKSI",IF(NOT(OR(H487="FLOOD",H487="EARTHQUAKE",H487="FIRE",H487="ACCIDENT",H487="NON_EVENT")),"CEK_LABEL",IF(AND(E487="KOREKSI",TRIM(G487)=""),"ISI_CATATAN","REVIEW_TERCATAT"))))))))</x:f>
        <x:v>REVIEW_TERCATAT</x:v>
      </x:c>
      <x:c r="J487" s="4" t="str">
        <x:v>Label dataset dan prediksi baseline sama; makna MVP belum direview. Kesepakatan keduanya belum membuktikan label final.</x:v>
      </x:c>
      <x:c r="K487" s="4" t="str">
        <x:v>FIRE</x:v>
      </x:c>
      <x:c r="L487" s="14" t="n">
        <x:v>0.9918923377990723</x:v>
      </x:c>
    </x:row>
    <x:row r="488" ht="64" customHeight="1">
      <x:c r="A488" s="4" t="str">
        <x:v>GEM-01525</x:v>
      </x:c>
      <x:c r="B488" s="4" t="str">
        <x:v>alhamdulillah ! 699 hunian sementara dibangun untuk korban gempa bumi-tsunami di palu</x:v>
      </x:c>
      <x:c r="C488" s="4" t="str">
        <x:v>NON_EVENT</x:v>
      </x:c>
      <x:c r="D488" s="4" t="str">
        <x:v>NON_EVENT</x:v>
      </x:c>
      <x:c r="E488" s="12" t="str">
        <x:v>KOREKSI</x:v>
      </x:c>
      <x:c r="F488" s="12" t="str">
        <x:v>EARTHQUAKE</x:v>
      </x:c>
      <x:c r="G488" s="12" t="str">
        <x:v>Pembangunan 699 hunian sementara ditujukan kepada korban gempa dan tsunami Palu. R1,R5.</x:v>
      </x:c>
      <x:c r="H488" s="4" t="str">
        <x:f>IF(E488="SETUJU_USULAN",D488,IF(E488="KOREKSI",F488,""))</x:f>
        <x:v>EARTHQUAKE</x:v>
      </x:c>
      <x:c r="I488" s="4" t="str">
        <x:f>IF(E488="","BELUM_DIREVIEW",IF(E488="TUNDA","DITUNDA",IF(TRIM(Panduan!$B$5)="","ISI_REVIEWER",IF(AND(E488&lt;&gt;"SETUJU_USULAN",E488&lt;&gt;"KOREKSI"),"CEK_KEPUTUSAN",IF(AND(E488="SETUJU_USULAN",F488&lt;&gt;""),"HAPUS_KOREKSI",IF(H488="","ISI_KOREKSI",IF(NOT(OR(H488="FLOOD",H488="EARTHQUAKE",H488="FIRE",H488="ACCIDENT",H488="NON_EVENT")),"CEK_LABEL",IF(AND(E488="KOREKSI",TRIM(G488)=""),"ISI_CATATAN","REVIEW_TERCATAT"))))))))</x:f>
        <x:v>REVIEW_TERCATAT</x:v>
      </x:c>
      <x:c r="J488" s="4" t="str">
        <x:v>Label dataset dan prediksi baseline sama; makna MVP belum direview. Kesepakatan keduanya belum membuktikan label final.</x:v>
      </x:c>
      <x:c r="K488" s="4" t="str">
        <x:v>NON_EVENT</x:v>
      </x:c>
      <x:c r="L488" s="14" t="n">
        <x:v>0.9919648170471191</x:v>
      </x:c>
    </x:row>
    <x:row r="489" ht="64" customHeight="1">
      <x:c r="A489" s="4" t="str">
        <x:v>KEC-01142</x:v>
      </x:c>
      <x:c r="B489" s="4" t="str">
        <x:v>kecelakaan maut truk tabrak rumah di brebes 12 orang tewas - inews malam 20/05</x:v>
      </x:c>
      <x:c r="C489" s="4" t="str">
        <x:v>ACCIDENT</x:v>
      </x:c>
      <x:c r="D489" s="4" t="str">
        <x:v>ACCIDENT</x:v>
      </x:c>
      <x:c r="E489" s="12" t="str">
        <x:v>SETUJU_USULAN</x:v>
      </x:c>
      <x:c r="F489" s="12" t="str"/>
      <x:c r="G489" s="12" t="str">
        <x:v>Narasi menyatakan kejadian kecelakaan yang terjadi atau telah terjadi. Label mengikuti isi kejadian, termasuk penanganan dan dampak yang disebut. R1,R4.</x:v>
      </x:c>
      <x:c r="H489" s="4" t="str">
        <x:f>IF(E489="SETUJU_USULAN",D489,IF(E489="KOREKSI",F489,""))</x:f>
        <x:v>ACCIDENT</x:v>
      </x:c>
      <x:c r="I489" s="4" t="str">
        <x:f>IF(E489="","BELUM_DIREVIEW",IF(E489="TUNDA","DITUNDA",IF(TRIM(Panduan!$B$5)="","ISI_REVIEWER",IF(AND(E489&lt;&gt;"SETUJU_USULAN",E489&lt;&gt;"KOREKSI"),"CEK_KEPUTUSAN",IF(AND(E489="SETUJU_USULAN",F489&lt;&gt;""),"HAPUS_KOREKSI",IF(H489="","ISI_KOREKSI",IF(NOT(OR(H489="FLOOD",H489="EARTHQUAKE",H489="FIRE",H489="ACCIDENT",H489="NON_EVENT")),"CEK_LABEL",IF(AND(E489="KOREKSI",TRIM(G489)=""),"ISI_CATATAN","REVIEW_TERCATAT"))))))))</x:f>
        <x:v>REVIEW_TERCATAT</x:v>
      </x:c>
      <x:c r="J489" s="4" t="str">
        <x:v>Label dataset dan prediksi baseline sama; makna MVP belum direview. Kesepakatan keduanya belum membuktikan label final.</x:v>
      </x:c>
      <x:c r="K489" s="4" t="str">
        <x:v>ACCIDENT</x:v>
      </x:c>
      <x:c r="L489" s="14" t="n">
        <x:v>0.991970419883728</x:v>
      </x:c>
    </x:row>
    <x:row r="490" ht="64" customHeight="1">
      <x:c r="A490" s="4" t="str">
        <x:v>KEB-00886</x:v>
      </x:c>
      <x:c r="B490" s="4" t="str">
        <x:v>kebakaran melandai gedung kemensos ri di salemba , jakarta pusat , senin ( 21/9 ) dini hari .</x:v>
      </x:c>
      <x:c r="C490" s="4" t="str">
        <x:v>FIRE</x:v>
      </x:c>
      <x:c r="D490" s="4" t="str">
        <x:v>FIRE</x:v>
      </x:c>
      <x:c r="E490" s="12" t="str">
        <x:v>SETUJU_USULAN</x:v>
      </x:c>
      <x:c r="F490" s="12" t="str"/>
      <x:c r="G490" s="12" t="str">
        <x:v>Narasi menyatakan kejadian kebakaran yang terjadi atau telah terjadi. Label mengikuti isi kejadian, termasuk penanganan dan dampak yang disebut. R1,R4.</x:v>
      </x:c>
      <x:c r="H490" s="4" t="str">
        <x:f>IF(E490="SETUJU_USULAN",D490,IF(E490="KOREKSI",F490,""))</x:f>
        <x:v>FIRE</x:v>
      </x:c>
      <x:c r="I490" s="4" t="str">
        <x:f>IF(E490="","BELUM_DIREVIEW",IF(E490="TUNDA","DITUNDA",IF(TRIM(Panduan!$B$5)="","ISI_REVIEWER",IF(AND(E490&lt;&gt;"SETUJU_USULAN",E490&lt;&gt;"KOREKSI"),"CEK_KEPUTUSAN",IF(AND(E490="SETUJU_USULAN",F490&lt;&gt;""),"HAPUS_KOREKSI",IF(H490="","ISI_KOREKSI",IF(NOT(OR(H490="FLOOD",H490="EARTHQUAKE",H490="FIRE",H490="ACCIDENT",H490="NON_EVENT")),"CEK_LABEL",IF(AND(E490="KOREKSI",TRIM(G490)=""),"ISI_CATATAN","REVIEW_TERCATAT"))))))))</x:f>
        <x:v>REVIEW_TERCATAT</x:v>
      </x:c>
      <x:c r="J490" s="4" t="str">
        <x:v>Label dataset dan prediksi baseline sama; makna MVP belum direview. Kesepakatan keduanya belum membuktikan label final.</x:v>
      </x:c>
      <x:c r="K490" s="4" t="str">
        <x:v>FIRE</x:v>
      </x:c>
      <x:c r="L490" s="14" t="n">
        <x:v>0.9919763207435608</x:v>
      </x:c>
    </x:row>
    <x:row r="491" ht="64" customHeight="1">
      <x:c r="A491" s="4" t="str">
        <x:v>KEB-00740</x:v>
      </x:c>
      <x:c r="B491" s="4" t="str">
        <x:v>terjadi kebakaran pd kios bensin ( pembensin mini ) pkl . 0.08 di jl . raya bogor titik kenal depan rs harapan bunda rt 1/9 ciracas jaktim . pengerahan 2 unit . dalam penanganan ( 16/8/2020 ) .</x:v>
      </x:c>
      <x:c r="C491" s="4" t="str">
        <x:v>FIRE</x:v>
      </x:c>
      <x:c r="D491" s="4" t="str">
        <x:v>FIRE</x:v>
      </x:c>
      <x:c r="E491" s="12" t="str">
        <x:v>SETUJU_USULAN</x:v>
      </x:c>
      <x:c r="F491" s="12" t="str"/>
      <x:c r="G491" s="12" t="str">
        <x:v>Narasi menyatakan kejadian kebakaran yang terjadi atau telah terjadi. Label mengikuti isi kejadian, termasuk penanganan dan dampak yang disebut. R1,R4.</x:v>
      </x:c>
      <x:c r="H491" s="4" t="str">
        <x:f>IF(E491="SETUJU_USULAN",D491,IF(E491="KOREKSI",F491,""))</x:f>
        <x:v>FIRE</x:v>
      </x:c>
      <x:c r="I491" s="4" t="str">
        <x:f>IF(E491="","BELUM_DIREVIEW",IF(E491="TUNDA","DITUNDA",IF(TRIM(Panduan!$B$5)="","ISI_REVIEWER",IF(AND(E491&lt;&gt;"SETUJU_USULAN",E491&lt;&gt;"KOREKSI"),"CEK_KEPUTUSAN",IF(AND(E491="SETUJU_USULAN",F491&lt;&gt;""),"HAPUS_KOREKSI",IF(H491="","ISI_KOREKSI",IF(NOT(OR(H491="FLOOD",H491="EARTHQUAKE",H491="FIRE",H491="ACCIDENT",H491="NON_EVENT")),"CEK_LABEL",IF(AND(E491="KOREKSI",TRIM(G491)=""),"ISI_CATATAN","REVIEW_TERCATAT"))))))))</x:f>
        <x:v>REVIEW_TERCATAT</x:v>
      </x:c>
      <x:c r="J491" s="4" t="str">
        <x:v>Label dataset dan prediksi baseline sama; makna MVP belum direview. Kesepakatan keduanya belum membuktikan label final.</x:v>
      </x:c>
      <x:c r="K491" s="4" t="str">
        <x:v>FIRE</x:v>
      </x:c>
      <x:c r="L491" s="14" t="n">
        <x:v>0.9919962286949158</x:v>
      </x:c>
    </x:row>
    <x:row r="492" ht="64" customHeight="1">
      <x:c r="A492" s="4" t="str">
        <x:v>KEC-01372</x:v>
      </x:c>
      <x:c r="B492" s="4" t="str">
        <x:v>549 : : kecelakaan di karawang timur kamu 53+100 arah jakarta kendaraan kijang di lajur 2/tengah selesai penanganan petugas</x:v>
      </x:c>
      <x:c r="C492" s="4" t="str">
        <x:v>ACCIDENT</x:v>
      </x:c>
      <x:c r="D492" s="4" t="str">
        <x:v>ACCIDENT</x:v>
      </x:c>
      <x:c r="E492" s="12" t="str">
        <x:v>SETUJU_USULAN</x:v>
      </x:c>
      <x:c r="F492" s="12" t="str"/>
      <x:c r="G492" s="12" t="str">
        <x:v>Narasi menyatakan kejadian kecelakaan yang terjadi atau telah terjadi. Label mengikuti isi kejadian, termasuk penanganan dan dampak yang disebut. R1,R4.</x:v>
      </x:c>
      <x:c r="H492" s="4" t="str">
        <x:f>IF(E492="SETUJU_USULAN",D492,IF(E492="KOREKSI",F492,""))</x:f>
        <x:v>ACCIDENT</x:v>
      </x:c>
      <x:c r="I492" s="4" t="str">
        <x:f>IF(E492="","BELUM_DIREVIEW",IF(E492="TUNDA","DITUNDA",IF(TRIM(Panduan!$B$5)="","ISI_REVIEWER",IF(AND(E492&lt;&gt;"SETUJU_USULAN",E492&lt;&gt;"KOREKSI"),"CEK_KEPUTUSAN",IF(AND(E492="SETUJU_USULAN",F492&lt;&gt;""),"HAPUS_KOREKSI",IF(H492="","ISI_KOREKSI",IF(NOT(OR(H492="FLOOD",H492="EARTHQUAKE",H492="FIRE",H492="ACCIDENT",H492="NON_EVENT")),"CEK_LABEL",IF(AND(E492="KOREKSI",TRIM(G492)=""),"ISI_CATATAN","REVIEW_TERCATAT"))))))))</x:f>
        <x:v>REVIEW_TERCATAT</x:v>
      </x:c>
      <x:c r="J492" s="4" t="str">
        <x:v>Label dataset dan prediksi baseline sama; makna MVP belum direview. Kesepakatan keduanya belum membuktikan label final.</x:v>
      </x:c>
      <x:c r="K492" s="4" t="str">
        <x:v>ACCIDENT</x:v>
      </x:c>
      <x:c r="L492" s="14" t="n">
        <x:v>0.9920172691345215</x:v>
      </x:c>
    </x:row>
    <x:row r="493" ht="64" customHeight="1">
      <x:c r="A493" s="4" t="str">
        <x:v>KEB-00971</x:v>
      </x:c>
      <x:c r="B493" s="4" t="str">
        <x:v>kebakaran di padang habiskan tiga rumah dan delapankontrakan</x:v>
      </x:c>
      <x:c r="C493" s="4" t="str">
        <x:v>FIRE</x:v>
      </x:c>
      <x:c r="D493" s="4" t="str">
        <x:v>FIRE</x:v>
      </x:c>
      <x:c r="E493" s="12" t="str">
        <x:v>SETUJU_USULAN</x:v>
      </x:c>
      <x:c r="F493" s="12" t="str"/>
      <x:c r="G493" s="12" t="str">
        <x:v>Narasi menyatakan kejadian kebakaran yang terjadi atau telah terjadi. Label mengikuti isi kejadian, termasuk penanganan dan dampak yang disebut. R1,R4.</x:v>
      </x:c>
      <x:c r="H493" s="4" t="str">
        <x:f>IF(E493="SETUJU_USULAN",D493,IF(E493="KOREKSI",F493,""))</x:f>
        <x:v>FIRE</x:v>
      </x:c>
      <x:c r="I493" s="4" t="str">
        <x:f>IF(E493="","BELUM_DIREVIEW",IF(E493="TUNDA","DITUNDA",IF(TRIM(Panduan!$B$5)="","ISI_REVIEWER",IF(AND(E493&lt;&gt;"SETUJU_USULAN",E493&lt;&gt;"KOREKSI"),"CEK_KEPUTUSAN",IF(AND(E493="SETUJU_USULAN",F493&lt;&gt;""),"HAPUS_KOREKSI",IF(H493="","ISI_KOREKSI",IF(NOT(OR(H493="FLOOD",H493="EARTHQUAKE",H493="FIRE",H493="ACCIDENT",H493="NON_EVENT")),"CEK_LABEL",IF(AND(E493="KOREKSI",TRIM(G493)=""),"ISI_CATATAN","REVIEW_TERCATAT"))))))))</x:f>
        <x:v>REVIEW_TERCATAT</x:v>
      </x:c>
      <x:c r="J493" s="4" t="str">
        <x:v>Label dataset dan prediksi baseline sama; makna MVP belum direview. Kesepakatan keduanya belum membuktikan label final.</x:v>
      </x:c>
      <x:c r="K493" s="4" t="str">
        <x:v>FIRE</x:v>
      </x:c>
      <x:c r="L493" s="14" t="n">
        <x:v>0.9920371770858765</x:v>
      </x:c>
    </x:row>
    <x:row r="494" ht="64" customHeight="1">
      <x:c r="A494" s="4" t="str">
        <x:v>KEC-01231</x:v>
      </x:c>
      <x:c r="B494" s="4" t="str">
        <x:v>0:06:15 wib cibitung - tambun km 23 padat ada penanganan kecelakaan kendaraan elf terbalik miring di lajur 2/kiri diduga menabrak ban yang terjatuh dari kendaraan lain</x:v>
      </x:c>
      <x:c r="C494" s="4" t="str">
        <x:v>ACCIDENT</x:v>
      </x:c>
      <x:c r="D494" s="4" t="str">
        <x:v>ACCIDENT</x:v>
      </x:c>
      <x:c r="E494" s="12" t="str">
        <x:v>SETUJU_USULAN</x:v>
      </x:c>
      <x:c r="F494" s="12" t="str"/>
      <x:c r="G494" s="12" t="str">
        <x:v>Narasi menyatakan kejadian kecelakaan yang terjadi atau telah terjadi. Label mengikuti isi kejadian, termasuk penanganan dan dampak yang disebut. R1,R4.</x:v>
      </x:c>
      <x:c r="H494" s="4" t="str">
        <x:f>IF(E494="SETUJU_USULAN",D494,IF(E494="KOREKSI",F494,""))</x:f>
        <x:v>ACCIDENT</x:v>
      </x:c>
      <x:c r="I494" s="4" t="str">
        <x:f>IF(E494="","BELUM_DIREVIEW",IF(E494="TUNDA","DITUNDA",IF(TRIM(Panduan!$B$5)="","ISI_REVIEWER",IF(AND(E494&lt;&gt;"SETUJU_USULAN",E494&lt;&gt;"KOREKSI"),"CEK_KEPUTUSAN",IF(AND(E494="SETUJU_USULAN",F494&lt;&gt;""),"HAPUS_KOREKSI",IF(H494="","ISI_KOREKSI",IF(NOT(OR(H494="FLOOD",H494="EARTHQUAKE",H494="FIRE",H494="ACCIDENT",H494="NON_EVENT")),"CEK_LABEL",IF(AND(E494="KOREKSI",TRIM(G494)=""),"ISI_CATATAN","REVIEW_TERCATAT"))))))))</x:f>
        <x:v>REVIEW_TERCATAT</x:v>
      </x:c>
      <x:c r="J494" s="4" t="str">
        <x:v>Label dataset dan prediksi baseline sama; makna MVP belum direview. Kesepakatan keduanya belum membuktikan label final.</x:v>
      </x:c>
      <x:c r="K494" s="4" t="str">
        <x:v>ACCIDENT</x:v>
      </x:c>
      <x:c r="L494" s="14" t="n">
        <x:v>0.9920490384101868</x:v>
      </x:c>
    </x:row>
    <x:row r="495" ht="64" customHeight="1">
      <x:c r="A495" s="4" t="str">
        <x:v>KEB-01060</x:v>
      </x:c>
      <x:c r="B495" s="4" t="str">
        <x:v>terjadi kebakaran pd rumah tinggal pkl . 1.52 semalam di jl . cemara rt 6/7 kel . kayu putih kec . pulogadung jakarta timur . pengerahan 5 unit . berhasil di padamkan s / d pkl . 2.25 ( 15/11/2020 ) .</x:v>
      </x:c>
      <x:c r="C495" s="4" t="str">
        <x:v>FIRE</x:v>
      </x:c>
      <x:c r="D495" s="4" t="str">
        <x:v>FIRE</x:v>
      </x:c>
      <x:c r="E495" s="12" t="str">
        <x:v>SETUJU_USULAN</x:v>
      </x:c>
      <x:c r="F495" s="12" t="str"/>
      <x:c r="G495" s="12" t="str">
        <x:v>Narasi menyatakan kejadian kebakaran yang terjadi atau telah terjadi. Label mengikuti isi kejadian, termasuk penanganan dan dampak yang disebut. R1,R4.</x:v>
      </x:c>
      <x:c r="H495" s="4" t="str">
        <x:f>IF(E495="SETUJU_USULAN",D495,IF(E495="KOREKSI",F495,""))</x:f>
        <x:v>FIRE</x:v>
      </x:c>
      <x:c r="I495" s="4" t="str">
        <x:f>IF(E495="","BELUM_DIREVIEW",IF(E495="TUNDA","DITUNDA",IF(TRIM(Panduan!$B$5)="","ISI_REVIEWER",IF(AND(E495&lt;&gt;"SETUJU_USULAN",E495&lt;&gt;"KOREKSI"),"CEK_KEPUTUSAN",IF(AND(E495="SETUJU_USULAN",F495&lt;&gt;""),"HAPUS_KOREKSI",IF(H495="","ISI_KOREKSI",IF(NOT(OR(H495="FLOOD",H495="EARTHQUAKE",H495="FIRE",H495="ACCIDENT",H495="NON_EVENT")),"CEK_LABEL",IF(AND(E495="KOREKSI",TRIM(G495)=""),"ISI_CATATAN","REVIEW_TERCATAT"))))))))</x:f>
        <x:v>REVIEW_TERCATAT</x:v>
      </x:c>
      <x:c r="J495" s="4" t="str">
        <x:v>Label dataset dan prediksi baseline sama; makna MVP belum direview. Kesepakatan keduanya belum membuktikan label final.</x:v>
      </x:c>
      <x:c r="K495" s="4" t="str">
        <x:v>FIRE</x:v>
      </x:c>
      <x:c r="L495" s="14" t="n">
        <x:v>0.9921233057975769</x:v>
      </x:c>
    </x:row>
    <x:row r="496" ht="64" customHeight="1">
      <x:c r="A496" s="4" t="str">
        <x:v>KEC-01065</x:v>
      </x:c>
      <x:c r="B496" s="4" t="str">
        <x:v>kecelakaan sedan terbalik melintang di tol japek dekat pintu tol halim</x:v>
      </x:c>
      <x:c r="C496" s="4" t="str">
        <x:v>ACCIDENT</x:v>
      </x:c>
      <x:c r="D496" s="4" t="str">
        <x:v>ACCIDENT</x:v>
      </x:c>
      <x:c r="E496" s="12" t="str">
        <x:v>SETUJU_USULAN</x:v>
      </x:c>
      <x:c r="F496" s="12" t="str"/>
      <x:c r="G496" s="12" t="str">
        <x:v>Narasi menyatakan kejadian kecelakaan yang terjadi atau telah terjadi. Label mengikuti isi kejadian, termasuk penanganan dan dampak yang disebut. R1,R4.</x:v>
      </x:c>
      <x:c r="H496" s="4" t="str">
        <x:f>IF(E496="SETUJU_USULAN",D496,IF(E496="KOREKSI",F496,""))</x:f>
        <x:v>ACCIDENT</x:v>
      </x:c>
      <x:c r="I496" s="4" t="str">
        <x:f>IF(E496="","BELUM_DIREVIEW",IF(E496="TUNDA","DITUNDA",IF(TRIM(Panduan!$B$5)="","ISI_REVIEWER",IF(AND(E496&lt;&gt;"SETUJU_USULAN",E496&lt;&gt;"KOREKSI"),"CEK_KEPUTUSAN",IF(AND(E496="SETUJU_USULAN",F496&lt;&gt;""),"HAPUS_KOREKSI",IF(H496="","ISI_KOREKSI",IF(NOT(OR(H496="FLOOD",H496="EARTHQUAKE",H496="FIRE",H496="ACCIDENT",H496="NON_EVENT")),"CEK_LABEL",IF(AND(E496="KOREKSI",TRIM(G496)=""),"ISI_CATATAN","REVIEW_TERCATAT"))))))))</x:f>
        <x:v>REVIEW_TERCATAT</x:v>
      </x:c>
      <x:c r="J496" s="4" t="str">
        <x:v>Label dataset dan prediksi baseline sama; makna MVP belum direview. Kesepakatan keduanya belum membuktikan label final.</x:v>
      </x:c>
      <x:c r="K496" s="4" t="str">
        <x:v>ACCIDENT</x:v>
      </x:c>
      <x:c r="L496" s="14" t="n">
        <x:v>0.992139995098114</x:v>
      </x:c>
    </x:row>
    <x:row r="497" ht="64" customHeight="1">
      <x:c r="A497" s="4" t="str">
        <x:v>KEC-01313</x:v>
      </x:c>
      <x:c r="B497" s="4" t="str">
        <x:v>radio andika 650 wa : pak margianto di desa plemahan kediri mengabarkan terjadi kecelakaan tunggal mobil box yang menabrak pohon lokasi kecelakaan di utara simpang empat plemahan kediri diduga pengemudi mengantuk</x:v>
      </x:c>
      <x:c r="C497" s="4" t="str">
        <x:v>ACCIDENT</x:v>
      </x:c>
      <x:c r="D497" s="4" t="str">
        <x:v>ACCIDENT</x:v>
      </x:c>
      <x:c r="E497" s="12" t="str">
        <x:v>SETUJU_USULAN</x:v>
      </x:c>
      <x:c r="F497" s="12" t="str"/>
      <x:c r="G497" s="12" t="str">
        <x:v>Narasi menyatakan kejadian kecelakaan yang terjadi atau telah terjadi. Label mengikuti isi kejadian, termasuk penanganan dan dampak yang disebut. R1,R4.</x:v>
      </x:c>
      <x:c r="H497" s="4" t="str">
        <x:f>IF(E497="SETUJU_USULAN",D497,IF(E497="KOREKSI",F497,""))</x:f>
        <x:v>ACCIDENT</x:v>
      </x:c>
      <x:c r="I497" s="4" t="str">
        <x:f>IF(E497="","BELUM_DIREVIEW",IF(E497="TUNDA","DITUNDA",IF(TRIM(Panduan!$B$5)="","ISI_REVIEWER",IF(AND(E497&lt;&gt;"SETUJU_USULAN",E497&lt;&gt;"KOREKSI"),"CEK_KEPUTUSAN",IF(AND(E497="SETUJU_USULAN",F497&lt;&gt;""),"HAPUS_KOREKSI",IF(H497="","ISI_KOREKSI",IF(NOT(OR(H497="FLOOD",H497="EARTHQUAKE",H497="FIRE",H497="ACCIDENT",H497="NON_EVENT")),"CEK_LABEL",IF(AND(E497="KOREKSI",TRIM(G497)=""),"ISI_CATATAN","REVIEW_TERCATAT"))))))))</x:f>
        <x:v>REVIEW_TERCATAT</x:v>
      </x:c>
      <x:c r="J497" s="4" t="str">
        <x:v>Label dataset dan prediksi baseline sama; makna MVP belum direview. Kesepakatan keduanya belum membuktikan label final.</x:v>
      </x:c>
      <x:c r="K497" s="4" t="str">
        <x:v>ACCIDENT</x:v>
      </x:c>
      <x:c r="L497" s="14" t="n">
        <x:v>0.9921493530273438</x:v>
      </x:c>
    </x:row>
    <x:row r="498" ht="64" customHeight="1">
      <x:c r="A498" s="4" t="str">
        <x:v>KEC-01162</x:v>
      </x:c>
      <x:c r="B498" s="4" t="str">
        <x:v>645 : rt : kecelakaan kendaraan box terbalik di lajur 2/tengah km 32 ruas cikarang barat arah jakarta selesai penanganan petugas</x:v>
      </x:c>
      <x:c r="C498" s="4" t="str">
        <x:v>ACCIDENT</x:v>
      </x:c>
      <x:c r="D498" s="4" t="str">
        <x:v>ACCIDENT</x:v>
      </x:c>
      <x:c r="E498" s="12" t="str">
        <x:v>SETUJU_USULAN</x:v>
      </x:c>
      <x:c r="F498" s="12" t="str"/>
      <x:c r="G498" s="12" t="str">
        <x:v>Narasi menyatakan kejadian kecelakaan yang terjadi atau telah terjadi. Label mengikuti isi kejadian, termasuk penanganan dan dampak yang disebut. R1,R4.</x:v>
      </x:c>
      <x:c r="H498" s="4" t="str">
        <x:f>IF(E498="SETUJU_USULAN",D498,IF(E498="KOREKSI",F498,""))</x:f>
        <x:v>ACCIDENT</x:v>
      </x:c>
      <x:c r="I498" s="4" t="str">
        <x:f>IF(E498="","BELUM_DIREVIEW",IF(E498="TUNDA","DITUNDA",IF(TRIM(Panduan!$B$5)="","ISI_REVIEWER",IF(AND(E498&lt;&gt;"SETUJU_USULAN",E498&lt;&gt;"KOREKSI"),"CEK_KEPUTUSAN",IF(AND(E498="SETUJU_USULAN",F498&lt;&gt;""),"HAPUS_KOREKSI",IF(H498="","ISI_KOREKSI",IF(NOT(OR(H498="FLOOD",H498="EARTHQUAKE",H498="FIRE",H498="ACCIDENT",H498="NON_EVENT")),"CEK_LABEL",IF(AND(E498="KOREKSI",TRIM(G498)=""),"ISI_CATATAN","REVIEW_TERCATAT"))))))))</x:f>
        <x:v>REVIEW_TERCATAT</x:v>
      </x:c>
      <x:c r="J498" s="4" t="str">
        <x:v>Label dataset dan prediksi baseline sama; makna MVP belum direview. Kesepakatan keduanya belum membuktikan label final.</x:v>
      </x:c>
      <x:c r="K498" s="4" t="str">
        <x:v>ACCIDENT</x:v>
      </x:c>
      <x:c r="L498" s="14" t="n">
        <x:v>0.9922091960906982</x:v>
      </x:c>
    </x:row>
    <x:row r="499" ht="66" customHeight="1">
      <x:c r="A499" s="4" t="str">
        <x:v>KEB-00542</x:v>
      </x:c>
      <x:c r="B499" s="4" t="str">
        <x:v>telah terjadi kebakaran di pasar inpres kota lhokseumawe pada pukul 2 : 30 wib . belum diketahui pasti akibat terjadi nya kebakaran . meskipun dalam peristiwa ini dipastikan tidak ada korban jiwa sepertinya , namun kerugian yang didapatkan menjadi ratusan juta rupiah . 9/7/2020</x:v>
      </x:c>
      <x:c r="C499" s="4" t="str">
        <x:v>FIRE</x:v>
      </x:c>
      <x:c r="D499" s="4" t="str">
        <x:v>FIRE</x:v>
      </x:c>
      <x:c r="E499" s="12" t="str">
        <x:v>SETUJU_USULAN</x:v>
      </x:c>
      <x:c r="F499" s="12" t="str"/>
      <x:c r="G499" s="12" t="str">
        <x:v>Narasi menyatakan kejadian kebakaran yang terjadi atau telah terjadi. Label mengikuti isi kejadian, termasuk penanganan dan dampak yang disebut. R1,R4.</x:v>
      </x:c>
      <x:c r="H499" s="4" t="str">
        <x:f>IF(E499="SETUJU_USULAN",D499,IF(E499="KOREKSI",F499,""))</x:f>
        <x:v>FIRE</x:v>
      </x:c>
      <x:c r="I499" s="4" t="str">
        <x:f>IF(E499="","BELUM_DIREVIEW",IF(E499="TUNDA","DITUNDA",IF(TRIM(Panduan!$B$5)="","ISI_REVIEWER",IF(AND(E499&lt;&gt;"SETUJU_USULAN",E499&lt;&gt;"KOREKSI"),"CEK_KEPUTUSAN",IF(AND(E499="SETUJU_USULAN",F499&lt;&gt;""),"HAPUS_KOREKSI",IF(H499="","ISI_KOREKSI",IF(NOT(OR(H499="FLOOD",H499="EARTHQUAKE",H499="FIRE",H499="ACCIDENT",H499="NON_EVENT")),"CEK_LABEL",IF(AND(E499="KOREKSI",TRIM(G499)=""),"ISI_CATATAN","REVIEW_TERCATAT"))))))))</x:f>
        <x:v>REVIEW_TERCATAT</x:v>
      </x:c>
      <x:c r="J499" s="4" t="str">
        <x:v>Label dataset dan prediksi baseline sama; makna MVP belum direview. Kesepakatan keduanya belum membuktikan label final.</x:v>
      </x:c>
      <x:c r="K499" s="4" t="str">
        <x:v>FIRE</x:v>
      </x:c>
      <x:c r="L499" s="14" t="n">
        <x:v>0.9922095537185669</x:v>
      </x:c>
    </x:row>
    <x:row r="500" ht="64" customHeight="1">
      <x:c r="A500" s="4" t="str">
        <x:v>KEB-00342</x:v>
      </x:c>
      <x:c r="B500" s="4" t="str">
        <x:v>kebakaran di taman sari , jakarta barat menghanguskan puluhan rumah semi permanen pada sabtu ( 18/4 ) malam .</x:v>
      </x:c>
      <x:c r="C500" s="4" t="str">
        <x:v>FIRE</x:v>
      </x:c>
      <x:c r="D500" s="4" t="str">
        <x:v>FIRE</x:v>
      </x:c>
      <x:c r="E500" s="12" t="str">
        <x:v>SETUJU_USULAN</x:v>
      </x:c>
      <x:c r="F500" s="12" t="str"/>
      <x:c r="G500" s="12" t="str">
        <x:v>Narasi menyatakan kejadian kebakaran yang terjadi atau telah terjadi. Label mengikuti isi kejadian, termasuk penanganan dan dampak yang disebut. R1,R4.</x:v>
      </x:c>
      <x:c r="H500" s="4" t="str">
        <x:f>IF(E500="SETUJU_USULAN",D500,IF(E500="KOREKSI",F500,""))</x:f>
        <x:v>FIRE</x:v>
      </x:c>
      <x:c r="I500" s="4" t="str">
        <x:f>IF(E500="","BELUM_DIREVIEW",IF(E500="TUNDA","DITUNDA",IF(TRIM(Panduan!$B$5)="","ISI_REVIEWER",IF(AND(E500&lt;&gt;"SETUJU_USULAN",E500&lt;&gt;"KOREKSI"),"CEK_KEPUTUSAN",IF(AND(E500="SETUJU_USULAN",F500&lt;&gt;""),"HAPUS_KOREKSI",IF(H500="","ISI_KOREKSI",IF(NOT(OR(H500="FLOOD",H500="EARTHQUAKE",H500="FIRE",H500="ACCIDENT",H500="NON_EVENT")),"CEK_LABEL",IF(AND(E500="KOREKSI",TRIM(G500)=""),"ISI_CATATAN","REVIEW_TERCATAT"))))))))</x:f>
        <x:v>REVIEW_TERCATAT</x:v>
      </x:c>
      <x:c r="J500" s="4" t="str">
        <x:v>Label dataset dan prediksi baseline sama; makna MVP belum direview. Kesepakatan keduanya belum membuktikan label final.</x:v>
      </x:c>
      <x:c r="K500" s="4" t="str">
        <x:v>FIRE</x:v>
      </x:c>
      <x:c r="L500" s="14" t="n">
        <x:v>0.9922155737876892</x:v>
      </x:c>
    </x:row>
    <x:row r="501" ht="64" customHeight="1">
      <x:c r="A501" s="4" t="str">
        <x:v>KEB-01121</x:v>
      </x:c>
      <x:c r="B501" s="4" t="str">
        <x:v>terjadi kebakaran pd ruko pkl . 4.25 di jl . h . baping no . 58 rt 10/7 jakarta timur . pengerahan 9 unit . penanganan mulai pkl . 4.36 s / d 5.21 ( 29/12/2020 ) .</x:v>
      </x:c>
      <x:c r="C501" s="4" t="str">
        <x:v>FIRE</x:v>
      </x:c>
      <x:c r="D501" s="4" t="str">
        <x:v>FIRE</x:v>
      </x:c>
      <x:c r="E501" s="12" t="str">
        <x:v>SETUJU_USULAN</x:v>
      </x:c>
      <x:c r="F501" s="12" t="str"/>
      <x:c r="G501" s="12" t="str">
        <x:v>Narasi menyatakan kejadian kebakaran yang terjadi atau telah terjadi. Label mengikuti isi kejadian, termasuk penanganan dan dampak yang disebut. R1,R4.</x:v>
      </x:c>
      <x:c r="H501" s="4" t="str">
        <x:f>IF(E501="SETUJU_USULAN",D501,IF(E501="KOREKSI",F501,""))</x:f>
        <x:v>FIRE</x:v>
      </x:c>
      <x:c r="I501" s="4" t="str">
        <x:f>IF(E501="","BELUM_DIREVIEW",IF(E501="TUNDA","DITUNDA",IF(TRIM(Panduan!$B$5)="","ISI_REVIEWER",IF(AND(E501&lt;&gt;"SETUJU_USULAN",E501&lt;&gt;"KOREKSI"),"CEK_KEPUTUSAN",IF(AND(E501="SETUJU_USULAN",F501&lt;&gt;""),"HAPUS_KOREKSI",IF(H501="","ISI_KOREKSI",IF(NOT(OR(H501="FLOOD",H501="EARTHQUAKE",H501="FIRE",H501="ACCIDENT",H501="NON_EVENT")),"CEK_LABEL",IF(AND(E501="KOREKSI",TRIM(G501)=""),"ISI_CATATAN","REVIEW_TERCATAT"))))))))</x:f>
        <x:v>REVIEW_TERCATAT</x:v>
      </x:c>
      <x:c r="J501" s="4" t="str">
        <x:v>Label dataset dan prediksi baseline sama; makna MVP belum direview. Kesepakatan keduanya belum membuktikan label final.</x:v>
      </x:c>
      <x:c r="K501" s="4" t="str">
        <x:v>FIRE</x:v>
      </x:c>
      <x:c r="L501" s="14" t="n">
        <x:v>0.9922254085540771</x:v>
      </x:c>
    </x:row>
    <x:row r="502" ht="64" customHeight="1">
      <x:c r="A502" s="4" t="str">
        <x:v>KEC-01043</x:v>
      </x:c>
      <x:c r="B502" s="4" t="str">
        <x:v>06:04 kecelakaan kendaraan terguling di km 3 tol pondok gede barat ( arah ke cawang ) &amp; amp masih penanganan polri</x:v>
      </x:c>
      <x:c r="C502" s="4" t="str">
        <x:v>ACCIDENT</x:v>
      </x:c>
      <x:c r="D502" s="4" t="str">
        <x:v>ACCIDENT</x:v>
      </x:c>
      <x:c r="E502" s="12" t="str">
        <x:v>SETUJU_USULAN</x:v>
      </x:c>
      <x:c r="F502" s="12" t="str"/>
      <x:c r="G502" s="12" t="str">
        <x:v>Narasi menyatakan kejadian kecelakaan yang terjadi atau telah terjadi. Label mengikuti isi kejadian, termasuk penanganan dan dampak yang disebut. R1,R4.</x:v>
      </x:c>
      <x:c r="H502" s="4" t="str">
        <x:f>IF(E502="SETUJU_USULAN",D502,IF(E502="KOREKSI",F502,""))</x:f>
        <x:v>ACCIDENT</x:v>
      </x:c>
      <x:c r="I502" s="4" t="str">
        <x:f>IF(E502="","BELUM_DIREVIEW",IF(E502="TUNDA","DITUNDA",IF(TRIM(Panduan!$B$5)="","ISI_REVIEWER",IF(AND(E502&lt;&gt;"SETUJU_USULAN",E502&lt;&gt;"KOREKSI"),"CEK_KEPUTUSAN",IF(AND(E502="SETUJU_USULAN",F502&lt;&gt;""),"HAPUS_KOREKSI",IF(H502="","ISI_KOREKSI",IF(NOT(OR(H502="FLOOD",H502="EARTHQUAKE",H502="FIRE",H502="ACCIDENT",H502="NON_EVENT")),"CEK_LABEL",IF(AND(E502="KOREKSI",TRIM(G502)=""),"ISI_CATATAN","REVIEW_TERCATAT"))))))))</x:f>
        <x:v>REVIEW_TERCATAT</x:v>
      </x:c>
      <x:c r="J502" s="4" t="str">
        <x:v>Label dataset dan prediksi baseline sama; makna MVP belum direview. Kesepakatan keduanya belum membuktikan label final.</x:v>
      </x:c>
      <x:c r="K502" s="4" t="str">
        <x:v>ACCIDENT</x:v>
      </x:c>
      <x:c r="L502" s="14" t="n">
        <x:v>0.9922637939453125</x:v>
      </x:c>
    </x:row>
    <x:row r="503" ht="64" customHeight="1">
      <x:c r="A503" s="4" t="str">
        <x:v>KEC-01141</x:v>
      </x:c>
      <x:c r="B503" s="4" t="str">
        <x:v>kecelakaan maut di brebes tewaskan 12 orang sopir truk melarikan diri - inews malam 20/05</x:v>
      </x:c>
      <x:c r="C503" s="4" t="str">
        <x:v>ACCIDENT</x:v>
      </x:c>
      <x:c r="D503" s="4" t="str">
        <x:v>ACCIDENT</x:v>
      </x:c>
      <x:c r="E503" s="12" t="str">
        <x:v>SETUJU_USULAN</x:v>
      </x:c>
      <x:c r="F503" s="12" t="str"/>
      <x:c r="G503" s="12" t="str">
        <x:v>Narasi menyatakan kejadian kecelakaan yang terjadi atau telah terjadi. Label mengikuti isi kejadian, termasuk penanganan dan dampak yang disebut. R1,R4.</x:v>
      </x:c>
      <x:c r="H503" s="4" t="str">
        <x:f>IF(E503="SETUJU_USULAN",D503,IF(E503="KOREKSI",F503,""))</x:f>
        <x:v>ACCIDENT</x:v>
      </x:c>
      <x:c r="I503" s="4" t="str">
        <x:f>IF(E503="","BELUM_DIREVIEW",IF(E503="TUNDA","DITUNDA",IF(TRIM(Panduan!$B$5)="","ISI_REVIEWER",IF(AND(E503&lt;&gt;"SETUJU_USULAN",E503&lt;&gt;"KOREKSI"),"CEK_KEPUTUSAN",IF(AND(E503="SETUJU_USULAN",F503&lt;&gt;""),"HAPUS_KOREKSI",IF(H503="","ISI_KOREKSI",IF(NOT(OR(H503="FLOOD",H503="EARTHQUAKE",H503="FIRE",H503="ACCIDENT",H503="NON_EVENT")),"CEK_LABEL",IF(AND(E503="KOREKSI",TRIM(G503)=""),"ISI_CATATAN","REVIEW_TERCATAT"))))))))</x:f>
        <x:v>REVIEW_TERCATAT</x:v>
      </x:c>
      <x:c r="J503" s="4" t="str">
        <x:v>Label dataset dan prediksi baseline sama; makna MVP belum direview. Kesepakatan keduanya belum membuktikan label final.</x:v>
      </x:c>
      <x:c r="K503" s="4" t="str">
        <x:v>ACCIDENT</x:v>
      </x:c>
      <x:c r="L503" s="14" t="n">
        <x:v>0.9923186302185059</x:v>
      </x:c>
    </x:row>
    <x:row r="504" ht="64" customHeight="1">
      <x:c r="A504" s="4" t="str">
        <x:v>KEC-01352</x:v>
      </x:c>
      <x:c r="B504" s="4" t="str">
        <x:v>kecelakaan maut di kertahayu pamarican tewaskan 4 orang</x:v>
      </x:c>
      <x:c r="C504" s="4" t="str">
        <x:v>ACCIDENT</x:v>
      </x:c>
      <x:c r="D504" s="4" t="str">
        <x:v>ACCIDENT</x:v>
      </x:c>
      <x:c r="E504" s="12" t="str">
        <x:v>SETUJU_USULAN</x:v>
      </x:c>
      <x:c r="F504" s="12" t="str"/>
      <x:c r="G504" s="12" t="str">
        <x:v>Narasi menyatakan kejadian kecelakaan yang terjadi atau telah terjadi. Label mengikuti isi kejadian, termasuk penanganan dan dampak yang disebut. R1,R4.</x:v>
      </x:c>
      <x:c r="H504" s="4" t="str">
        <x:f>IF(E504="SETUJU_USULAN",D504,IF(E504="KOREKSI",F504,""))</x:f>
        <x:v>ACCIDENT</x:v>
      </x:c>
      <x:c r="I504" s="4" t="str">
        <x:f>IF(E504="","BELUM_DIREVIEW",IF(E504="TUNDA","DITUNDA",IF(TRIM(Panduan!$B$5)="","ISI_REVIEWER",IF(AND(E504&lt;&gt;"SETUJU_USULAN",E504&lt;&gt;"KOREKSI"),"CEK_KEPUTUSAN",IF(AND(E504="SETUJU_USULAN",F504&lt;&gt;""),"HAPUS_KOREKSI",IF(H504="","ISI_KOREKSI",IF(NOT(OR(H504="FLOOD",H504="EARTHQUAKE",H504="FIRE",H504="ACCIDENT",H504="NON_EVENT")),"CEK_LABEL",IF(AND(E504="KOREKSI",TRIM(G504)=""),"ISI_CATATAN","REVIEW_TERCATAT"))))))))</x:f>
        <x:v>REVIEW_TERCATAT</x:v>
      </x:c>
      <x:c r="J504" s="4" t="str">
        <x:v>Label dataset dan prediksi baseline sama; makna MVP belum direview. Kesepakatan keduanya belum membuktikan label final.</x:v>
      </x:c>
      <x:c r="K504" s="4" t="str">
        <x:v>ACCIDENT</x:v>
      </x:c>
      <x:c r="L504" s="14" t="n">
        <x:v>0.9923337697982788</x:v>
      </x:c>
    </x:row>
    <x:row r="505" ht="64" customHeight="1">
      <x:c r="A505" s="4" t="str">
        <x:v>KEC-00265</x:v>
      </x:c>
      <x:c r="B505" s="4" t="str">
        <x:v>514 : : kecelakaan di bekasi timur kamu 16+800 arah cawang kendaraan dump truk dan kendaraan truk di lajur 1-2/kiri-tengah masih dalam penanganan petugas</x:v>
      </x:c>
      <x:c r="C505" s="4" t="str">
        <x:v>ACCIDENT</x:v>
      </x:c>
      <x:c r="D505" s="4" t="str">
        <x:v>ACCIDENT</x:v>
      </x:c>
      <x:c r="E505" s="12" t="str">
        <x:v>SETUJU_USULAN</x:v>
      </x:c>
      <x:c r="F505" s="12" t="str"/>
      <x:c r="G505" s="12" t="str">
        <x:v>Narasi menyatakan kejadian kecelakaan yang terjadi atau telah terjadi. Label mengikuti isi kejadian, termasuk penanganan dan dampak yang disebut. R1,R4.</x:v>
      </x:c>
      <x:c r="H505" s="4" t="str">
        <x:f>IF(E505="SETUJU_USULAN",D505,IF(E505="KOREKSI",F505,""))</x:f>
        <x:v>ACCIDENT</x:v>
      </x:c>
      <x:c r="I505" s="4" t="str">
        <x:f>IF(E505="","BELUM_DIREVIEW",IF(E505="TUNDA","DITUNDA",IF(TRIM(Panduan!$B$5)="","ISI_REVIEWER",IF(AND(E505&lt;&gt;"SETUJU_USULAN",E505&lt;&gt;"KOREKSI"),"CEK_KEPUTUSAN",IF(AND(E505="SETUJU_USULAN",F505&lt;&gt;""),"HAPUS_KOREKSI",IF(H505="","ISI_KOREKSI",IF(NOT(OR(H505="FLOOD",H505="EARTHQUAKE",H505="FIRE",H505="ACCIDENT",H505="NON_EVENT")),"CEK_LABEL",IF(AND(E505="KOREKSI",TRIM(G505)=""),"ISI_CATATAN","REVIEW_TERCATAT"))))))))</x:f>
        <x:v>REVIEW_TERCATAT</x:v>
      </x:c>
      <x:c r="J505" s="4" t="str">
        <x:v>Label dataset dan prediksi baseline sama; makna MVP belum direview. Kesepakatan keduanya belum membuktikan label final.</x:v>
      </x:c>
      <x:c r="K505" s="4" t="str">
        <x:v>ACCIDENT</x:v>
      </x:c>
      <x:c r="L505" s="14" t="n">
        <x:v>0.9923484325408936</x:v>
      </x:c>
    </x:row>
    <x:row r="506" ht="66" customHeight="1">
      <x:c r="A506" s="4" t="str">
        <x:v>KEC-01261</x:v>
      </x:c>
      <x:c r="B506" s="4" t="str">
        <x:v>terjadi kecelakaan 1 mobil vs 3 motor di pajaresuk pringsewu lampung mobil menabrak 3 motor be 2516 gue mobil kijang grand abu-abu be 2427 nr vixion f3885 ninja putih matik xxxxx di duga supir mengantuk terjadi macet panjang sudah ada polisi</x:v>
      </x:c>
      <x:c r="C506" s="4" t="str">
        <x:v>ACCIDENT</x:v>
      </x:c>
      <x:c r="D506" s="4" t="str">
        <x:v>ACCIDENT</x:v>
      </x:c>
      <x:c r="E506" s="12" t="str">
        <x:v>SETUJU_USULAN</x:v>
      </x:c>
      <x:c r="F506" s="12" t="str"/>
      <x:c r="G506" s="12" t="str">
        <x:v>Narasi menyatakan kejadian kecelakaan yang terjadi atau telah terjadi. Label mengikuti isi kejadian, termasuk penanganan dan dampak yang disebut. R1,R4.</x:v>
      </x:c>
      <x:c r="H506" s="4" t="str">
        <x:f>IF(E506="SETUJU_USULAN",D506,IF(E506="KOREKSI",F506,""))</x:f>
        <x:v>ACCIDENT</x:v>
      </x:c>
      <x:c r="I506" s="4" t="str">
        <x:f>IF(E506="","BELUM_DIREVIEW",IF(E506="TUNDA","DITUNDA",IF(TRIM(Panduan!$B$5)="","ISI_REVIEWER",IF(AND(E506&lt;&gt;"SETUJU_USULAN",E506&lt;&gt;"KOREKSI"),"CEK_KEPUTUSAN",IF(AND(E506="SETUJU_USULAN",F506&lt;&gt;""),"HAPUS_KOREKSI",IF(H506="","ISI_KOREKSI",IF(NOT(OR(H506="FLOOD",H506="EARTHQUAKE",H506="FIRE",H506="ACCIDENT",H506="NON_EVENT")),"CEK_LABEL",IF(AND(E506="KOREKSI",TRIM(G506)=""),"ISI_CATATAN","REVIEW_TERCATAT"))))))))</x:f>
        <x:v>REVIEW_TERCATAT</x:v>
      </x:c>
      <x:c r="J506" s="4" t="str">
        <x:v>Label dataset dan prediksi baseline sama; makna MVP belum direview. Kesepakatan keduanya belum membuktikan label final.</x:v>
      </x:c>
      <x:c r="K506" s="4" t="str">
        <x:v>ACCIDENT</x:v>
      </x:c>
      <x:c r="L506" s="14" t="n">
        <x:v>0.9923730492591858</x:v>
      </x:c>
    </x:row>
    <x:row r="507" ht="64" customHeight="1">
      <x:c r="A507" s="4" t="str">
        <x:v>KEC-00280</x:v>
      </x:c>
      <x:c r="B507" s="4" t="str">
        <x:v>sebuah truk kecelakaan tunggal di lampu merah harmoni</x:v>
      </x:c>
      <x:c r="C507" s="4" t="str">
        <x:v>ACCIDENT</x:v>
      </x:c>
      <x:c r="D507" s="4" t="str">
        <x:v>ACCIDENT</x:v>
      </x:c>
      <x:c r="E507" s="12" t="str">
        <x:v>SETUJU_USULAN</x:v>
      </x:c>
      <x:c r="F507" s="12" t="str"/>
      <x:c r="G507" s="12" t="str">
        <x:v>Narasi menyatakan kejadian kecelakaan yang terjadi atau telah terjadi. Label mengikuti isi kejadian, termasuk penanganan dan dampak yang disebut. R1,R4.</x:v>
      </x:c>
      <x:c r="H507" s="4" t="str">
        <x:f>IF(E507="SETUJU_USULAN",D507,IF(E507="KOREKSI",F507,""))</x:f>
        <x:v>ACCIDENT</x:v>
      </x:c>
      <x:c r="I507" s="4" t="str">
        <x:f>IF(E507="","BELUM_DIREVIEW",IF(E507="TUNDA","DITUNDA",IF(TRIM(Panduan!$B$5)="","ISI_REVIEWER",IF(AND(E507&lt;&gt;"SETUJU_USULAN",E507&lt;&gt;"KOREKSI"),"CEK_KEPUTUSAN",IF(AND(E507="SETUJU_USULAN",F507&lt;&gt;""),"HAPUS_KOREKSI",IF(H507="","ISI_KOREKSI",IF(NOT(OR(H507="FLOOD",H507="EARTHQUAKE",H507="FIRE",H507="ACCIDENT",H507="NON_EVENT")),"CEK_LABEL",IF(AND(E507="KOREKSI",TRIM(G507)=""),"ISI_CATATAN","REVIEW_TERCATAT"))))))))</x:f>
        <x:v>REVIEW_TERCATAT</x:v>
      </x:c>
      <x:c r="J507" s="4" t="str">
        <x:v>Label dataset dan prediksi baseline sama; makna MVP belum direview. Kesepakatan keduanya belum membuktikan label final.</x:v>
      </x:c>
      <x:c r="K507" s="4" t="str">
        <x:v>ACCIDENT</x:v>
      </x:c>
      <x:c r="L507" s="14" t="n">
        <x:v>0.9923875331878662</x:v>
      </x:c>
    </x:row>
    <x:row r="508" ht="64" customHeight="1">
      <x:c r="A508" s="4" t="str">
        <x:v>KEC-01157</x:v>
      </x:c>
      <x:c r="B508" s="4" t="str">
        <x:v>0:06:32 wib cikunir - bekasi barat km 14 padat ada penanganan kecelakaan di lajur 3/kanan bekasi timur - tambun padat kepadatan vol lalu lintas</x:v>
      </x:c>
      <x:c r="C508" s="4" t="str">
        <x:v>ACCIDENT</x:v>
      </x:c>
      <x:c r="D508" s="4" t="str">
        <x:v>ACCIDENT</x:v>
      </x:c>
      <x:c r="E508" s="12" t="str">
        <x:v>SETUJU_USULAN</x:v>
      </x:c>
      <x:c r="F508" s="12" t="str"/>
      <x:c r="G508" s="12" t="str">
        <x:v>Narasi menyatakan kejadian kecelakaan yang terjadi atau telah terjadi. Label mengikuti isi kejadian, termasuk penanganan dan dampak yang disebut. R1,R4.</x:v>
      </x:c>
      <x:c r="H508" s="4" t="str">
        <x:f>IF(E508="SETUJU_USULAN",D508,IF(E508="KOREKSI",F508,""))</x:f>
        <x:v>ACCIDENT</x:v>
      </x:c>
      <x:c r="I508" s="4" t="str">
        <x:f>IF(E508="","BELUM_DIREVIEW",IF(E508="TUNDA","DITUNDA",IF(TRIM(Panduan!$B$5)="","ISI_REVIEWER",IF(AND(E508&lt;&gt;"SETUJU_USULAN",E508&lt;&gt;"KOREKSI"),"CEK_KEPUTUSAN",IF(AND(E508="SETUJU_USULAN",F508&lt;&gt;""),"HAPUS_KOREKSI",IF(H508="","ISI_KOREKSI",IF(NOT(OR(H508="FLOOD",H508="EARTHQUAKE",H508="FIRE",H508="ACCIDENT",H508="NON_EVENT")),"CEK_LABEL",IF(AND(E508="KOREKSI",TRIM(G508)=""),"ISI_CATATAN","REVIEW_TERCATAT"))))))))</x:f>
        <x:v>REVIEW_TERCATAT</x:v>
      </x:c>
      <x:c r="J508" s="4" t="str">
        <x:v>Label dataset dan prediksi baseline sama; makna MVP belum direview. Kesepakatan keduanya belum membuktikan label final.</x:v>
      </x:c>
      <x:c r="K508" s="4" t="str">
        <x:v>ACCIDENT</x:v>
      </x:c>
      <x:c r="L508" s="14" t="n">
        <x:v>0.992400050163269</x:v>
      </x:c>
    </x:row>
    <x:row r="509" ht="64" customHeight="1">
      <x:c r="A509" s="4" t="str">
        <x:v>KEC-01322</x:v>
      </x:c>
      <x:c r="B509" s="4" t="str">
        <x:v>kecelakaan di km 241 tol pejagan arah jakarta antara 2 mobil sudah dalam penanganan petugas</x:v>
      </x:c>
      <x:c r="C509" s="4" t="str">
        <x:v>ACCIDENT</x:v>
      </x:c>
      <x:c r="D509" s="4" t="str">
        <x:v>ACCIDENT</x:v>
      </x:c>
      <x:c r="E509" s="12" t="str">
        <x:v>SETUJU_USULAN</x:v>
      </x:c>
      <x:c r="F509" s="12" t="str"/>
      <x:c r="G509" s="12" t="str">
        <x:v>Narasi menyatakan kejadian kecelakaan yang terjadi atau telah terjadi. Label mengikuti isi kejadian, termasuk penanganan dan dampak yang disebut. R1,R4.</x:v>
      </x:c>
      <x:c r="H509" s="4" t="str">
        <x:f>IF(E509="SETUJU_USULAN",D509,IF(E509="KOREKSI",F509,""))</x:f>
        <x:v>ACCIDENT</x:v>
      </x:c>
      <x:c r="I509" s="4" t="str">
        <x:f>IF(E509="","BELUM_DIREVIEW",IF(E509="TUNDA","DITUNDA",IF(TRIM(Panduan!$B$5)="","ISI_REVIEWER",IF(AND(E509&lt;&gt;"SETUJU_USULAN",E509&lt;&gt;"KOREKSI"),"CEK_KEPUTUSAN",IF(AND(E509="SETUJU_USULAN",F509&lt;&gt;""),"HAPUS_KOREKSI",IF(H509="","ISI_KOREKSI",IF(NOT(OR(H509="FLOOD",H509="EARTHQUAKE",H509="FIRE",H509="ACCIDENT",H509="NON_EVENT")),"CEK_LABEL",IF(AND(E509="KOREKSI",TRIM(G509)=""),"ISI_CATATAN","REVIEW_TERCATAT"))))))))</x:f>
        <x:v>REVIEW_TERCATAT</x:v>
      </x:c>
      <x:c r="J509" s="4" t="str">
        <x:v>Label dataset dan prediksi baseline sama; makna MVP belum direview. Kesepakatan keduanya belum membuktikan label final.</x:v>
      </x:c>
      <x:c r="K509" s="4" t="str">
        <x:v>ACCIDENT</x:v>
      </x:c>
      <x:c r="L509" s="14" t="n">
        <x:v>0.9924089908599854</x:v>
      </x:c>
    </x:row>
    <x:row r="510" ht="64" customHeight="1">
      <x:c r="A510" s="4" t="str">
        <x:v>KEB-00408</x:v>
      </x:c>
      <x:c r="B510" s="4" t="str">
        <x:v>kebakaran menghanguskan rumah di tanjung priok , jakarta utara , selasa ( 2/6/2020 ) malam wib . pemadam kebakaran mengerahkan 13 unit mobil pemadam ke lokasi .</x:v>
      </x:c>
      <x:c r="C510" s="4" t="str">
        <x:v>FIRE</x:v>
      </x:c>
      <x:c r="D510" s="4" t="str">
        <x:v>FIRE</x:v>
      </x:c>
      <x:c r="E510" s="12" t="str">
        <x:v>SETUJU_USULAN</x:v>
      </x:c>
      <x:c r="F510" s="12" t="str"/>
      <x:c r="G510" s="12" t="str">
        <x:v>Narasi menyatakan kejadian kebakaran yang terjadi atau telah terjadi. Label mengikuti isi kejadian, termasuk penanganan dan dampak yang disebut. R1,R4.</x:v>
      </x:c>
      <x:c r="H510" s="4" t="str">
        <x:f>IF(E510="SETUJU_USULAN",D510,IF(E510="KOREKSI",F510,""))</x:f>
        <x:v>FIRE</x:v>
      </x:c>
      <x:c r="I510" s="4" t="str">
        <x:f>IF(E510="","BELUM_DIREVIEW",IF(E510="TUNDA","DITUNDA",IF(TRIM(Panduan!$B$5)="","ISI_REVIEWER",IF(AND(E510&lt;&gt;"SETUJU_USULAN",E510&lt;&gt;"KOREKSI"),"CEK_KEPUTUSAN",IF(AND(E510="SETUJU_USULAN",F510&lt;&gt;""),"HAPUS_KOREKSI",IF(H510="","ISI_KOREKSI",IF(NOT(OR(H510="FLOOD",H510="EARTHQUAKE",H510="FIRE",H510="ACCIDENT",H510="NON_EVENT")),"CEK_LABEL",IF(AND(E510="KOREKSI",TRIM(G510)=""),"ISI_CATATAN","REVIEW_TERCATAT"))))))))</x:f>
        <x:v>REVIEW_TERCATAT</x:v>
      </x:c>
      <x:c r="J510" s="4" t="str">
        <x:v>Label dataset dan prediksi baseline sama; makna MVP belum direview. Kesepakatan keduanya belum membuktikan label final.</x:v>
      </x:c>
      <x:c r="K510" s="4" t="str">
        <x:v>FIRE</x:v>
      </x:c>
      <x:c r="L510" s="14" t="n">
        <x:v>0.9924391508102417</x:v>
      </x:c>
    </x:row>
    <x:row r="511" ht="64" customHeight="1">
      <x:c r="A511" s="4" t="str">
        <x:v>KEB-00291</x:v>
      </x:c>
      <x:c r="B511" s="4" t="str">
        <x:v>kebakaran yang terjadi di desa pulo ara geudong teungoh , kota juang , bireuen , jumat ( 20/3/2020 ) sangat parah .</x:v>
      </x:c>
      <x:c r="C511" s="4" t="str">
        <x:v>FIRE</x:v>
      </x:c>
      <x:c r="D511" s="4" t="str">
        <x:v>FIRE</x:v>
      </x:c>
      <x:c r="E511" s="12" t="str">
        <x:v>SETUJU_USULAN</x:v>
      </x:c>
      <x:c r="F511" s="12" t="str"/>
      <x:c r="G511" s="12" t="str">
        <x:v>Narasi menyatakan kejadian kebakaran yang terjadi atau telah terjadi. Label mengikuti isi kejadian, termasuk penanganan dan dampak yang disebut. R1,R4.</x:v>
      </x:c>
      <x:c r="H511" s="4" t="str">
        <x:f>IF(E511="SETUJU_USULAN",D511,IF(E511="KOREKSI",F511,""))</x:f>
        <x:v>FIRE</x:v>
      </x:c>
      <x:c r="I511" s="4" t="str">
        <x:f>IF(E511="","BELUM_DIREVIEW",IF(E511="TUNDA","DITUNDA",IF(TRIM(Panduan!$B$5)="","ISI_REVIEWER",IF(AND(E511&lt;&gt;"SETUJU_USULAN",E511&lt;&gt;"KOREKSI"),"CEK_KEPUTUSAN",IF(AND(E511="SETUJU_USULAN",F511&lt;&gt;""),"HAPUS_KOREKSI",IF(H511="","ISI_KOREKSI",IF(NOT(OR(H511="FLOOD",H511="EARTHQUAKE",H511="FIRE",H511="ACCIDENT",H511="NON_EVENT")),"CEK_LABEL",IF(AND(E511="KOREKSI",TRIM(G511)=""),"ISI_CATATAN","REVIEW_TERCATAT"))))))))</x:f>
        <x:v>REVIEW_TERCATAT</x:v>
      </x:c>
      <x:c r="J511" s="4" t="str">
        <x:v>Label dataset dan prediksi baseline sama; makna MVP belum direview. Kesepakatan keduanya belum membuktikan label final.</x:v>
      </x:c>
      <x:c r="K511" s="4" t="str">
        <x:v>FIRE</x:v>
      </x:c>
      <x:c r="L511" s="14" t="n">
        <x:v>0.9924513697624207</x:v>
      </x:c>
    </x:row>
    <x:row r="512" ht="64" customHeight="1">
      <x:c r="A512" s="4" t="str">
        <x:v>KEC-00298</x:v>
      </x:c>
      <x:c r="B512" s="4" t="str">
        <x:v>mobil tabrak truk 2 tewas tergencet kecelakaan maut di jalur utama singaraja-gilimanuk</x:v>
      </x:c>
      <x:c r="C512" s="4" t="str">
        <x:v>ACCIDENT</x:v>
      </x:c>
      <x:c r="D512" s="4" t="str">
        <x:v>ACCIDENT</x:v>
      </x:c>
      <x:c r="E512" s="12" t="str">
        <x:v>SETUJU_USULAN</x:v>
      </x:c>
      <x:c r="F512" s="12" t="str"/>
      <x:c r="G512" s="12" t="str">
        <x:v>Narasi menyatakan kejadian kecelakaan yang terjadi atau telah terjadi. Label mengikuti isi kejadian, termasuk penanganan dan dampak yang disebut. R1,R4.</x:v>
      </x:c>
      <x:c r="H512" s="4" t="str">
        <x:f>IF(E512="SETUJU_USULAN",D512,IF(E512="KOREKSI",F512,""))</x:f>
        <x:v>ACCIDENT</x:v>
      </x:c>
      <x:c r="I512" s="4" t="str">
        <x:f>IF(E512="","BELUM_DIREVIEW",IF(E512="TUNDA","DITUNDA",IF(TRIM(Panduan!$B$5)="","ISI_REVIEWER",IF(AND(E512&lt;&gt;"SETUJU_USULAN",E512&lt;&gt;"KOREKSI"),"CEK_KEPUTUSAN",IF(AND(E512="SETUJU_USULAN",F512&lt;&gt;""),"HAPUS_KOREKSI",IF(H512="","ISI_KOREKSI",IF(NOT(OR(H512="FLOOD",H512="EARTHQUAKE",H512="FIRE",H512="ACCIDENT",H512="NON_EVENT")),"CEK_LABEL",IF(AND(E512="KOREKSI",TRIM(G512)=""),"ISI_CATATAN","REVIEW_TERCATAT"))))))))</x:f>
        <x:v>REVIEW_TERCATAT</x:v>
      </x:c>
      <x:c r="J512" s="4" t="str">
        <x:v>Label dataset dan prediksi baseline sama; makna MVP belum direview. Kesepakatan keduanya belum membuktikan label final.</x:v>
      </x:c>
      <x:c r="K512" s="4" t="str">
        <x:v>ACCIDENT</x:v>
      </x:c>
      <x:c r="L512" s="14" t="n">
        <x:v>0.9924581050872803</x:v>
      </x:c>
    </x:row>
    <x:row r="513" ht="64" customHeight="1">
      <x:c r="A513" s="4" t="str">
        <x:v>KEB-00627</x:v>
      </x:c>
      <x:c r="B513" s="4" t="str">
        <x:v>sabtu 25 juli 2020 kebakaran rumah kontrakan di jl . pinang raya rt 1 rw 9 , kel . pondok labu , kec . cilandak , penanganan : 12 unit damkar , sudah dalam penanganan petugas . . . info bagasadtyap . .</x:v>
      </x:c>
      <x:c r="C513" s="4" t="str">
        <x:v>FIRE</x:v>
      </x:c>
      <x:c r="D513" s="4" t="str">
        <x:v>FIRE</x:v>
      </x:c>
      <x:c r="E513" s="12" t="str">
        <x:v>SETUJU_USULAN</x:v>
      </x:c>
      <x:c r="F513" s="12" t="str"/>
      <x:c r="G513" s="12" t="str">
        <x:v>Narasi menyatakan kejadian kebakaran yang terjadi atau telah terjadi. Label mengikuti isi kejadian, termasuk penanganan dan dampak yang disebut. R1,R4.</x:v>
      </x:c>
      <x:c r="H513" s="4" t="str">
        <x:f>IF(E513="SETUJU_USULAN",D513,IF(E513="KOREKSI",F513,""))</x:f>
        <x:v>FIRE</x:v>
      </x:c>
      <x:c r="I513" s="4" t="str">
        <x:f>IF(E513="","BELUM_DIREVIEW",IF(E513="TUNDA","DITUNDA",IF(TRIM(Panduan!$B$5)="","ISI_REVIEWER",IF(AND(E513&lt;&gt;"SETUJU_USULAN",E513&lt;&gt;"KOREKSI"),"CEK_KEPUTUSAN",IF(AND(E513="SETUJU_USULAN",F513&lt;&gt;""),"HAPUS_KOREKSI",IF(H513="","ISI_KOREKSI",IF(NOT(OR(H513="FLOOD",H513="EARTHQUAKE",H513="FIRE",H513="ACCIDENT",H513="NON_EVENT")),"CEK_LABEL",IF(AND(E513="KOREKSI",TRIM(G513)=""),"ISI_CATATAN","REVIEW_TERCATAT"))))))))</x:f>
        <x:v>REVIEW_TERCATAT</x:v>
      </x:c>
      <x:c r="J513" s="4" t="str">
        <x:v>Label dataset dan prediksi baseline sama; makna MVP belum direview. Kesepakatan keduanya belum membuktikan label final.</x:v>
      </x:c>
      <x:c r="K513" s="4" t="str">
        <x:v>FIRE</x:v>
      </x:c>
      <x:c r="L513" s="14" t="n">
        <x:v>0.9924587607383728</x:v>
      </x:c>
    </x:row>
    <x:row r="514" ht="64" customHeight="1">
      <x:c r="A514" s="4" t="str">
        <x:v>KEC-01034</x:v>
      </x:c>
      <x:c r="B514" s="4" t="str">
        <x:v>radio andika 633 update kecelakaan di jalan erlangga sukorejo ngasem kediri setelah melakukan olah tkp iptu moh nakrowi kasubsektor ngasem kediri mengatakan kecelakaan yang terjadi di jalan erlangga melibatkan</x:v>
      </x:c>
      <x:c r="C514" s="4" t="str">
        <x:v>ACCIDENT</x:v>
      </x:c>
      <x:c r="D514" s="4" t="str">
        <x:v>ACCIDENT</x:v>
      </x:c>
      <x:c r="E514" s="12" t="str">
        <x:v>SETUJU_USULAN</x:v>
      </x:c>
      <x:c r="F514" s="12" t="str"/>
      <x:c r="G514" s="12" t="str">
        <x:v>Narasi menyatakan kejadian kecelakaan yang terjadi atau telah terjadi. Label mengikuti isi kejadian, termasuk penanganan dan dampak yang disebut. R1,R4.</x:v>
      </x:c>
      <x:c r="H514" s="4" t="str">
        <x:f>IF(E514="SETUJU_USULAN",D514,IF(E514="KOREKSI",F514,""))</x:f>
        <x:v>ACCIDENT</x:v>
      </x:c>
      <x:c r="I514" s="4" t="str">
        <x:f>IF(E514="","BELUM_DIREVIEW",IF(E514="TUNDA","DITUNDA",IF(TRIM(Panduan!$B$5)="","ISI_REVIEWER",IF(AND(E514&lt;&gt;"SETUJU_USULAN",E514&lt;&gt;"KOREKSI"),"CEK_KEPUTUSAN",IF(AND(E514="SETUJU_USULAN",F514&lt;&gt;""),"HAPUS_KOREKSI",IF(H514="","ISI_KOREKSI",IF(NOT(OR(H514="FLOOD",H514="EARTHQUAKE",H514="FIRE",H514="ACCIDENT",H514="NON_EVENT")),"CEK_LABEL",IF(AND(E514="KOREKSI",TRIM(G514)=""),"ISI_CATATAN","REVIEW_TERCATAT"))))))))</x:f>
        <x:v>REVIEW_TERCATAT</x:v>
      </x:c>
      <x:c r="J514" s="4" t="str">
        <x:v>Label dataset dan prediksi baseline sama; makna MVP belum direview. Kesepakatan keduanya belum membuktikan label final.</x:v>
      </x:c>
      <x:c r="K514" s="4" t="str">
        <x:v>ACCIDENT</x:v>
      </x:c>
      <x:c r="L514" s="14" t="n">
        <x:v>0.9924710988998413</x:v>
      </x:c>
    </x:row>
    <x:row r="515" ht="64" customHeight="1">
      <x:c r="A515" s="4" t="str">
        <x:v>KEC-00349</x:v>
      </x:c>
      <x:c r="B515" s="4" t="str">
        <x:v>telah terjadi kecelakaan tunggal di jalan bedahulu gatsu mobil menabrak beton separator pemisah</x:v>
      </x:c>
      <x:c r="C515" s="4" t="str">
        <x:v>ACCIDENT</x:v>
      </x:c>
      <x:c r="D515" s="4" t="str">
        <x:v>ACCIDENT</x:v>
      </x:c>
      <x:c r="E515" s="12" t="str">
        <x:v>SETUJU_USULAN</x:v>
      </x:c>
      <x:c r="F515" s="12" t="str"/>
      <x:c r="G515" s="12" t="str">
        <x:v>Narasi menyatakan kejadian kecelakaan yang terjadi atau telah terjadi. Label mengikuti isi kejadian, termasuk penanganan dan dampak yang disebut. R1,R4.</x:v>
      </x:c>
      <x:c r="H515" s="4" t="str">
        <x:f>IF(E515="SETUJU_USULAN",D515,IF(E515="KOREKSI",F515,""))</x:f>
        <x:v>ACCIDENT</x:v>
      </x:c>
      <x:c r="I515" s="4" t="str">
        <x:f>IF(E515="","BELUM_DIREVIEW",IF(E515="TUNDA","DITUNDA",IF(TRIM(Panduan!$B$5)="","ISI_REVIEWER",IF(AND(E515&lt;&gt;"SETUJU_USULAN",E515&lt;&gt;"KOREKSI"),"CEK_KEPUTUSAN",IF(AND(E515="SETUJU_USULAN",F515&lt;&gt;""),"HAPUS_KOREKSI",IF(H515="","ISI_KOREKSI",IF(NOT(OR(H515="FLOOD",H515="EARTHQUAKE",H515="FIRE",H515="ACCIDENT",H515="NON_EVENT")),"CEK_LABEL",IF(AND(E515="KOREKSI",TRIM(G515)=""),"ISI_CATATAN","REVIEW_TERCATAT"))))))))</x:f>
        <x:v>REVIEW_TERCATAT</x:v>
      </x:c>
      <x:c r="J515" s="4" t="str">
        <x:v>Label dataset dan prediksi baseline sama; makna MVP belum direview. Kesepakatan keduanya belum membuktikan label final.</x:v>
      </x:c>
      <x:c r="K515" s="4" t="str">
        <x:v>ACCIDENT</x:v>
      </x:c>
      <x:c r="L515" s="14" t="n">
        <x:v>0.9924758076667786</x:v>
      </x:c>
    </x:row>
    <x:row r="516" ht="64" customHeight="1">
      <x:c r="A516" s="4" t="str">
        <x:v>KEB-00609</x:v>
      </x:c>
      <x:c r="B516" s="4" t="str">
        <x:v>kebakaran di jalan patimura , maesa , palu</x:v>
      </x:c>
      <x:c r="C516" s="4" t="str">
        <x:v>FIRE</x:v>
      </x:c>
      <x:c r="D516" s="4" t="str">
        <x:v>FIRE</x:v>
      </x:c>
      <x:c r="E516" s="12" t="str">
        <x:v>SETUJU_USULAN</x:v>
      </x:c>
      <x:c r="F516" s="12" t="str"/>
      <x:c r="G516" s="12" t="str">
        <x:v>Narasi menyatakan kejadian kebakaran yang terjadi atau telah terjadi. Label mengikuti isi kejadian, termasuk penanganan dan dampak yang disebut. R1,R4.</x:v>
      </x:c>
      <x:c r="H516" s="4" t="str">
        <x:f>IF(E516="SETUJU_USULAN",D516,IF(E516="KOREKSI",F516,""))</x:f>
        <x:v>FIRE</x:v>
      </x:c>
      <x:c r="I516" s="4" t="str">
        <x:f>IF(E516="","BELUM_DIREVIEW",IF(E516="TUNDA","DITUNDA",IF(TRIM(Panduan!$B$5)="","ISI_REVIEWER",IF(AND(E516&lt;&gt;"SETUJU_USULAN",E516&lt;&gt;"KOREKSI"),"CEK_KEPUTUSAN",IF(AND(E516="SETUJU_USULAN",F516&lt;&gt;""),"HAPUS_KOREKSI",IF(H516="","ISI_KOREKSI",IF(NOT(OR(H516="FLOOD",H516="EARTHQUAKE",H516="FIRE",H516="ACCIDENT",H516="NON_EVENT")),"CEK_LABEL",IF(AND(E516="KOREKSI",TRIM(G516)=""),"ISI_CATATAN","REVIEW_TERCATAT"))))))))</x:f>
        <x:v>REVIEW_TERCATAT</x:v>
      </x:c>
      <x:c r="J516" s="4" t="str">
        <x:v>Label dataset dan prediksi baseline sama; makna MVP belum direview. Kesepakatan keduanya belum membuktikan label final.</x:v>
      </x:c>
      <x:c r="K516" s="4" t="str">
        <x:v>FIRE</x:v>
      </x:c>
      <x:c r="L516" s="14" t="n">
        <x:v>0.9925218224525452</x:v>
      </x:c>
    </x:row>
    <x:row r="517" ht="64" customHeight="1">
      <x:c r="A517" s="4" t="str">
        <x:v>KEB-01093</x:v>
      </x:c>
      <x:c r="B517" s="4" t="str">
        <x:v>kebakaran hanguskan 7 rumah semi permanen di matraman , jakarta timur dan ikuti berita lain nya di situs</x:v>
      </x:c>
      <x:c r="C517" s="4" t="str">
        <x:v>FIRE</x:v>
      </x:c>
      <x:c r="D517" s="4" t="str">
        <x:v>FIRE</x:v>
      </x:c>
      <x:c r="E517" s="12" t="str">
        <x:v>SETUJU_USULAN</x:v>
      </x:c>
      <x:c r="F517" s="12" t="str"/>
      <x:c r="G517" s="12" t="str">
        <x:v>Narasi menyatakan kejadian kebakaran yang terjadi atau telah terjadi. Label mengikuti isi kejadian, termasuk penanganan dan dampak yang disebut. R1,R4.</x:v>
      </x:c>
      <x:c r="H517" s="4" t="str">
        <x:f>IF(E517="SETUJU_USULAN",D517,IF(E517="KOREKSI",F517,""))</x:f>
        <x:v>FIRE</x:v>
      </x:c>
      <x:c r="I517" s="4" t="str">
        <x:f>IF(E517="","BELUM_DIREVIEW",IF(E517="TUNDA","DITUNDA",IF(TRIM(Panduan!$B$5)="","ISI_REVIEWER",IF(AND(E517&lt;&gt;"SETUJU_USULAN",E517&lt;&gt;"KOREKSI"),"CEK_KEPUTUSAN",IF(AND(E517="SETUJU_USULAN",F517&lt;&gt;""),"HAPUS_KOREKSI",IF(H517="","ISI_KOREKSI",IF(NOT(OR(H517="FLOOD",H517="EARTHQUAKE",H517="FIRE",H517="ACCIDENT",H517="NON_EVENT")),"CEK_LABEL",IF(AND(E517="KOREKSI",TRIM(G517)=""),"ISI_CATATAN","REVIEW_TERCATAT"))))))))</x:f>
        <x:v>REVIEW_TERCATAT</x:v>
      </x:c>
      <x:c r="J517" s="4" t="str">
        <x:v>Label dataset dan prediksi baseline sama; makna MVP belum direview. Kesepakatan keduanya belum membuktikan label final.</x:v>
      </x:c>
      <x:c r="K517" s="4" t="str">
        <x:v>FIRE</x:v>
      </x:c>
      <x:c r="L517" s="14" t="n">
        <x:v>0.9925245642662048</x:v>
      </x:c>
    </x:row>
    <x:row r="518" ht="64" customHeight="1">
      <x:c r="A518" s="4" t="str">
        <x:v>KEC-01029</x:v>
      </x:c>
      <x:c r="B518" s="4" t="str">
        <x:v>kecelakaan di kawasan gunung manggah jalan oto iskandardinata sekitar pukul 02:40 dini hari tadi</x:v>
      </x:c>
      <x:c r="C518" s="4" t="str">
        <x:v>ACCIDENT</x:v>
      </x:c>
      <x:c r="D518" s="4" t="str">
        <x:v>ACCIDENT</x:v>
      </x:c>
      <x:c r="E518" s="12" t="str">
        <x:v>SETUJU_USULAN</x:v>
      </x:c>
      <x:c r="F518" s="12" t="str"/>
      <x:c r="G518" s="12" t="str">
        <x:v>Narasi menyatakan kejadian kecelakaan yang terjadi atau telah terjadi. Label mengikuti isi kejadian, termasuk penanganan dan dampak yang disebut. R1,R4.</x:v>
      </x:c>
      <x:c r="H518" s="4" t="str">
        <x:f>IF(E518="SETUJU_USULAN",D518,IF(E518="KOREKSI",F518,""))</x:f>
        <x:v>ACCIDENT</x:v>
      </x:c>
      <x:c r="I518" s="4" t="str">
        <x:f>IF(E518="","BELUM_DIREVIEW",IF(E518="TUNDA","DITUNDA",IF(TRIM(Panduan!$B$5)="","ISI_REVIEWER",IF(AND(E518&lt;&gt;"SETUJU_USULAN",E518&lt;&gt;"KOREKSI"),"CEK_KEPUTUSAN",IF(AND(E518="SETUJU_USULAN",F518&lt;&gt;""),"HAPUS_KOREKSI",IF(H518="","ISI_KOREKSI",IF(NOT(OR(H518="FLOOD",H518="EARTHQUAKE",H518="FIRE",H518="ACCIDENT",H518="NON_EVENT")),"CEK_LABEL",IF(AND(E518="KOREKSI",TRIM(G518)=""),"ISI_CATATAN","REVIEW_TERCATAT"))))))))</x:f>
        <x:v>REVIEW_TERCATAT</x:v>
      </x:c>
      <x:c r="J518" s="4" t="str">
        <x:v>Label dataset dan prediksi baseline sama; makna MVP belum direview. Kesepakatan keduanya belum membuktikan label final.</x:v>
      </x:c>
      <x:c r="K518" s="4" t="str">
        <x:v>ACCIDENT</x:v>
      </x:c>
      <x:c r="L518" s="14" t="n">
        <x:v>0.9925321936607361</x:v>
      </x:c>
    </x:row>
    <x:row r="519" ht="64" customHeight="1">
      <x:c r="A519" s="4" t="str">
        <x:v>KEC-01197</x:v>
      </x:c>
      <x:c r="B519" s="4" t="str">
        <x:v>0:04:21 wib kuningan km 5 - semanggi km 7 padat ada penanganan kecelakaan di lajur 1/kiri dan bahu jalan cengkareng - pluit - tomang - cawang lancar</x:v>
      </x:c>
      <x:c r="C519" s="4" t="str">
        <x:v>ACCIDENT</x:v>
      </x:c>
      <x:c r="D519" s="4" t="str">
        <x:v>ACCIDENT</x:v>
      </x:c>
      <x:c r="E519" s="12" t="str">
        <x:v>SETUJU_USULAN</x:v>
      </x:c>
      <x:c r="F519" s="12" t="str"/>
      <x:c r="G519" s="12" t="str">
        <x:v>Narasi menyatakan kejadian kecelakaan yang terjadi atau telah terjadi. Label mengikuti isi kejadian, termasuk penanganan dan dampak yang disebut. R1,R4.</x:v>
      </x:c>
      <x:c r="H519" s="4" t="str">
        <x:f>IF(E519="SETUJU_USULAN",D519,IF(E519="KOREKSI",F519,""))</x:f>
        <x:v>ACCIDENT</x:v>
      </x:c>
      <x:c r="I519" s="4" t="str">
        <x:f>IF(E519="","BELUM_DIREVIEW",IF(E519="TUNDA","DITUNDA",IF(TRIM(Panduan!$B$5)="","ISI_REVIEWER",IF(AND(E519&lt;&gt;"SETUJU_USULAN",E519&lt;&gt;"KOREKSI"),"CEK_KEPUTUSAN",IF(AND(E519="SETUJU_USULAN",F519&lt;&gt;""),"HAPUS_KOREKSI",IF(H519="","ISI_KOREKSI",IF(NOT(OR(H519="FLOOD",H519="EARTHQUAKE",H519="FIRE",H519="ACCIDENT",H519="NON_EVENT")),"CEK_LABEL",IF(AND(E519="KOREKSI",TRIM(G519)=""),"ISI_CATATAN","REVIEW_TERCATAT"))))))))</x:f>
        <x:v>REVIEW_TERCATAT</x:v>
      </x:c>
      <x:c r="J519" s="4" t="str">
        <x:v>Label dataset dan prediksi baseline sama; makna MVP belum direview. Kesepakatan keduanya belum membuktikan label final.</x:v>
      </x:c>
      <x:c r="K519" s="4" t="str">
        <x:v>ACCIDENT</x:v>
      </x:c>
      <x:c r="L519" s="14" t="n">
        <x:v>0.9925373196601868</x:v>
      </x:c>
    </x:row>
    <x:row r="520" ht="64" customHeight="1">
      <x:c r="A520" s="4" t="str">
        <x:v>KEB-00806</x:v>
      </x:c>
      <x:c r="B520" s="4" t="str">
        <x:v>kebakaran di sumpang parepare , 8 rumah hangus , kerugian ratusan juta , tak ada korban jiwa , 10 kk dievakuasi via</x:v>
      </x:c>
      <x:c r="C520" s="4" t="str">
        <x:v>FIRE</x:v>
      </x:c>
      <x:c r="D520" s="4" t="str">
        <x:v>FIRE</x:v>
      </x:c>
      <x:c r="E520" s="12" t="str">
        <x:v>SETUJU_USULAN</x:v>
      </x:c>
      <x:c r="F520" s="12" t="str"/>
      <x:c r="G520" s="12" t="str">
        <x:v>Narasi menyatakan kejadian kebakaran yang terjadi atau telah terjadi. Label mengikuti isi kejadian, termasuk penanganan dan dampak yang disebut. R1,R4.</x:v>
      </x:c>
      <x:c r="H520" s="4" t="str">
        <x:f>IF(E520="SETUJU_USULAN",D520,IF(E520="KOREKSI",F520,""))</x:f>
        <x:v>FIRE</x:v>
      </x:c>
      <x:c r="I520" s="4" t="str">
        <x:f>IF(E520="","BELUM_DIREVIEW",IF(E520="TUNDA","DITUNDA",IF(TRIM(Panduan!$B$5)="","ISI_REVIEWER",IF(AND(E520&lt;&gt;"SETUJU_USULAN",E520&lt;&gt;"KOREKSI"),"CEK_KEPUTUSAN",IF(AND(E520="SETUJU_USULAN",F520&lt;&gt;""),"HAPUS_KOREKSI",IF(H520="","ISI_KOREKSI",IF(NOT(OR(H520="FLOOD",H520="EARTHQUAKE",H520="FIRE",H520="ACCIDENT",H520="NON_EVENT")),"CEK_LABEL",IF(AND(E520="KOREKSI",TRIM(G520)=""),"ISI_CATATAN","REVIEW_TERCATAT"))))))))</x:f>
        <x:v>REVIEW_TERCATAT</x:v>
      </x:c>
      <x:c r="J520" s="4" t="str">
        <x:v>Label dataset dan prediksi baseline sama; makna MVP belum direview. Kesepakatan keduanya belum membuktikan label final.</x:v>
      </x:c>
      <x:c r="K520" s="4" t="str">
        <x:v>FIRE</x:v>
      </x:c>
      <x:c r="L520" s="14" t="n">
        <x:v>0.9925413131713867</x:v>
      </x:c>
    </x:row>
    <x:row r="521" ht="64" customHeight="1">
      <x:c r="A521" s="4" t="str">
        <x:v>KEC-01457</x:v>
      </x:c>
      <x:c r="B521" s="4" t="str">
        <x:v>0:06 wib jatiasih kamu 40+800 arah tmii padat ada penanganan kecelakaan bambu hapus km 34 arah tmii padat ada perbaikan jembatan penyebrangan orang di lajur 1/kiri dan bahu jalan</x:v>
      </x:c>
      <x:c r="C521" s="4" t="str">
        <x:v>ACCIDENT</x:v>
      </x:c>
      <x:c r="D521" s="4" t="str">
        <x:v>ACCIDENT</x:v>
      </x:c>
      <x:c r="E521" s="12" t="str">
        <x:v>SETUJU_USULAN</x:v>
      </x:c>
      <x:c r="F521" s="12" t="str"/>
      <x:c r="G521" s="12" t="str">
        <x:v>Narasi menyatakan kejadian kecelakaan yang terjadi atau telah terjadi. Label mengikuti isi kejadian, termasuk penanganan dan dampak yang disebut. R1,R4.</x:v>
      </x:c>
      <x:c r="H521" s="4" t="str">
        <x:f>IF(E521="SETUJU_USULAN",D521,IF(E521="KOREKSI",F521,""))</x:f>
        <x:v>ACCIDENT</x:v>
      </x:c>
      <x:c r="I521" s="4" t="str">
        <x:f>IF(E521="","BELUM_DIREVIEW",IF(E521="TUNDA","DITUNDA",IF(TRIM(Panduan!$B$5)="","ISI_REVIEWER",IF(AND(E521&lt;&gt;"SETUJU_USULAN",E521&lt;&gt;"KOREKSI"),"CEK_KEPUTUSAN",IF(AND(E521="SETUJU_USULAN",F521&lt;&gt;""),"HAPUS_KOREKSI",IF(H521="","ISI_KOREKSI",IF(NOT(OR(H521="FLOOD",H521="EARTHQUAKE",H521="FIRE",H521="ACCIDENT",H521="NON_EVENT")),"CEK_LABEL",IF(AND(E521="KOREKSI",TRIM(G521)=""),"ISI_CATATAN","REVIEW_TERCATAT"))))))))</x:f>
        <x:v>REVIEW_TERCATAT</x:v>
      </x:c>
      <x:c r="J521" s="4" t="str">
        <x:v>Label dataset dan prediksi baseline sama; makna MVP belum direview. Kesepakatan keduanya belum membuktikan label final.</x:v>
      </x:c>
      <x:c r="K521" s="4" t="str">
        <x:v>ACCIDENT</x:v>
      </x:c>
      <x:c r="L521" s="14" t="n">
        <x:v>0.9925512075424194</x:v>
      </x:c>
    </x:row>
    <x:row r="522" ht="64" customHeight="1">
      <x:c r="A522" s="4" t="str">
        <x:v>KEC-01346</x:v>
      </x:c>
      <x:c r="B522" s="4" t="str">
        <x:v>kecelakaan bus di km 143 tol cipali arus lalu lintas padat kecelakaan diduga kak</x:v>
      </x:c>
      <x:c r="C522" s="4" t="str">
        <x:v>ACCIDENT</x:v>
      </x:c>
      <x:c r="D522" s="4" t="str">
        <x:v>ACCIDENT</x:v>
      </x:c>
      <x:c r="E522" s="12" t="str">
        <x:v>SETUJU_USULAN</x:v>
      </x:c>
      <x:c r="F522" s="12" t="str"/>
      <x:c r="G522" s="12" t="str">
        <x:v>Narasi menyatakan kejadian kecelakaan yang terjadi atau telah terjadi. Label mengikuti isi kejadian, termasuk penanganan dan dampak yang disebut. R1,R4.</x:v>
      </x:c>
      <x:c r="H522" s="4" t="str">
        <x:f>IF(E522="SETUJU_USULAN",D522,IF(E522="KOREKSI",F522,""))</x:f>
        <x:v>ACCIDENT</x:v>
      </x:c>
      <x:c r="I522" s="4" t="str">
        <x:f>IF(E522="","BELUM_DIREVIEW",IF(E522="TUNDA","DITUNDA",IF(TRIM(Panduan!$B$5)="","ISI_REVIEWER",IF(AND(E522&lt;&gt;"SETUJU_USULAN",E522&lt;&gt;"KOREKSI"),"CEK_KEPUTUSAN",IF(AND(E522="SETUJU_USULAN",F522&lt;&gt;""),"HAPUS_KOREKSI",IF(H522="","ISI_KOREKSI",IF(NOT(OR(H522="FLOOD",H522="EARTHQUAKE",H522="FIRE",H522="ACCIDENT",H522="NON_EVENT")),"CEK_LABEL",IF(AND(E522="KOREKSI",TRIM(G522)=""),"ISI_CATATAN","REVIEW_TERCATAT"))))))))</x:f>
        <x:v>REVIEW_TERCATAT</x:v>
      </x:c>
      <x:c r="J522" s="4" t="str">
        <x:v>Label dataset dan prediksi baseline sama; makna MVP belum direview. Kesepakatan keduanya belum membuktikan label final.</x:v>
      </x:c>
      <x:c r="K522" s="4" t="str">
        <x:v>ACCIDENT</x:v>
      </x:c>
      <x:c r="L522" s="14" t="n">
        <x:v>0.9925732612609863</x:v>
      </x:c>
    </x:row>
    <x:row r="523" ht="64" customHeight="1">
      <x:c r="A523" s="4" t="str">
        <x:v>KEC-01302</x:v>
      </x:c>
      <x:c r="B523" s="4" t="str">
        <x:v>km 28 jakarta cikampek ada kecelakaan beruntun di jalur 3</x:v>
      </x:c>
      <x:c r="C523" s="4" t="str">
        <x:v>ACCIDENT</x:v>
      </x:c>
      <x:c r="D523" s="4" t="str">
        <x:v>ACCIDENT</x:v>
      </x:c>
      <x:c r="E523" s="12" t="str">
        <x:v>SETUJU_USULAN</x:v>
      </x:c>
      <x:c r="F523" s="12" t="str"/>
      <x:c r="G523" s="12" t="str">
        <x:v>Narasi menyatakan kejadian kecelakaan yang terjadi atau telah terjadi. Label mengikuti isi kejadian, termasuk penanganan dan dampak yang disebut. R1,R4.</x:v>
      </x:c>
      <x:c r="H523" s="4" t="str">
        <x:f>IF(E523="SETUJU_USULAN",D523,IF(E523="KOREKSI",F523,""))</x:f>
        <x:v>ACCIDENT</x:v>
      </x:c>
      <x:c r="I523" s="4" t="str">
        <x:f>IF(E523="","BELUM_DIREVIEW",IF(E523="TUNDA","DITUNDA",IF(TRIM(Panduan!$B$5)="","ISI_REVIEWER",IF(AND(E523&lt;&gt;"SETUJU_USULAN",E523&lt;&gt;"KOREKSI"),"CEK_KEPUTUSAN",IF(AND(E523="SETUJU_USULAN",F523&lt;&gt;""),"HAPUS_KOREKSI",IF(H523="","ISI_KOREKSI",IF(NOT(OR(H523="FLOOD",H523="EARTHQUAKE",H523="FIRE",H523="ACCIDENT",H523="NON_EVENT")),"CEK_LABEL",IF(AND(E523="KOREKSI",TRIM(G523)=""),"ISI_CATATAN","REVIEW_TERCATAT"))))))))</x:f>
        <x:v>REVIEW_TERCATAT</x:v>
      </x:c>
      <x:c r="J523" s="4" t="str">
        <x:v>Label dataset dan prediksi baseline sama; makna MVP belum direview. Kesepakatan keduanya belum membuktikan label final.</x:v>
      </x:c>
      <x:c r="K523" s="4" t="str">
        <x:v>ACCIDENT</x:v>
      </x:c>
      <x:c r="L523" s="14" t="n">
        <x:v>0.9925877451896667</x:v>
      </x:c>
    </x:row>
    <x:row r="524" ht="64" customHeight="1">
      <x:c r="A524" s="4" t="str">
        <x:v>KEC-01470</x:v>
      </x:c>
      <x:c r="B524" s="4" t="str">
        <x:v>05:48 kecelakaan 3 kendaraan di km 24 tol cilandak ( arah ke lebak bulus ) &amp; amp sudah dalam penanganan polri</x:v>
      </x:c>
      <x:c r="C524" s="4" t="str">
        <x:v>ACCIDENT</x:v>
      </x:c>
      <x:c r="D524" s="4" t="str">
        <x:v>ACCIDENT</x:v>
      </x:c>
      <x:c r="E524" s="12" t="str">
        <x:v>SETUJU_USULAN</x:v>
      </x:c>
      <x:c r="F524" s="12" t="str"/>
      <x:c r="G524" s="12" t="str">
        <x:v>Narasi menyatakan kejadian kecelakaan yang terjadi atau telah terjadi. Label mengikuti isi kejadian, termasuk penanganan dan dampak yang disebut. R1,R4.</x:v>
      </x:c>
      <x:c r="H524" s="4" t="str">
        <x:f>IF(E524="SETUJU_USULAN",D524,IF(E524="KOREKSI",F524,""))</x:f>
        <x:v>ACCIDENT</x:v>
      </x:c>
      <x:c r="I524" s="4" t="str">
        <x:f>IF(E524="","BELUM_DIREVIEW",IF(E524="TUNDA","DITUNDA",IF(TRIM(Panduan!$B$5)="","ISI_REVIEWER",IF(AND(E524&lt;&gt;"SETUJU_USULAN",E524&lt;&gt;"KOREKSI"),"CEK_KEPUTUSAN",IF(AND(E524="SETUJU_USULAN",F524&lt;&gt;""),"HAPUS_KOREKSI",IF(H524="","ISI_KOREKSI",IF(NOT(OR(H524="FLOOD",H524="EARTHQUAKE",H524="FIRE",H524="ACCIDENT",H524="NON_EVENT")),"CEK_LABEL",IF(AND(E524="KOREKSI",TRIM(G524)=""),"ISI_CATATAN","REVIEW_TERCATAT"))))))))</x:f>
        <x:v>REVIEW_TERCATAT</x:v>
      </x:c>
      <x:c r="J524" s="4" t="str">
        <x:v>Label dataset dan prediksi baseline sama; makna MVP belum direview. Kesepakatan keduanya belum membuktikan label final.</x:v>
      </x:c>
      <x:c r="K524" s="4" t="str">
        <x:v>ACCIDENT</x:v>
      </x:c>
      <x:c r="L524" s="14" t="n">
        <x:v>0.992630124092102</x:v>
      </x:c>
    </x:row>
    <x:row r="525" ht="64" customHeight="1">
      <x:c r="A525" s="4" t="str">
        <x:v>KEC-01412</x:v>
      </x:c>
      <x:c r="B525" s="4" t="str">
        <x:v>0:04 wib hati-hati di bambu hapus kamu 34+050 arah tmii ada perbaikan jembatan karena kecelakaan di lajur 1/kiri</x:v>
      </x:c>
      <x:c r="C525" s="4" t="str">
        <x:v>ACCIDENT</x:v>
      </x:c>
      <x:c r="D525" s="4" t="str">
        <x:v>ACCIDENT</x:v>
      </x:c>
      <x:c r="E525" s="12" t="str">
        <x:v>SETUJU_USULAN</x:v>
      </x:c>
      <x:c r="F525" s="12" t="str"/>
      <x:c r="G525" s="12" t="str">
        <x:v>Narasi menyatakan kejadian kecelakaan yang terjadi atau telah terjadi. Label mengikuti isi kejadian, termasuk penanganan dan dampak yang disebut. R1,R4.</x:v>
      </x:c>
      <x:c r="H525" s="4" t="str">
        <x:f>IF(E525="SETUJU_USULAN",D525,IF(E525="KOREKSI",F525,""))</x:f>
        <x:v>ACCIDENT</x:v>
      </x:c>
      <x:c r="I525" s="4" t="str">
        <x:f>IF(E525="","BELUM_DIREVIEW",IF(E525="TUNDA","DITUNDA",IF(TRIM(Panduan!$B$5)="","ISI_REVIEWER",IF(AND(E525&lt;&gt;"SETUJU_USULAN",E525&lt;&gt;"KOREKSI"),"CEK_KEPUTUSAN",IF(AND(E525="SETUJU_USULAN",F525&lt;&gt;""),"HAPUS_KOREKSI",IF(H525="","ISI_KOREKSI",IF(NOT(OR(H525="FLOOD",H525="EARTHQUAKE",H525="FIRE",H525="ACCIDENT",H525="NON_EVENT")),"CEK_LABEL",IF(AND(E525="KOREKSI",TRIM(G525)=""),"ISI_CATATAN","REVIEW_TERCATAT"))))))))</x:f>
        <x:v>REVIEW_TERCATAT</x:v>
      </x:c>
      <x:c r="J525" s="4" t="str">
        <x:v>Label dataset dan prediksi baseline sama; makna MVP belum direview. Kesepakatan keduanya belum membuktikan label final.</x:v>
      </x:c>
      <x:c r="K525" s="4" t="str">
        <x:v>ACCIDENT</x:v>
      </x:c>
      <x:c r="L525" s="14" t="n">
        <x:v>0.9926329255104065</x:v>
      </x:c>
    </x:row>
    <x:row r="526" ht="64" customHeight="1">
      <x:c r="A526" s="4" t="str">
        <x:v>KEB-01006</x:v>
      </x:c>
      <x:c r="B526" s="4" t="str">
        <x:v>kebakaran melanda rumah di kampung rawa badung jatinegara . sebanyak 13 unit mobil pemadam kebakaran dikerahkan ke lokasi .</x:v>
      </x:c>
      <x:c r="C526" s="4" t="str">
        <x:v>FIRE</x:v>
      </x:c>
      <x:c r="D526" s="4" t="str">
        <x:v>FIRE</x:v>
      </x:c>
      <x:c r="E526" s="12" t="str">
        <x:v>SETUJU_USULAN</x:v>
      </x:c>
      <x:c r="F526" s="12" t="str"/>
      <x:c r="G526" s="12" t="str">
        <x:v>Narasi menyatakan kejadian kebakaran yang terjadi atau telah terjadi. Label mengikuti isi kejadian, termasuk penanganan dan dampak yang disebut. R1,R4.</x:v>
      </x:c>
      <x:c r="H526" s="4" t="str">
        <x:f>IF(E526="SETUJU_USULAN",D526,IF(E526="KOREKSI",F526,""))</x:f>
        <x:v>FIRE</x:v>
      </x:c>
      <x:c r="I526" s="4" t="str">
        <x:f>IF(E526="","BELUM_DIREVIEW",IF(E526="TUNDA","DITUNDA",IF(TRIM(Panduan!$B$5)="","ISI_REVIEWER",IF(AND(E526&lt;&gt;"SETUJU_USULAN",E526&lt;&gt;"KOREKSI"),"CEK_KEPUTUSAN",IF(AND(E526="SETUJU_USULAN",F526&lt;&gt;""),"HAPUS_KOREKSI",IF(H526="","ISI_KOREKSI",IF(NOT(OR(H526="FLOOD",H526="EARTHQUAKE",H526="FIRE",H526="ACCIDENT",H526="NON_EVENT")),"CEK_LABEL",IF(AND(E526="KOREKSI",TRIM(G526)=""),"ISI_CATATAN","REVIEW_TERCATAT"))))))))</x:f>
        <x:v>REVIEW_TERCATAT</x:v>
      </x:c>
      <x:c r="J526" s="4" t="str">
        <x:v>Label dataset dan prediksi baseline sama; makna MVP belum direview. Kesepakatan keduanya belum membuktikan label final.</x:v>
      </x:c>
      <x:c r="K526" s="4" t="str">
        <x:v>FIRE</x:v>
      </x:c>
      <x:c r="L526" s="14" t="n">
        <x:v>0.9926393032073975</x:v>
      </x:c>
    </x:row>
    <x:row r="527" ht="64" customHeight="1">
      <x:c r="A527" s="4" t="str">
        <x:v>KEC-01461</x:v>
      </x:c>
      <x:c r="B527" s="4" t="str">
        <x:v>304 : rt : kecelakaan truk enggak 1510 lah terguling di jembatan layang karet ( arah ke tanah abang )</x:v>
      </x:c>
      <x:c r="C527" s="4" t="str">
        <x:v>ACCIDENT</x:v>
      </x:c>
      <x:c r="D527" s="4" t="str">
        <x:v>ACCIDENT</x:v>
      </x:c>
      <x:c r="E527" s="12" t="str">
        <x:v>SETUJU_USULAN</x:v>
      </x:c>
      <x:c r="F527" s="12" t="str"/>
      <x:c r="G527" s="12" t="str">
        <x:v>Narasi menyatakan kejadian kecelakaan yang terjadi atau telah terjadi. Label mengikuti isi kejadian, termasuk penanganan dan dampak yang disebut. R1,R4.</x:v>
      </x:c>
      <x:c r="H527" s="4" t="str">
        <x:f>IF(E527="SETUJU_USULAN",D527,IF(E527="KOREKSI",F527,""))</x:f>
        <x:v>ACCIDENT</x:v>
      </x:c>
      <x:c r="I527" s="4" t="str">
        <x:f>IF(E527="","BELUM_DIREVIEW",IF(E527="TUNDA","DITUNDA",IF(TRIM(Panduan!$B$5)="","ISI_REVIEWER",IF(AND(E527&lt;&gt;"SETUJU_USULAN",E527&lt;&gt;"KOREKSI"),"CEK_KEPUTUSAN",IF(AND(E527="SETUJU_USULAN",F527&lt;&gt;""),"HAPUS_KOREKSI",IF(H527="","ISI_KOREKSI",IF(NOT(OR(H527="FLOOD",H527="EARTHQUAKE",H527="FIRE",H527="ACCIDENT",H527="NON_EVENT")),"CEK_LABEL",IF(AND(E527="KOREKSI",TRIM(G527)=""),"ISI_CATATAN","REVIEW_TERCATAT"))))))))</x:f>
        <x:v>REVIEW_TERCATAT</x:v>
      </x:c>
      <x:c r="J527" s="4" t="str">
        <x:v>Label dataset dan prediksi baseline sama; makna MVP belum direview. Kesepakatan keduanya belum membuktikan label final.</x:v>
      </x:c>
      <x:c r="K527" s="4" t="str">
        <x:v>ACCIDENT</x:v>
      </x:c>
      <x:c r="L527" s="14" t="n">
        <x:v>0.9926431775093079</x:v>
      </x:c>
    </x:row>
    <x:row r="528" ht="64" customHeight="1">
      <x:c r="A528" s="4" t="str">
        <x:v>KEC-01272</x:v>
      </x:c>
      <x:c r="B528" s="4" t="str">
        <x:v>634 : kecelakaan mobil elf dengan mitsubishi pajero sport di km 210 tol cipali</x:v>
      </x:c>
      <x:c r="C528" s="4" t="str">
        <x:v>ACCIDENT</x:v>
      </x:c>
      <x:c r="D528" s="4" t="str">
        <x:v>ACCIDENT</x:v>
      </x:c>
      <x:c r="E528" s="12" t="str">
        <x:v>SETUJU_USULAN</x:v>
      </x:c>
      <x:c r="F528" s="12" t="str"/>
      <x:c r="G528" s="12" t="str">
        <x:v>Narasi menyatakan kejadian kecelakaan yang terjadi atau telah terjadi. Label mengikuti isi kejadian, termasuk penanganan dan dampak yang disebut. R1,R4.</x:v>
      </x:c>
      <x:c r="H528" s="4" t="str">
        <x:f>IF(E528="SETUJU_USULAN",D528,IF(E528="KOREKSI",F528,""))</x:f>
        <x:v>ACCIDENT</x:v>
      </x:c>
      <x:c r="I528" s="4" t="str">
        <x:f>IF(E528="","BELUM_DIREVIEW",IF(E528="TUNDA","DITUNDA",IF(TRIM(Panduan!$B$5)="","ISI_REVIEWER",IF(AND(E528&lt;&gt;"SETUJU_USULAN",E528&lt;&gt;"KOREKSI"),"CEK_KEPUTUSAN",IF(AND(E528="SETUJU_USULAN",F528&lt;&gt;""),"HAPUS_KOREKSI",IF(H528="","ISI_KOREKSI",IF(NOT(OR(H528="FLOOD",H528="EARTHQUAKE",H528="FIRE",H528="ACCIDENT",H528="NON_EVENT")),"CEK_LABEL",IF(AND(E528="KOREKSI",TRIM(G528)=""),"ISI_CATATAN","REVIEW_TERCATAT"))))))))</x:f>
        <x:v>REVIEW_TERCATAT</x:v>
      </x:c>
      <x:c r="J528" s="4" t="str">
        <x:v>Label dataset dan prediksi baseline sama; makna MVP belum direview. Kesepakatan keduanya belum membuktikan label final.</x:v>
      </x:c>
      <x:c r="K528" s="4" t="str">
        <x:v>ACCIDENT</x:v>
      </x:c>
      <x:c r="L528" s="14" t="n">
        <x:v>0.9926446676254272</x:v>
      </x:c>
    </x:row>
    <x:row r="529" ht="64" customHeight="1">
      <x:c r="A529" s="4" t="str">
        <x:v>KEC-00255</x:v>
      </x:c>
      <x:c r="B529" s="4" t="str">
        <x:v>kecelakaan 2 mobil di km 11 tol cikampek arah jakarta innova tabrak beton pembatas di kanan jalan &amp; amp freed terperosok dikiri jalan</x:v>
      </x:c>
      <x:c r="C529" s="4" t="str">
        <x:v>ACCIDENT</x:v>
      </x:c>
      <x:c r="D529" s="4" t="str">
        <x:v>ACCIDENT</x:v>
      </x:c>
      <x:c r="E529" s="12" t="str">
        <x:v>SETUJU_USULAN</x:v>
      </x:c>
      <x:c r="F529" s="12" t="str"/>
      <x:c r="G529" s="12" t="str">
        <x:v>Narasi menyatakan kejadian kecelakaan yang terjadi atau telah terjadi. Label mengikuti isi kejadian, termasuk penanganan dan dampak yang disebut. R1,R4.</x:v>
      </x:c>
      <x:c r="H529" s="4" t="str">
        <x:f>IF(E529="SETUJU_USULAN",D529,IF(E529="KOREKSI",F529,""))</x:f>
        <x:v>ACCIDENT</x:v>
      </x:c>
      <x:c r="I529" s="4" t="str">
        <x:f>IF(E529="","BELUM_DIREVIEW",IF(E529="TUNDA","DITUNDA",IF(TRIM(Panduan!$B$5)="","ISI_REVIEWER",IF(AND(E529&lt;&gt;"SETUJU_USULAN",E529&lt;&gt;"KOREKSI"),"CEK_KEPUTUSAN",IF(AND(E529="SETUJU_USULAN",F529&lt;&gt;""),"HAPUS_KOREKSI",IF(H529="","ISI_KOREKSI",IF(NOT(OR(H529="FLOOD",H529="EARTHQUAKE",H529="FIRE",H529="ACCIDENT",H529="NON_EVENT")),"CEK_LABEL",IF(AND(E529="KOREKSI",TRIM(G529)=""),"ISI_CATATAN","REVIEW_TERCATAT"))))))))</x:f>
        <x:v>REVIEW_TERCATAT</x:v>
      </x:c>
      <x:c r="J529" s="4" t="str">
        <x:v>Label dataset dan prediksi baseline sama; makna MVP belum direview. Kesepakatan keduanya belum membuktikan label final.</x:v>
      </x:c>
      <x:c r="K529" s="4" t="str">
        <x:v>ACCIDENT</x:v>
      </x:c>
      <x:c r="L529" s="14" t="n">
        <x:v>0.9926450252532959</x:v>
      </x:c>
    </x:row>
    <x:row r="530" ht="64" customHeight="1">
      <x:c r="A530" s="4" t="str">
        <x:v>KEC-00359</x:v>
      </x:c>
      <x:c r="B530" s="4" t="str">
        <x:v>0:05:49 wib jtluhur km 84 - km 86 arah cileunyi padat dampak ada evakuasi kendaraan kecelakaan yang lalu di lajur kiri</x:v>
      </x:c>
      <x:c r="C530" s="4" t="str">
        <x:v>ACCIDENT</x:v>
      </x:c>
      <x:c r="D530" s="4" t="str">
        <x:v>ACCIDENT</x:v>
      </x:c>
      <x:c r="E530" s="12" t="str">
        <x:v>SETUJU_USULAN</x:v>
      </x:c>
      <x:c r="F530" s="12" t="str"/>
      <x:c r="G530" s="12" t="str">
        <x:v>Narasi menyatakan kejadian kecelakaan yang terjadi atau telah terjadi. Label mengikuti isi kejadian, termasuk penanganan dan dampak yang disebut. R1,R4.</x:v>
      </x:c>
      <x:c r="H530" s="4" t="str">
        <x:f>IF(E530="SETUJU_USULAN",D530,IF(E530="KOREKSI",F530,""))</x:f>
        <x:v>ACCIDENT</x:v>
      </x:c>
      <x:c r="I530" s="4" t="str">
        <x:f>IF(E530="","BELUM_DIREVIEW",IF(E530="TUNDA","DITUNDA",IF(TRIM(Panduan!$B$5)="","ISI_REVIEWER",IF(AND(E530&lt;&gt;"SETUJU_USULAN",E530&lt;&gt;"KOREKSI"),"CEK_KEPUTUSAN",IF(AND(E530="SETUJU_USULAN",F530&lt;&gt;""),"HAPUS_KOREKSI",IF(H530="","ISI_KOREKSI",IF(NOT(OR(H530="FLOOD",H530="EARTHQUAKE",H530="FIRE",H530="ACCIDENT",H530="NON_EVENT")),"CEK_LABEL",IF(AND(E530="KOREKSI",TRIM(G530)=""),"ISI_CATATAN","REVIEW_TERCATAT"))))))))</x:f>
        <x:v>REVIEW_TERCATAT</x:v>
      </x:c>
      <x:c r="J530" s="4" t="str">
        <x:v>Label dataset dan prediksi baseline sama; makna MVP belum direview. Kesepakatan keduanya belum membuktikan label final.</x:v>
      </x:c>
      <x:c r="K530" s="4" t="str">
        <x:v>ACCIDENT</x:v>
      </x:c>
      <x:c r="L530" s="14" t="n">
        <x:v>0.9926455020904541</x:v>
      </x:c>
    </x:row>
    <x:row r="531" ht="64" customHeight="1">
      <x:c r="A531" s="4" t="str">
        <x:v>KEC-01385</x:v>
      </x:c>
      <x:c r="B531" s="4" t="str">
        <x:v>630 ayani arah waru macet ada kecelakaan kayaknya di sebelum bundaran waru</x:v>
      </x:c>
      <x:c r="C531" s="4" t="str">
        <x:v>ACCIDENT</x:v>
      </x:c>
      <x:c r="D531" s="4" t="str">
        <x:v>ACCIDENT</x:v>
      </x:c>
      <x:c r="E531" s="12" t="str">
        <x:v>SETUJU_USULAN</x:v>
      </x:c>
      <x:c r="F531" s="12" t="str"/>
      <x:c r="G531" s="12" t="str">
        <x:v>Narasi menyatakan kejadian kecelakaan yang terjadi atau telah terjadi. Label mengikuti isi kejadian, termasuk penanganan dan dampak yang disebut. R1,R4.</x:v>
      </x:c>
      <x:c r="H531" s="4" t="str">
        <x:f>IF(E531="SETUJU_USULAN",D531,IF(E531="KOREKSI",F531,""))</x:f>
        <x:v>ACCIDENT</x:v>
      </x:c>
      <x:c r="I531" s="4" t="str">
        <x:f>IF(E531="","BELUM_DIREVIEW",IF(E531="TUNDA","DITUNDA",IF(TRIM(Panduan!$B$5)="","ISI_REVIEWER",IF(AND(E531&lt;&gt;"SETUJU_USULAN",E531&lt;&gt;"KOREKSI"),"CEK_KEPUTUSAN",IF(AND(E531="SETUJU_USULAN",F531&lt;&gt;""),"HAPUS_KOREKSI",IF(H531="","ISI_KOREKSI",IF(NOT(OR(H531="FLOOD",H531="EARTHQUAKE",H531="FIRE",H531="ACCIDENT",H531="NON_EVENT")),"CEK_LABEL",IF(AND(E531="KOREKSI",TRIM(G531)=""),"ISI_CATATAN","REVIEW_TERCATAT"))))))))</x:f>
        <x:v>REVIEW_TERCATAT</x:v>
      </x:c>
      <x:c r="J531" s="4" t="str">
        <x:v>Label dataset dan prediksi baseline sama; makna MVP belum direview. Kesepakatan keduanya belum membuktikan label final.</x:v>
      </x:c>
      <x:c r="K531" s="4" t="str">
        <x:v>ACCIDENT</x:v>
      </x:c>
      <x:c r="L531" s="14" t="n">
        <x:v>0.9926717281341553</x:v>
      </x:c>
    </x:row>
    <x:row r="532" ht="64" customHeight="1">
      <x:c r="A532" s="4" t="str">
        <x:v>KEC-01467</x:v>
      </x:c>
      <x:c r="B532" s="4" t="str">
        <x:v>6 juli | telah terjadi kecelakaan pagi ini di jalur utama denpasar - gilimanuk di daerah klatakan selalu hati-hati dijalan inggih semeton via</x:v>
      </x:c>
      <x:c r="C532" s="4" t="str">
        <x:v>ACCIDENT</x:v>
      </x:c>
      <x:c r="D532" s="4" t="str">
        <x:v>ACCIDENT</x:v>
      </x:c>
      <x:c r="E532" s="12" t="str">
        <x:v>SETUJU_USULAN</x:v>
      </x:c>
      <x:c r="F532" s="12" t="str"/>
      <x:c r="G532" s="12" t="str">
        <x:v>Narasi menyatakan kejadian kecelakaan yang terjadi atau telah terjadi. Label mengikuti isi kejadian, termasuk penanganan dan dampak yang disebut. R1,R4.</x:v>
      </x:c>
      <x:c r="H532" s="4" t="str">
        <x:f>IF(E532="SETUJU_USULAN",D532,IF(E532="KOREKSI",F532,""))</x:f>
        <x:v>ACCIDENT</x:v>
      </x:c>
      <x:c r="I532" s="4" t="str">
        <x:f>IF(E532="","BELUM_DIREVIEW",IF(E532="TUNDA","DITUNDA",IF(TRIM(Panduan!$B$5)="","ISI_REVIEWER",IF(AND(E532&lt;&gt;"SETUJU_USULAN",E532&lt;&gt;"KOREKSI"),"CEK_KEPUTUSAN",IF(AND(E532="SETUJU_USULAN",F532&lt;&gt;""),"HAPUS_KOREKSI",IF(H532="","ISI_KOREKSI",IF(NOT(OR(H532="FLOOD",H532="EARTHQUAKE",H532="FIRE",H532="ACCIDENT",H532="NON_EVENT")),"CEK_LABEL",IF(AND(E532="KOREKSI",TRIM(G532)=""),"ISI_CATATAN","REVIEW_TERCATAT"))))))))</x:f>
        <x:v>REVIEW_TERCATAT</x:v>
      </x:c>
      <x:c r="J532" s="4" t="str">
        <x:v>Label dataset dan prediksi baseline sama; makna MVP belum direview. Kesepakatan keduanya belum membuktikan label final.</x:v>
      </x:c>
      <x:c r="K532" s="4" t="str">
        <x:v>ACCIDENT</x:v>
      </x:c>
      <x:c r="L532" s="14" t="n">
        <x:v>0.9927054047584534</x:v>
      </x:c>
    </x:row>
    <x:row r="533" ht="64" customHeight="1">
      <x:c r="A533" s="4" t="str">
        <x:v>KEC-01190</x:v>
      </x:c>
      <x:c r="B533" s="4" t="str">
        <x:v>625 : rt kecelakaan di cibitung kamu 23+600 arah cawang terlibat 4 kendaraan di lajur 2-3-4/tengah-kanan selesai penanganan lalin padat dari cikarang barat km 33</x:v>
      </x:c>
      <x:c r="C533" s="4" t="str">
        <x:v>ACCIDENT</x:v>
      </x:c>
      <x:c r="D533" s="4" t="str">
        <x:v>ACCIDENT</x:v>
      </x:c>
      <x:c r="E533" s="12" t="str">
        <x:v>SETUJU_USULAN</x:v>
      </x:c>
      <x:c r="F533" s="12" t="str"/>
      <x:c r="G533" s="12" t="str">
        <x:v>Narasi menyatakan kejadian kecelakaan yang terjadi atau telah terjadi. Label mengikuti isi kejadian, termasuk penanganan dan dampak yang disebut. R1,R4.</x:v>
      </x:c>
      <x:c r="H533" s="4" t="str">
        <x:f>IF(E533="SETUJU_USULAN",D533,IF(E533="KOREKSI",F533,""))</x:f>
        <x:v>ACCIDENT</x:v>
      </x:c>
      <x:c r="I533" s="4" t="str">
        <x:f>IF(E533="","BELUM_DIREVIEW",IF(E533="TUNDA","DITUNDA",IF(TRIM(Panduan!$B$5)="","ISI_REVIEWER",IF(AND(E533&lt;&gt;"SETUJU_USULAN",E533&lt;&gt;"KOREKSI"),"CEK_KEPUTUSAN",IF(AND(E533="SETUJU_USULAN",F533&lt;&gt;""),"HAPUS_KOREKSI",IF(H533="","ISI_KOREKSI",IF(NOT(OR(H533="FLOOD",H533="EARTHQUAKE",H533="FIRE",H533="ACCIDENT",H533="NON_EVENT")),"CEK_LABEL",IF(AND(E533="KOREKSI",TRIM(G533)=""),"ISI_CATATAN","REVIEW_TERCATAT"))))))))</x:f>
        <x:v>REVIEW_TERCATAT</x:v>
      </x:c>
      <x:c r="J533" s="4" t="str">
        <x:v>Label dataset dan prediksi baseline sama; makna MVP belum direview. Kesepakatan keduanya belum membuktikan label final.</x:v>
      </x:c>
      <x:c r="K533" s="4" t="str">
        <x:v>ACCIDENT</x:v>
      </x:c>
      <x:c r="L533" s="14" t="n">
        <x:v>0.9927058815956116</x:v>
      </x:c>
    </x:row>
    <x:row r="534" ht="64" customHeight="1">
      <x:c r="A534" s="4" t="str">
        <x:v>KEC-01250</x:v>
      </x:c>
      <x:c r="B534" s="4" t="str">
        <x:v>hati-hati sekitar km 80 ruas tol purbaleunyi arah bandung ada kecelakaan 2 mbl pribadi di lajur kiri diduga ada korban help is on the way</x:v>
      </x:c>
      <x:c r="C534" s="4" t="str">
        <x:v>ACCIDENT</x:v>
      </x:c>
      <x:c r="D534" s="4" t="str">
        <x:v>ACCIDENT</x:v>
      </x:c>
      <x:c r="E534" s="12" t="str">
        <x:v>SETUJU_USULAN</x:v>
      </x:c>
      <x:c r="F534" s="12" t="str"/>
      <x:c r="G534" s="12" t="str">
        <x:v>Narasi menyatakan kejadian kecelakaan yang terjadi atau telah terjadi. Label mengikuti isi kejadian, termasuk penanganan dan dampak yang disebut. R1,R4.</x:v>
      </x:c>
      <x:c r="H534" s="4" t="str">
        <x:f>IF(E534="SETUJU_USULAN",D534,IF(E534="KOREKSI",F534,""))</x:f>
        <x:v>ACCIDENT</x:v>
      </x:c>
      <x:c r="I534" s="4" t="str">
        <x:f>IF(E534="","BELUM_DIREVIEW",IF(E534="TUNDA","DITUNDA",IF(TRIM(Panduan!$B$5)="","ISI_REVIEWER",IF(AND(E534&lt;&gt;"SETUJU_USULAN",E534&lt;&gt;"KOREKSI"),"CEK_KEPUTUSAN",IF(AND(E534="SETUJU_USULAN",F534&lt;&gt;""),"HAPUS_KOREKSI",IF(H534="","ISI_KOREKSI",IF(NOT(OR(H534="FLOOD",H534="EARTHQUAKE",H534="FIRE",H534="ACCIDENT",H534="NON_EVENT")),"CEK_LABEL",IF(AND(E534="KOREKSI",TRIM(G534)=""),"ISI_CATATAN","REVIEW_TERCATAT"))))))))</x:f>
        <x:v>REVIEW_TERCATAT</x:v>
      </x:c>
      <x:c r="J534" s="4" t="str">
        <x:v>Label dataset dan prediksi baseline sama; makna MVP belum direview. Kesepakatan keduanya belum membuktikan label final.</x:v>
      </x:c>
      <x:c r="K534" s="4" t="str">
        <x:v>ACCIDENT</x:v>
      </x:c>
      <x:c r="L534" s="14" t="n">
        <x:v>0.9927127957344055</x:v>
      </x:c>
    </x:row>
    <x:row r="535" ht="64" customHeight="1">
      <x:c r="A535" s="4" t="str">
        <x:v>KEC-01258</x:v>
      </x:c>
      <x:c r="B535" s="4" t="str">
        <x:v>633 : : evakuasi kecelakaan 3 mobil di tol merak km 41 arah ke jakarta masih penanganan lalu lintas padat</x:v>
      </x:c>
      <x:c r="C535" s="4" t="str">
        <x:v>ACCIDENT</x:v>
      </x:c>
      <x:c r="D535" s="4" t="str">
        <x:v>ACCIDENT</x:v>
      </x:c>
      <x:c r="E535" s="12" t="str">
        <x:v>SETUJU_USULAN</x:v>
      </x:c>
      <x:c r="F535" s="12" t="str"/>
      <x:c r="G535" s="12" t="str">
        <x:v>Narasi menyatakan kejadian kecelakaan yang terjadi atau telah terjadi. Label mengikuti isi kejadian, termasuk penanganan dan dampak yang disebut. R1,R4.</x:v>
      </x:c>
      <x:c r="H535" s="4" t="str">
        <x:f>IF(E535="SETUJU_USULAN",D535,IF(E535="KOREKSI",F535,""))</x:f>
        <x:v>ACCIDENT</x:v>
      </x:c>
      <x:c r="I535" s="4" t="str">
        <x:f>IF(E535="","BELUM_DIREVIEW",IF(E535="TUNDA","DITUNDA",IF(TRIM(Panduan!$B$5)="","ISI_REVIEWER",IF(AND(E535&lt;&gt;"SETUJU_USULAN",E535&lt;&gt;"KOREKSI"),"CEK_KEPUTUSAN",IF(AND(E535="SETUJU_USULAN",F535&lt;&gt;""),"HAPUS_KOREKSI",IF(H535="","ISI_KOREKSI",IF(NOT(OR(H535="FLOOD",H535="EARTHQUAKE",H535="FIRE",H535="ACCIDENT",H535="NON_EVENT")),"CEK_LABEL",IF(AND(E535="KOREKSI",TRIM(G535)=""),"ISI_CATATAN","REVIEW_TERCATAT"))))))))</x:f>
        <x:v>REVIEW_TERCATAT</x:v>
      </x:c>
      <x:c r="J535" s="4" t="str">
        <x:v>Label dataset dan prediksi baseline sama; makna MVP belum direview. Kesepakatan keduanya belum membuktikan label final.</x:v>
      </x:c>
      <x:c r="K535" s="4" t="str">
        <x:v>ACCIDENT</x:v>
      </x:c>
      <x:c r="L535" s="14" t="n">
        <x:v>0.9927196502685547</x:v>
      </x:c>
    </x:row>
    <x:row r="536" ht="64" customHeight="1">
      <x:c r="A536" s="4" t="str">
        <x:v>KEC-01237</x:v>
      </x:c>
      <x:c r="B536" s="4" t="str">
        <x:v>0:06:31 wib menjelang cikunir dari arah tmii padat kepadatan arah bekasi jatiwarna - bambu hapus km 35 padat ada penanganan kecelakaan di bahu jalan</x:v>
      </x:c>
      <x:c r="C536" s="4" t="str">
        <x:v>ACCIDENT</x:v>
      </x:c>
      <x:c r="D536" s="4" t="str">
        <x:v>ACCIDENT</x:v>
      </x:c>
      <x:c r="E536" s="12" t="str">
        <x:v>SETUJU_USULAN</x:v>
      </x:c>
      <x:c r="F536" s="12" t="str"/>
      <x:c r="G536" s="12" t="str">
        <x:v>Narasi menyatakan kejadian kecelakaan yang terjadi atau telah terjadi. Label mengikuti isi kejadian, termasuk penanganan dan dampak yang disebut. R1,R4.</x:v>
      </x:c>
      <x:c r="H536" s="4" t="str">
        <x:f>IF(E536="SETUJU_USULAN",D536,IF(E536="KOREKSI",F536,""))</x:f>
        <x:v>ACCIDENT</x:v>
      </x:c>
      <x:c r="I536" s="4" t="str">
        <x:f>IF(E536="","BELUM_DIREVIEW",IF(E536="TUNDA","DITUNDA",IF(TRIM(Panduan!$B$5)="","ISI_REVIEWER",IF(AND(E536&lt;&gt;"SETUJU_USULAN",E536&lt;&gt;"KOREKSI"),"CEK_KEPUTUSAN",IF(AND(E536="SETUJU_USULAN",F536&lt;&gt;""),"HAPUS_KOREKSI",IF(H536="","ISI_KOREKSI",IF(NOT(OR(H536="FLOOD",H536="EARTHQUAKE",H536="FIRE",H536="ACCIDENT",H536="NON_EVENT")),"CEK_LABEL",IF(AND(E536="KOREKSI",TRIM(G536)=""),"ISI_CATATAN","REVIEW_TERCATAT"))))))))</x:f>
        <x:v>REVIEW_TERCATAT</x:v>
      </x:c>
      <x:c r="J536" s="4" t="str">
        <x:v>Label dataset dan prediksi baseline sama; makna MVP belum direview. Kesepakatan keduanya belum membuktikan label final.</x:v>
      </x:c>
      <x:c r="K536" s="4" t="str">
        <x:v>ACCIDENT</x:v>
      </x:c>
      <x:c r="L536" s="14" t="n">
        <x:v>0.9927281141281128</x:v>
      </x:c>
    </x:row>
    <x:row r="537" ht="64" customHeight="1">
      <x:c r="A537" s="4" t="str">
        <x:v>KEC-01383</x:v>
      </x:c>
      <x:c r="B537" s="4" t="str">
        <x:v>radio andika 605 info awal : kecelakaan di sukomoro nganjuk pak mohammad khamim perjalanan dari nganjuk ke surabaya menginformasikan telah terjadi kecelakaan antara bus rosalia indah dengan l300 belum diketahui</x:v>
      </x:c>
      <x:c r="C537" s="4" t="str">
        <x:v>ACCIDENT</x:v>
      </x:c>
      <x:c r="D537" s="4" t="str">
        <x:v>ACCIDENT</x:v>
      </x:c>
      <x:c r="E537" s="12" t="str">
        <x:v>SETUJU_USULAN</x:v>
      </x:c>
      <x:c r="F537" s="12" t="str"/>
      <x:c r="G537" s="12" t="str">
        <x:v>Narasi menyatakan kejadian kecelakaan yang terjadi atau telah terjadi. Label mengikuti isi kejadian, termasuk penanganan dan dampak yang disebut. R1,R4.</x:v>
      </x:c>
      <x:c r="H537" s="4" t="str">
        <x:f>IF(E537="SETUJU_USULAN",D537,IF(E537="KOREKSI",F537,""))</x:f>
        <x:v>ACCIDENT</x:v>
      </x:c>
      <x:c r="I537" s="4" t="str">
        <x:f>IF(E537="","BELUM_DIREVIEW",IF(E537="TUNDA","DITUNDA",IF(TRIM(Panduan!$B$5)="","ISI_REVIEWER",IF(AND(E537&lt;&gt;"SETUJU_USULAN",E537&lt;&gt;"KOREKSI"),"CEK_KEPUTUSAN",IF(AND(E537="SETUJU_USULAN",F537&lt;&gt;""),"HAPUS_KOREKSI",IF(H537="","ISI_KOREKSI",IF(NOT(OR(H537="FLOOD",H537="EARTHQUAKE",H537="FIRE",H537="ACCIDENT",H537="NON_EVENT")),"CEK_LABEL",IF(AND(E537="KOREKSI",TRIM(G537)=""),"ISI_CATATAN","REVIEW_TERCATAT"))))))))</x:f>
        <x:v>REVIEW_TERCATAT</x:v>
      </x:c>
      <x:c r="J537" s="4" t="str">
        <x:v>Label dataset dan prediksi baseline sama; makna MVP belum direview. Kesepakatan keduanya belum membuktikan label final.</x:v>
      </x:c>
      <x:c r="K537" s="4" t="str">
        <x:v>ACCIDENT</x:v>
      </x:c>
      <x:c r="L537" s="14" t="n">
        <x:v>0.9927478432655334</x:v>
      </x:c>
    </x:row>
    <x:row r="538" ht="64" customHeight="1">
      <x:c r="A538" s="4" t="str">
        <x:v>KEC-01288</x:v>
      </x:c>
      <x:c r="B538" s="4" t="str">
        <x:v>555 : terjadi kecelakaan di km 149 tol cipali arah brebes yang mudik hati hati dan berkonsentrasi</x:v>
      </x:c>
      <x:c r="C538" s="4" t="str">
        <x:v>ACCIDENT</x:v>
      </x:c>
      <x:c r="D538" s="4" t="str">
        <x:v>ACCIDENT</x:v>
      </x:c>
      <x:c r="E538" s="12" t="str">
        <x:v>SETUJU_USULAN</x:v>
      </x:c>
      <x:c r="F538" s="12" t="str"/>
      <x:c r="G538" s="12" t="str">
        <x:v>Narasi menyatakan kejadian kecelakaan yang terjadi atau telah terjadi. Label mengikuti isi kejadian, termasuk penanganan dan dampak yang disebut. R1,R4.</x:v>
      </x:c>
      <x:c r="H538" s="4" t="str">
        <x:f>IF(E538="SETUJU_USULAN",D538,IF(E538="KOREKSI",F538,""))</x:f>
        <x:v>ACCIDENT</x:v>
      </x:c>
      <x:c r="I538" s="4" t="str">
        <x:f>IF(E538="","BELUM_DIREVIEW",IF(E538="TUNDA","DITUNDA",IF(TRIM(Panduan!$B$5)="","ISI_REVIEWER",IF(AND(E538&lt;&gt;"SETUJU_USULAN",E538&lt;&gt;"KOREKSI"),"CEK_KEPUTUSAN",IF(AND(E538="SETUJU_USULAN",F538&lt;&gt;""),"HAPUS_KOREKSI",IF(H538="","ISI_KOREKSI",IF(NOT(OR(H538="FLOOD",H538="EARTHQUAKE",H538="FIRE",H538="ACCIDENT",H538="NON_EVENT")),"CEK_LABEL",IF(AND(E538="KOREKSI",TRIM(G538)=""),"ISI_CATATAN","REVIEW_TERCATAT"))))))))</x:f>
        <x:v>REVIEW_TERCATAT</x:v>
      </x:c>
      <x:c r="J538" s="4" t="str">
        <x:v>Label dataset dan prediksi baseline sama; makna MVP belum direview. Kesepakatan keduanya belum membuktikan label final.</x:v>
      </x:c>
      <x:c r="K538" s="4" t="str">
        <x:v>ACCIDENT</x:v>
      </x:c>
      <x:c r="L538" s="14" t="n">
        <x:v>0.9927626252174377</x:v>
      </x:c>
    </x:row>
    <x:row r="539" ht="66" customHeight="1">
      <x:c r="A539" s="4" t="str">
        <x:v>KEC-01075</x:v>
      </x:c>
      <x:c r="B539" s="4" t="str">
        <x:v>0:06:48 wib cawang - halim km 2 padat penanganan kecelakaan di lajur 2/tengah bekasi barat - cibitung padat kepadatan penyempitan lajur pekerjaan jalan cikarang barat km 30 - kamu 32+200 arah cikampek padat ada perbaikan jalan di lajur 2/tengah</x:v>
      </x:c>
      <x:c r="C539" s="4" t="str">
        <x:v>ACCIDENT</x:v>
      </x:c>
      <x:c r="D539" s="4" t="str">
        <x:v>ACCIDENT</x:v>
      </x:c>
      <x:c r="E539" s="12" t="str">
        <x:v>SETUJU_USULAN</x:v>
      </x:c>
      <x:c r="F539" s="12" t="str"/>
      <x:c r="G539" s="12" t="str">
        <x:v>Narasi menyatakan kejadian kecelakaan yang terjadi atau telah terjadi. Label mengikuti isi kejadian, termasuk penanganan dan dampak yang disebut. R1,R4.</x:v>
      </x:c>
      <x:c r="H539" s="4" t="str">
        <x:f>IF(E539="SETUJU_USULAN",D539,IF(E539="KOREKSI",F539,""))</x:f>
        <x:v>ACCIDENT</x:v>
      </x:c>
      <x:c r="I539" s="4" t="str">
        <x:f>IF(E539="","BELUM_DIREVIEW",IF(E539="TUNDA","DITUNDA",IF(TRIM(Panduan!$B$5)="","ISI_REVIEWER",IF(AND(E539&lt;&gt;"SETUJU_USULAN",E539&lt;&gt;"KOREKSI"),"CEK_KEPUTUSAN",IF(AND(E539="SETUJU_USULAN",F539&lt;&gt;""),"HAPUS_KOREKSI",IF(H539="","ISI_KOREKSI",IF(NOT(OR(H539="FLOOD",H539="EARTHQUAKE",H539="FIRE",H539="ACCIDENT",H539="NON_EVENT")),"CEK_LABEL",IF(AND(E539="KOREKSI",TRIM(G539)=""),"ISI_CATATAN","REVIEW_TERCATAT"))))))))</x:f>
        <x:v>REVIEW_TERCATAT</x:v>
      </x:c>
      <x:c r="J539" s="4" t="str">
        <x:v>Label dataset dan prediksi baseline sama; makna MVP belum direview. Kesepakatan keduanya belum membuktikan label final.</x:v>
      </x:c>
      <x:c r="K539" s="4" t="str">
        <x:v>ACCIDENT</x:v>
      </x:c>
      <x:c r="L539" s="14" t="n">
        <x:v>0.9927799105644226</x:v>
      </x:c>
    </x:row>
    <x:row r="540" ht="66" customHeight="1">
      <x:c r="A540" s="4" t="str">
        <x:v>KEC-01037</x:v>
      </x:c>
      <x:c r="B540" s="4" t="str">
        <x:v>0:03:09 wib cikarang barat km 32 - karawang barat km 47 padat ada perbaikan jalan di km 32 lajur 1/kiri ada pembangunan jalur tol atas di kamu 45+200 lajur 1/kiri dan penanganan kecelakaan yang lalu di km 47 bahu jalan gunakan jalur alternatif</x:v>
      </x:c>
      <x:c r="C540" s="4" t="str">
        <x:v>ACCIDENT</x:v>
      </x:c>
      <x:c r="D540" s="4" t="str">
        <x:v>ACCIDENT</x:v>
      </x:c>
      <x:c r="E540" s="12" t="str">
        <x:v>SETUJU_USULAN</x:v>
      </x:c>
      <x:c r="F540" s="12" t="str"/>
      <x:c r="G540" s="12" t="str">
        <x:v>Narasi menyatakan kejadian kecelakaan yang terjadi atau telah terjadi. Label mengikuti isi kejadian, termasuk penanganan dan dampak yang disebut. R1,R4.</x:v>
      </x:c>
      <x:c r="H540" s="4" t="str">
        <x:f>IF(E540="SETUJU_USULAN",D540,IF(E540="KOREKSI",F540,""))</x:f>
        <x:v>ACCIDENT</x:v>
      </x:c>
      <x:c r="I540" s="4" t="str">
        <x:f>IF(E540="","BELUM_DIREVIEW",IF(E540="TUNDA","DITUNDA",IF(TRIM(Panduan!$B$5)="","ISI_REVIEWER",IF(AND(E540&lt;&gt;"SETUJU_USULAN",E540&lt;&gt;"KOREKSI"),"CEK_KEPUTUSAN",IF(AND(E540="SETUJU_USULAN",F540&lt;&gt;""),"HAPUS_KOREKSI",IF(H540="","ISI_KOREKSI",IF(NOT(OR(H540="FLOOD",H540="EARTHQUAKE",H540="FIRE",H540="ACCIDENT",H540="NON_EVENT")),"CEK_LABEL",IF(AND(E540="KOREKSI",TRIM(G540)=""),"ISI_CATATAN","REVIEW_TERCATAT"))))))))</x:f>
        <x:v>REVIEW_TERCATAT</x:v>
      </x:c>
      <x:c r="J540" s="4" t="str">
        <x:v>Label dataset dan prediksi baseline sama; makna MVP belum direview. Kesepakatan keduanya belum membuktikan label final.</x:v>
      </x:c>
      <x:c r="K540" s="4" t="str">
        <x:v>ACCIDENT</x:v>
      </x:c>
      <x:c r="L540" s="14" t="n">
        <x:v>0.9928317070007324</x:v>
      </x:c>
    </x:row>
    <x:row r="541" ht="64" customHeight="1">
      <x:c r="A541" s="4" t="str">
        <x:v>KEC-01061</x:v>
      </x:c>
      <x:c r="B541" s="4" t="str">
        <x:v>kecelakaan di tol halim kamu 1+800 arah juta bening suzuki ertiga putih b 2145 tzj</x:v>
      </x:c>
      <x:c r="C541" s="4" t="str">
        <x:v>ACCIDENT</x:v>
      </x:c>
      <x:c r="D541" s="4" t="str">
        <x:v>ACCIDENT</x:v>
      </x:c>
      <x:c r="E541" s="12" t="str">
        <x:v>SETUJU_USULAN</x:v>
      </x:c>
      <x:c r="F541" s="12" t="str"/>
      <x:c r="G541" s="12" t="str">
        <x:v>Narasi menyatakan kejadian kecelakaan yang terjadi atau telah terjadi. Label mengikuti isi kejadian, termasuk penanganan dan dampak yang disebut. R1,R4.</x:v>
      </x:c>
      <x:c r="H541" s="4" t="str">
        <x:f>IF(E541="SETUJU_USULAN",D541,IF(E541="KOREKSI",F541,""))</x:f>
        <x:v>ACCIDENT</x:v>
      </x:c>
      <x:c r="I541" s="4" t="str">
        <x:f>IF(E541="","BELUM_DIREVIEW",IF(E541="TUNDA","DITUNDA",IF(TRIM(Panduan!$B$5)="","ISI_REVIEWER",IF(AND(E541&lt;&gt;"SETUJU_USULAN",E541&lt;&gt;"KOREKSI"),"CEK_KEPUTUSAN",IF(AND(E541="SETUJU_USULAN",F541&lt;&gt;""),"HAPUS_KOREKSI",IF(H541="","ISI_KOREKSI",IF(NOT(OR(H541="FLOOD",H541="EARTHQUAKE",H541="FIRE",H541="ACCIDENT",H541="NON_EVENT")),"CEK_LABEL",IF(AND(E541="KOREKSI",TRIM(G541)=""),"ISI_CATATAN","REVIEW_TERCATAT"))))))))</x:f>
        <x:v>REVIEW_TERCATAT</x:v>
      </x:c>
      <x:c r="J541" s="4" t="str">
        <x:v>Label dataset dan prediksi baseline sama; makna MVP belum direview. Kesepakatan keduanya belum membuktikan label final.</x:v>
      </x:c>
      <x:c r="K541" s="4" t="str">
        <x:v>ACCIDENT</x:v>
      </x:c>
      <x:c r="L541" s="14" t="n">
        <x:v>0.992913544178009</x:v>
      </x:c>
    </x:row>
    <x:row r="542" ht="64" customHeight="1">
      <x:c r="A542" s="4" t="str">
        <x:v>KEC-01442</x:v>
      </x:c>
      <x:c r="B542" s="4" t="str">
        <x:v>kecelakaan tunggal bawah jembatan layang trosobo korban meninggal di tempat dugaan sementara sopir terkena serangan jantung dan mengakibatkan banting setir ke kiri dan menabrak tempat</x:v>
      </x:c>
      <x:c r="C542" s="4" t="str">
        <x:v>ACCIDENT</x:v>
      </x:c>
      <x:c r="D542" s="4" t="str">
        <x:v>ACCIDENT</x:v>
      </x:c>
      <x:c r="E542" s="12" t="str">
        <x:v>SETUJU_USULAN</x:v>
      </x:c>
      <x:c r="F542" s="12" t="str"/>
      <x:c r="G542" s="12" t="str">
        <x:v>Narasi menyatakan kejadian kecelakaan yang terjadi atau telah terjadi. Label mengikuti isi kejadian, termasuk penanganan dan dampak yang disebut. R1,R4.</x:v>
      </x:c>
      <x:c r="H542" s="4" t="str">
        <x:f>IF(E542="SETUJU_USULAN",D542,IF(E542="KOREKSI",F542,""))</x:f>
        <x:v>ACCIDENT</x:v>
      </x:c>
      <x:c r="I542" s="4" t="str">
        <x:f>IF(E542="","BELUM_DIREVIEW",IF(E542="TUNDA","DITUNDA",IF(TRIM(Panduan!$B$5)="","ISI_REVIEWER",IF(AND(E542&lt;&gt;"SETUJU_USULAN",E542&lt;&gt;"KOREKSI"),"CEK_KEPUTUSAN",IF(AND(E542="SETUJU_USULAN",F542&lt;&gt;""),"HAPUS_KOREKSI",IF(H542="","ISI_KOREKSI",IF(NOT(OR(H542="FLOOD",H542="EARTHQUAKE",H542="FIRE",H542="ACCIDENT",H542="NON_EVENT")),"CEK_LABEL",IF(AND(E542="KOREKSI",TRIM(G542)=""),"ISI_CATATAN","REVIEW_TERCATAT"))))))))</x:f>
        <x:v>REVIEW_TERCATAT</x:v>
      </x:c>
      <x:c r="J542" s="4" t="str">
        <x:v>Label dataset dan prediksi baseline sama; makna MVP belum direview. Kesepakatan keduanya belum membuktikan label final.</x:v>
      </x:c>
      <x:c r="K542" s="4" t="str">
        <x:v>ACCIDENT</x:v>
      </x:c>
      <x:c r="L542" s="14" t="n">
        <x:v>0.9929400682449341</x:v>
      </x:c>
    </x:row>
    <x:row r="543" ht="66" customHeight="1">
      <x:c r="A543" s="4" t="str">
        <x:v>KEC-01059</x:v>
      </x:c>
      <x:c r="B543" s="4" t="str">
        <x:v>0:06:52 wib begitu cikarang utama - karawang barat km 42 padat ada perbaikan jalan di kamu 32+200 lajur 2/tengah dan kepadatan penyempitan lajur pekerjaan jalan gunakan jalur alternatif karawang barat km 43 - km 49 arah cikampek padat penanganan kecelakaan di bahu jalan</x:v>
      </x:c>
      <x:c r="C543" s="4" t="str">
        <x:v>ACCIDENT</x:v>
      </x:c>
      <x:c r="D543" s="4" t="str">
        <x:v>ACCIDENT</x:v>
      </x:c>
      <x:c r="E543" s="12" t="str">
        <x:v>SETUJU_USULAN</x:v>
      </x:c>
      <x:c r="F543" s="12" t="str"/>
      <x:c r="G543" s="12" t="str">
        <x:v>Narasi menyatakan kejadian kecelakaan yang terjadi atau telah terjadi. Label mengikuti isi kejadian, termasuk penanganan dan dampak yang disebut. R1,R4.</x:v>
      </x:c>
      <x:c r="H543" s="4" t="str">
        <x:f>IF(E543="SETUJU_USULAN",D543,IF(E543="KOREKSI",F543,""))</x:f>
        <x:v>ACCIDENT</x:v>
      </x:c>
      <x:c r="I543" s="4" t="str">
        <x:f>IF(E543="","BELUM_DIREVIEW",IF(E543="TUNDA","DITUNDA",IF(TRIM(Panduan!$B$5)="","ISI_REVIEWER",IF(AND(E543&lt;&gt;"SETUJU_USULAN",E543&lt;&gt;"KOREKSI"),"CEK_KEPUTUSAN",IF(AND(E543="SETUJU_USULAN",F543&lt;&gt;""),"HAPUS_KOREKSI",IF(H543="","ISI_KOREKSI",IF(NOT(OR(H543="FLOOD",H543="EARTHQUAKE",H543="FIRE",H543="ACCIDENT",H543="NON_EVENT")),"CEK_LABEL",IF(AND(E543="KOREKSI",TRIM(G543)=""),"ISI_CATATAN","REVIEW_TERCATAT"))))))))</x:f>
        <x:v>REVIEW_TERCATAT</x:v>
      </x:c>
      <x:c r="J543" s="4" t="str">
        <x:v>Label dataset dan prediksi baseline sama; makna MVP belum direview. Kesepakatan keduanya belum membuktikan label final.</x:v>
      </x:c>
      <x:c r="K543" s="4" t="str">
        <x:v>ACCIDENT</x:v>
      </x:c>
      <x:c r="L543" s="14" t="n">
        <x:v>0.9929456114768982</x:v>
      </x:c>
    </x:row>
    <x:row r="544" ht="64" customHeight="1">
      <x:c r="A544" s="4" t="str">
        <x:v>KEC-01086</x:v>
      </x:c>
      <x:c r="B544" s="4" t="str">
        <x:v>radio andika 607 telah terjadi kecelakaan lalu lintas di dusun beji desa wonorejo kecamatan wates kabupaten kediri sekitar jam 0:20:30 wib tadi malam kecelakaan melibatkan sepeda motor honda supra nopol ag - 2817 - oc</x:v>
      </x:c>
      <x:c r="C544" s="4" t="str">
        <x:v>ACCIDENT</x:v>
      </x:c>
      <x:c r="D544" s="4" t="str">
        <x:v>ACCIDENT</x:v>
      </x:c>
      <x:c r="E544" s="12" t="str">
        <x:v>SETUJU_USULAN</x:v>
      </x:c>
      <x:c r="F544" s="12" t="str"/>
      <x:c r="G544" s="12" t="str">
        <x:v>Narasi menyatakan kejadian kecelakaan yang terjadi atau telah terjadi. Label mengikuti isi kejadian, termasuk penanganan dan dampak yang disebut. R1,R4.</x:v>
      </x:c>
      <x:c r="H544" s="4" t="str">
        <x:f>IF(E544="SETUJU_USULAN",D544,IF(E544="KOREKSI",F544,""))</x:f>
        <x:v>ACCIDENT</x:v>
      </x:c>
      <x:c r="I544" s="4" t="str">
        <x:f>IF(E544="","BELUM_DIREVIEW",IF(E544="TUNDA","DITUNDA",IF(TRIM(Panduan!$B$5)="","ISI_REVIEWER",IF(AND(E544&lt;&gt;"SETUJU_USULAN",E544&lt;&gt;"KOREKSI"),"CEK_KEPUTUSAN",IF(AND(E544="SETUJU_USULAN",F544&lt;&gt;""),"HAPUS_KOREKSI",IF(H544="","ISI_KOREKSI",IF(NOT(OR(H544="FLOOD",H544="EARTHQUAKE",H544="FIRE",H544="ACCIDENT",H544="NON_EVENT")),"CEK_LABEL",IF(AND(E544="KOREKSI",TRIM(G544)=""),"ISI_CATATAN","REVIEW_TERCATAT"))))))))</x:f>
        <x:v>REVIEW_TERCATAT</x:v>
      </x:c>
      <x:c r="J544" s="4" t="str">
        <x:v>Label dataset dan prediksi baseline sama; makna MVP belum direview. Kesepakatan keduanya belum membuktikan label final.</x:v>
      </x:c>
      <x:c r="K544" s="4" t="str">
        <x:v>ACCIDENT</x:v>
      </x:c>
      <x:c r="L544" s="14" t="n">
        <x:v>0.9929471015930176</x:v>
      </x:c>
    </x:row>
    <x:row r="545" ht="64" customHeight="1">
      <x:c r="A545" s="4" t="str">
        <x:v>KEC-01494</x:v>
      </x:c>
      <x:c r="B545" s="4" t="str">
        <x:v>radio andika 613 kecelakaan antara sepeda motor dengan penyebrang jalan aipda agung si kasih humas polsek wates kediri mengabarkan tadi malam telah terjadi kecelakaan antara sepeda motor dengan penyebrang jalan di jalan</x:v>
      </x:c>
      <x:c r="C545" s="4" t="str">
        <x:v>ACCIDENT</x:v>
      </x:c>
      <x:c r="D545" s="4" t="str">
        <x:v>ACCIDENT</x:v>
      </x:c>
      <x:c r="E545" s="12" t="str">
        <x:v>SETUJU_USULAN</x:v>
      </x:c>
      <x:c r="F545" s="12" t="str"/>
      <x:c r="G545" s="12" t="str">
        <x:v>Narasi menyatakan kejadian kecelakaan yang terjadi atau telah terjadi. Label mengikuti isi kejadian, termasuk penanganan dan dampak yang disebut. R1,R4.</x:v>
      </x:c>
      <x:c r="H545" s="4" t="str">
        <x:f>IF(E545="SETUJU_USULAN",D545,IF(E545="KOREKSI",F545,""))</x:f>
        <x:v>ACCIDENT</x:v>
      </x:c>
      <x:c r="I545" s="4" t="str">
        <x:f>IF(E545="","BELUM_DIREVIEW",IF(E545="TUNDA","DITUNDA",IF(TRIM(Panduan!$B$5)="","ISI_REVIEWER",IF(AND(E545&lt;&gt;"SETUJU_USULAN",E545&lt;&gt;"KOREKSI"),"CEK_KEPUTUSAN",IF(AND(E545="SETUJU_USULAN",F545&lt;&gt;""),"HAPUS_KOREKSI",IF(H545="","ISI_KOREKSI",IF(NOT(OR(H545="FLOOD",H545="EARTHQUAKE",H545="FIRE",H545="ACCIDENT",H545="NON_EVENT")),"CEK_LABEL",IF(AND(E545="KOREKSI",TRIM(G545)=""),"ISI_CATATAN","REVIEW_TERCATAT"))))))))</x:f>
        <x:v>REVIEW_TERCATAT</x:v>
      </x:c>
      <x:c r="J545" s="4" t="str">
        <x:v>Label dataset dan prediksi baseline sama; makna MVP belum direview. Kesepakatan keduanya belum membuktikan label final.</x:v>
      </x:c>
      <x:c r="K545" s="4" t="str">
        <x:v>ACCIDENT</x:v>
      </x:c>
      <x:c r="L545" s="14" t="n">
        <x:v>0.9929608702659607</x:v>
      </x:c>
    </x:row>
    <x:row r="546" ht="64" customHeight="1">
      <x:c r="A546" s="4" t="str">
        <x:v>KEC-01116</x:v>
      </x:c>
      <x:c r="B546" s="4" t="str">
        <x:v>633 : rt : sedang ada penanganan kecelakaan di km 69250 serang arah merak gunakan lajur kiri &amp; amp perhatikan rambu petugas</x:v>
      </x:c>
      <x:c r="C546" s="4" t="str">
        <x:v>ACCIDENT</x:v>
      </x:c>
      <x:c r="D546" s="4" t="str">
        <x:v>ACCIDENT</x:v>
      </x:c>
      <x:c r="E546" s="12" t="str">
        <x:v>SETUJU_USULAN</x:v>
      </x:c>
      <x:c r="F546" s="12" t="str"/>
      <x:c r="G546" s="12" t="str">
        <x:v>Narasi menyatakan kejadian kecelakaan yang terjadi atau telah terjadi. Label mengikuti isi kejadian, termasuk penanganan dan dampak yang disebut. R1,R4.</x:v>
      </x:c>
      <x:c r="H546" s="4" t="str">
        <x:f>IF(E546="SETUJU_USULAN",D546,IF(E546="KOREKSI",F546,""))</x:f>
        <x:v>ACCIDENT</x:v>
      </x:c>
      <x:c r="I546" s="4" t="str">
        <x:f>IF(E546="","BELUM_DIREVIEW",IF(E546="TUNDA","DITUNDA",IF(TRIM(Panduan!$B$5)="","ISI_REVIEWER",IF(AND(E546&lt;&gt;"SETUJU_USULAN",E546&lt;&gt;"KOREKSI"),"CEK_KEPUTUSAN",IF(AND(E546="SETUJU_USULAN",F546&lt;&gt;""),"HAPUS_KOREKSI",IF(H546="","ISI_KOREKSI",IF(NOT(OR(H546="FLOOD",H546="EARTHQUAKE",H546="FIRE",H546="ACCIDENT",H546="NON_EVENT")),"CEK_LABEL",IF(AND(E546="KOREKSI",TRIM(G546)=""),"ISI_CATATAN","REVIEW_TERCATAT"))))))))</x:f>
        <x:v>REVIEW_TERCATAT</x:v>
      </x:c>
      <x:c r="J546" s="4" t="str">
        <x:v>Label dataset dan prediksi baseline sama; makna MVP belum direview. Kesepakatan keduanya belum membuktikan label final.</x:v>
      </x:c>
      <x:c r="K546" s="4" t="str">
        <x:v>ACCIDENT</x:v>
      </x:c>
      <x:c r="L546" s="14" t="n">
        <x:v>0.9929705262184143</x:v>
      </x:c>
    </x:row>
    <x:row r="547" ht="64" customHeight="1">
      <x:c r="A547" s="4" t="str">
        <x:v>KEC-01159</x:v>
      </x:c>
      <x:c r="B547" s="4" t="str">
        <x:v>0:06 wib cikarang timur km 37 - km 39 arah cikampek padat ada penanganan kecelakaan cibatu km 35 - cikarang barat km 32 padat ada penanganan kecelakaan di lajur 2/tengah</x:v>
      </x:c>
      <x:c r="C547" s="4" t="str">
        <x:v>ACCIDENT</x:v>
      </x:c>
      <x:c r="D547" s="4" t="str">
        <x:v>ACCIDENT</x:v>
      </x:c>
      <x:c r="E547" s="12" t="str">
        <x:v>SETUJU_USULAN</x:v>
      </x:c>
      <x:c r="F547" s="12" t="str"/>
      <x:c r="G547" s="12" t="str">
        <x:v>Narasi menyatakan kejadian kecelakaan yang terjadi atau telah terjadi. Label mengikuti isi kejadian, termasuk penanganan dan dampak yang disebut. R1,R4.</x:v>
      </x:c>
      <x:c r="H547" s="4" t="str">
        <x:f>IF(E547="SETUJU_USULAN",D547,IF(E547="KOREKSI",F547,""))</x:f>
        <x:v>ACCIDENT</x:v>
      </x:c>
      <x:c r="I547" s="4" t="str">
        <x:f>IF(E547="","BELUM_DIREVIEW",IF(E547="TUNDA","DITUNDA",IF(TRIM(Panduan!$B$5)="","ISI_REVIEWER",IF(AND(E547&lt;&gt;"SETUJU_USULAN",E547&lt;&gt;"KOREKSI"),"CEK_KEPUTUSAN",IF(AND(E547="SETUJU_USULAN",F547&lt;&gt;""),"HAPUS_KOREKSI",IF(H547="","ISI_KOREKSI",IF(NOT(OR(H547="FLOOD",H547="EARTHQUAKE",H547="FIRE",H547="ACCIDENT",H547="NON_EVENT")),"CEK_LABEL",IF(AND(E547="KOREKSI",TRIM(G547)=""),"ISI_CATATAN","REVIEW_TERCATAT"))))))))</x:f>
        <x:v>REVIEW_TERCATAT</x:v>
      </x:c>
      <x:c r="J547" s="4" t="str">
        <x:v>Label dataset dan prediksi baseline sama; makna MVP belum direview. Kesepakatan keduanya belum membuktikan label final.</x:v>
      </x:c>
      <x:c r="K547" s="4" t="str">
        <x:v>ACCIDENT</x:v>
      </x:c>
      <x:c r="L547" s="14" t="n">
        <x:v>0.9929768443107605</x:v>
      </x:c>
    </x:row>
    <x:row r="548" ht="64" customHeight="1">
      <x:c r="A548" s="4" t="str">
        <x:v>KEB-00509</x:v>
      </x:c>
      <x:c r="B548" s="4" t="str">
        <x:v>kebakaran melahap rumah tinggal di penjaringan , jakarta utara , minggu ( 28/6/2020 ) dini hari . 10 unit mobil pemadam kebakaran dikerahkan ke lokasi kejadian .</x:v>
      </x:c>
      <x:c r="C548" s="4" t="str">
        <x:v>FIRE</x:v>
      </x:c>
      <x:c r="D548" s="4" t="str">
        <x:v>FIRE</x:v>
      </x:c>
      <x:c r="E548" s="12" t="str">
        <x:v>SETUJU_USULAN</x:v>
      </x:c>
      <x:c r="F548" s="12" t="str"/>
      <x:c r="G548" s="12" t="str">
        <x:v>Narasi menyatakan kejadian kebakaran yang terjadi atau telah terjadi. Label mengikuti isi kejadian, termasuk penanganan dan dampak yang disebut. R1,R4.</x:v>
      </x:c>
      <x:c r="H548" s="4" t="str">
        <x:f>IF(E548="SETUJU_USULAN",D548,IF(E548="KOREKSI",F548,""))</x:f>
        <x:v>FIRE</x:v>
      </x:c>
      <x:c r="I548" s="4" t="str">
        <x:f>IF(E548="","BELUM_DIREVIEW",IF(E548="TUNDA","DITUNDA",IF(TRIM(Panduan!$B$5)="","ISI_REVIEWER",IF(AND(E548&lt;&gt;"SETUJU_USULAN",E548&lt;&gt;"KOREKSI"),"CEK_KEPUTUSAN",IF(AND(E548="SETUJU_USULAN",F548&lt;&gt;""),"HAPUS_KOREKSI",IF(H548="","ISI_KOREKSI",IF(NOT(OR(H548="FLOOD",H548="EARTHQUAKE",H548="FIRE",H548="ACCIDENT",H548="NON_EVENT")),"CEK_LABEL",IF(AND(E548="KOREKSI",TRIM(G548)=""),"ISI_CATATAN","REVIEW_TERCATAT"))))))))</x:f>
        <x:v>REVIEW_TERCATAT</x:v>
      </x:c>
      <x:c r="J548" s="4" t="str">
        <x:v>Label dataset dan prediksi baseline sama; makna MVP belum direview. Kesepakatan keduanya belum membuktikan label final.</x:v>
      </x:c>
      <x:c r="K548" s="4" t="str">
        <x:v>FIRE</x:v>
      </x:c>
      <x:c r="L548" s="14" t="n">
        <x:v>0.9929787516593933</x:v>
      </x:c>
    </x:row>
    <x:row r="549" ht="64" customHeight="1">
      <x:c r="A549" s="4" t="str">
        <x:v>KEC-01431</x:v>
      </x:c>
      <x:c r="B549" s="4" t="str">
        <x:v>04:10 kecelakaan mercy b 99 jac menabrak guardrail di km 16 tol jelambar ( arah ke pluit ) &amp; amp masih penanganan polri</x:v>
      </x:c>
      <x:c r="C549" s="4" t="str">
        <x:v>ACCIDENT</x:v>
      </x:c>
      <x:c r="D549" s="4" t="str">
        <x:v>ACCIDENT</x:v>
      </x:c>
      <x:c r="E549" s="12" t="str">
        <x:v>SETUJU_USULAN</x:v>
      </x:c>
      <x:c r="F549" s="12" t="str"/>
      <x:c r="G549" s="12" t="str">
        <x:v>Narasi menyatakan kejadian kecelakaan yang terjadi atau telah terjadi. Label mengikuti isi kejadian, termasuk penanganan dan dampak yang disebut. R1,R4.</x:v>
      </x:c>
      <x:c r="H549" s="4" t="str">
        <x:f>IF(E549="SETUJU_USULAN",D549,IF(E549="KOREKSI",F549,""))</x:f>
        <x:v>ACCIDENT</x:v>
      </x:c>
      <x:c r="I549" s="4" t="str">
        <x:f>IF(E549="","BELUM_DIREVIEW",IF(E549="TUNDA","DITUNDA",IF(TRIM(Panduan!$B$5)="","ISI_REVIEWER",IF(AND(E549&lt;&gt;"SETUJU_USULAN",E549&lt;&gt;"KOREKSI"),"CEK_KEPUTUSAN",IF(AND(E549="SETUJU_USULAN",F549&lt;&gt;""),"HAPUS_KOREKSI",IF(H549="","ISI_KOREKSI",IF(NOT(OR(H549="FLOOD",H549="EARTHQUAKE",H549="FIRE",H549="ACCIDENT",H549="NON_EVENT")),"CEK_LABEL",IF(AND(E549="KOREKSI",TRIM(G549)=""),"ISI_CATATAN","REVIEW_TERCATAT"))))))))</x:f>
        <x:v>REVIEW_TERCATAT</x:v>
      </x:c>
      <x:c r="J549" s="4" t="str">
        <x:v>Label dataset dan prediksi baseline sama; makna MVP belum direview. Kesepakatan keduanya belum membuktikan label final.</x:v>
      </x:c>
      <x:c r="K549" s="4" t="str">
        <x:v>ACCIDENT</x:v>
      </x:c>
      <x:c r="L549" s="14" t="n">
        <x:v>0.9929954409599304</x:v>
      </x:c>
    </x:row>
    <x:row r="550" ht="64" customHeight="1">
      <x:c r="A550" s="4" t="str">
        <x:v>KEC-01203</x:v>
      </x:c>
      <x:c r="B550" s="4" t="str">
        <x:v>terjadi kecelakaan pada pkul 03:00 wib di depan pos polisi karang delanggu truk dengan truk tronton keadaan sopir masih terjepit</x:v>
      </x:c>
      <x:c r="C550" s="4" t="str">
        <x:v>ACCIDENT</x:v>
      </x:c>
      <x:c r="D550" s="4" t="str">
        <x:v>ACCIDENT</x:v>
      </x:c>
      <x:c r="E550" s="12" t="str">
        <x:v>SETUJU_USULAN</x:v>
      </x:c>
      <x:c r="F550" s="12" t="str"/>
      <x:c r="G550" s="12" t="str">
        <x:v>Narasi menyatakan kejadian kecelakaan yang terjadi atau telah terjadi. Label mengikuti isi kejadian, termasuk penanganan dan dampak yang disebut. R1,R4.</x:v>
      </x:c>
      <x:c r="H550" s="4" t="str">
        <x:f>IF(E550="SETUJU_USULAN",D550,IF(E550="KOREKSI",F550,""))</x:f>
        <x:v>ACCIDENT</x:v>
      </x:c>
      <x:c r="I550" s="4" t="str">
        <x:f>IF(E550="","BELUM_DIREVIEW",IF(E550="TUNDA","DITUNDA",IF(TRIM(Panduan!$B$5)="","ISI_REVIEWER",IF(AND(E550&lt;&gt;"SETUJU_USULAN",E550&lt;&gt;"KOREKSI"),"CEK_KEPUTUSAN",IF(AND(E550="SETUJU_USULAN",F550&lt;&gt;""),"HAPUS_KOREKSI",IF(H550="","ISI_KOREKSI",IF(NOT(OR(H550="FLOOD",H550="EARTHQUAKE",H550="FIRE",H550="ACCIDENT",H550="NON_EVENT")),"CEK_LABEL",IF(AND(E550="KOREKSI",TRIM(G550)=""),"ISI_CATATAN","REVIEW_TERCATAT"))))))))</x:f>
        <x:v>REVIEW_TERCATAT</x:v>
      </x:c>
      <x:c r="J550" s="4" t="str">
        <x:v>Label dataset dan prediksi baseline sama; makna MVP belum direview. Kesepakatan keduanya belum membuktikan label final.</x:v>
      </x:c>
      <x:c r="K550" s="4" t="str">
        <x:v>ACCIDENT</x:v>
      </x:c>
      <x:c r="L550" s="14" t="n">
        <x:v>0.9929978847503662</x:v>
      </x:c>
    </x:row>
    <x:row r="551" ht="64" customHeight="1">
      <x:c r="A551" s="4" t="str">
        <x:v>KEC-01398</x:v>
      </x:c>
      <x:c r="B551" s="4" t="str">
        <x:v>retweeted banten hits ( ) : kecelakaan maut di cipondoh bus berdikari tabrak pasangan suami istri</x:v>
      </x:c>
      <x:c r="C551" s="4" t="str">
        <x:v>ACCIDENT</x:v>
      </x:c>
      <x:c r="D551" s="4" t="str">
        <x:v>ACCIDENT</x:v>
      </x:c>
      <x:c r="E551" s="12" t="str">
        <x:v>SETUJU_USULAN</x:v>
      </x:c>
      <x:c r="F551" s="12" t="str"/>
      <x:c r="G551" s="12" t="str">
        <x:v>Narasi menyatakan kejadian kecelakaan yang terjadi atau telah terjadi. Label mengikuti isi kejadian, termasuk penanganan dan dampak yang disebut. R1,R4.</x:v>
      </x:c>
      <x:c r="H551" s="4" t="str">
        <x:f>IF(E551="SETUJU_USULAN",D551,IF(E551="KOREKSI",F551,""))</x:f>
        <x:v>ACCIDENT</x:v>
      </x:c>
      <x:c r="I551" s="4" t="str">
        <x:f>IF(E551="","BELUM_DIREVIEW",IF(E551="TUNDA","DITUNDA",IF(TRIM(Panduan!$B$5)="","ISI_REVIEWER",IF(AND(E551&lt;&gt;"SETUJU_USULAN",E551&lt;&gt;"KOREKSI"),"CEK_KEPUTUSAN",IF(AND(E551="SETUJU_USULAN",F551&lt;&gt;""),"HAPUS_KOREKSI",IF(H551="","ISI_KOREKSI",IF(NOT(OR(H551="FLOOD",H551="EARTHQUAKE",H551="FIRE",H551="ACCIDENT",H551="NON_EVENT")),"CEK_LABEL",IF(AND(E551="KOREKSI",TRIM(G551)=""),"ISI_CATATAN","REVIEW_TERCATAT"))))))))</x:f>
        <x:v>REVIEW_TERCATAT</x:v>
      </x:c>
      <x:c r="J551" s="4" t="str">
        <x:v>Label dataset dan prediksi baseline sama; makna MVP belum direview. Kesepakatan keduanya belum membuktikan label final.</x:v>
      </x:c>
      <x:c r="K551" s="4" t="str">
        <x:v>ACCIDENT</x:v>
      </x:c>
      <x:c r="L551" s="14" t="n">
        <x:v>0.9930022358894348</x:v>
      </x:c>
    </x:row>
    <x:row r="552" ht="64" customHeight="1">
      <x:c r="A552" s="4" t="str">
        <x:v>KEC-01045</x:v>
      </x:c>
      <x:c r="B552" s="4" t="str">
        <x:v>0:06:33 wib dawuan km 60 - km 66 arah cikampek padat ada perbaikan jalan di lajur 1/kiri jatiwaringin km 3 arah cawang padat ada penanganan kecelakaan di lajur tengah</x:v>
      </x:c>
      <x:c r="C552" s="4" t="str">
        <x:v>ACCIDENT</x:v>
      </x:c>
      <x:c r="D552" s="4" t="str">
        <x:v>ACCIDENT</x:v>
      </x:c>
      <x:c r="E552" s="12" t="str">
        <x:v>SETUJU_USULAN</x:v>
      </x:c>
      <x:c r="F552" s="12" t="str"/>
      <x:c r="G552" s="12" t="str">
        <x:v>Narasi menyatakan kejadian kecelakaan yang terjadi atau telah terjadi. Label mengikuti isi kejadian, termasuk penanganan dan dampak yang disebut. R1,R4.</x:v>
      </x:c>
      <x:c r="H552" s="4" t="str">
        <x:f>IF(E552="SETUJU_USULAN",D552,IF(E552="KOREKSI",F552,""))</x:f>
        <x:v>ACCIDENT</x:v>
      </x:c>
      <x:c r="I552" s="4" t="str">
        <x:f>IF(E552="","BELUM_DIREVIEW",IF(E552="TUNDA","DITUNDA",IF(TRIM(Panduan!$B$5)="","ISI_REVIEWER",IF(AND(E552&lt;&gt;"SETUJU_USULAN",E552&lt;&gt;"KOREKSI"),"CEK_KEPUTUSAN",IF(AND(E552="SETUJU_USULAN",F552&lt;&gt;""),"HAPUS_KOREKSI",IF(H552="","ISI_KOREKSI",IF(NOT(OR(H552="FLOOD",H552="EARTHQUAKE",H552="FIRE",H552="ACCIDENT",H552="NON_EVENT")),"CEK_LABEL",IF(AND(E552="KOREKSI",TRIM(G552)=""),"ISI_CATATAN","REVIEW_TERCATAT"))))))))</x:f>
        <x:v>REVIEW_TERCATAT</x:v>
      </x:c>
      <x:c r="J552" s="4" t="str">
        <x:v>Label dataset dan prediksi baseline sama; makna MVP belum direview. Kesepakatan keduanya belum membuktikan label final.</x:v>
      </x:c>
      <x:c r="K552" s="4" t="str">
        <x:v>ACCIDENT</x:v>
      </x:c>
      <x:c r="L552" s="14" t="n">
        <x:v>0.9930126070976257</x:v>
      </x:c>
    </x:row>
    <x:row r="553" ht="64" customHeight="1">
      <x:c r="A553" s="4" t="str">
        <x:v>KEC-01072</x:v>
      </x:c>
      <x:c r="B553" s="4" t="str">
        <x:v>terjadi kecelakaan lalu lintas di jalan tol japek sekitaran km 2 arah cikampek sellau hati-hati sobat</x:v>
      </x:c>
      <x:c r="C553" s="4" t="str">
        <x:v>ACCIDENT</x:v>
      </x:c>
      <x:c r="D553" s="4" t="str">
        <x:v>ACCIDENT</x:v>
      </x:c>
      <x:c r="E553" s="12" t="str">
        <x:v>SETUJU_USULAN</x:v>
      </x:c>
      <x:c r="F553" s="12" t="str"/>
      <x:c r="G553" s="12" t="str">
        <x:v>Narasi menyatakan kejadian kecelakaan yang terjadi atau telah terjadi. Label mengikuti isi kejadian, termasuk penanganan dan dampak yang disebut. R1,R4.</x:v>
      </x:c>
      <x:c r="H553" s="4" t="str">
        <x:f>IF(E553="SETUJU_USULAN",D553,IF(E553="KOREKSI",F553,""))</x:f>
        <x:v>ACCIDENT</x:v>
      </x:c>
      <x:c r="I553" s="4" t="str">
        <x:f>IF(E553="","BELUM_DIREVIEW",IF(E553="TUNDA","DITUNDA",IF(TRIM(Panduan!$B$5)="","ISI_REVIEWER",IF(AND(E553&lt;&gt;"SETUJU_USULAN",E553&lt;&gt;"KOREKSI"),"CEK_KEPUTUSAN",IF(AND(E553="SETUJU_USULAN",F553&lt;&gt;""),"HAPUS_KOREKSI",IF(H553="","ISI_KOREKSI",IF(NOT(OR(H553="FLOOD",H553="EARTHQUAKE",H553="FIRE",H553="ACCIDENT",H553="NON_EVENT")),"CEK_LABEL",IF(AND(E553="KOREKSI",TRIM(G553)=""),"ISI_CATATAN","REVIEW_TERCATAT"))))))))</x:f>
        <x:v>REVIEW_TERCATAT</x:v>
      </x:c>
      <x:c r="J553" s="4" t="str">
        <x:v>Label dataset dan prediksi baseline sama; makna MVP belum direview. Kesepakatan keduanya belum membuktikan label final.</x:v>
      </x:c>
      <x:c r="K553" s="4" t="str">
        <x:v>ACCIDENT</x:v>
      </x:c>
      <x:c r="L553" s="14" t="n">
        <x:v>0.9930651187896729</x:v>
      </x:c>
    </x:row>
    <x:row r="554" ht="64" customHeight="1">
      <x:c r="A554" s="4" t="str">
        <x:v>KEC-00287</x:v>
      </x:c>
      <x:c r="B554" s="4" t="str">
        <x:v>09/02/2018 telah terjadi kecelakaan di simpang tantular- tukad musi out of control sepeda motor korban di antar ambulance bpbd propinsi bali ke rsup sanglah</x:v>
      </x:c>
      <x:c r="C554" s="4" t="str">
        <x:v>ACCIDENT</x:v>
      </x:c>
      <x:c r="D554" s="4" t="str">
        <x:v>ACCIDENT</x:v>
      </x:c>
      <x:c r="E554" s="12" t="str">
        <x:v>SETUJU_USULAN</x:v>
      </x:c>
      <x:c r="F554" s="12" t="str"/>
      <x:c r="G554" s="12" t="str">
        <x:v>Narasi menyatakan kejadian kecelakaan yang terjadi atau telah terjadi. Label mengikuti isi kejadian, termasuk penanganan dan dampak yang disebut. R1,R4.</x:v>
      </x:c>
      <x:c r="H554" s="4" t="str">
        <x:f>IF(E554="SETUJU_USULAN",D554,IF(E554="KOREKSI",F554,""))</x:f>
        <x:v>ACCIDENT</x:v>
      </x:c>
      <x:c r="I554" s="4" t="str">
        <x:f>IF(E554="","BELUM_DIREVIEW",IF(E554="TUNDA","DITUNDA",IF(TRIM(Panduan!$B$5)="","ISI_REVIEWER",IF(AND(E554&lt;&gt;"SETUJU_USULAN",E554&lt;&gt;"KOREKSI"),"CEK_KEPUTUSAN",IF(AND(E554="SETUJU_USULAN",F554&lt;&gt;""),"HAPUS_KOREKSI",IF(H554="","ISI_KOREKSI",IF(NOT(OR(H554="FLOOD",H554="EARTHQUAKE",H554="FIRE",H554="ACCIDENT",H554="NON_EVENT")),"CEK_LABEL",IF(AND(E554="KOREKSI",TRIM(G554)=""),"ISI_CATATAN","REVIEW_TERCATAT"))))))))</x:f>
        <x:v>REVIEW_TERCATAT</x:v>
      </x:c>
      <x:c r="J554" s="4" t="str">
        <x:v>Label dataset dan prediksi baseline sama; makna MVP belum direview. Kesepakatan keduanya belum membuktikan label final.</x:v>
      </x:c>
      <x:c r="K554" s="4" t="str">
        <x:v>ACCIDENT</x:v>
      </x:c>
      <x:c r="L554" s="14" t="n">
        <x:v>0.9931923747062683</x:v>
      </x:c>
    </x:row>
    <x:row r="555" ht="64" customHeight="1">
      <x:c r="A555" s="4" t="str">
        <x:v>KEC-01318</x:v>
      </x:c>
      <x:c r="B555" s="4" t="str">
        <x:v>01:42 kecelakaan minibus dan pemotor di jalan cabe raya pamulang korban luka2 pemotor dievakuasi ke rs bakti husada &amp; amp sudah dalam penanganan polsek pamulang</x:v>
      </x:c>
      <x:c r="C555" s="4" t="str">
        <x:v>ACCIDENT</x:v>
      </x:c>
      <x:c r="D555" s="4" t="str">
        <x:v>ACCIDENT</x:v>
      </x:c>
      <x:c r="E555" s="12" t="str">
        <x:v>SETUJU_USULAN</x:v>
      </x:c>
      <x:c r="F555" s="12" t="str"/>
      <x:c r="G555" s="12" t="str">
        <x:v>Narasi menyatakan kejadian kecelakaan yang terjadi atau telah terjadi. Label mengikuti isi kejadian, termasuk penanganan dan dampak yang disebut. R1,R4.</x:v>
      </x:c>
      <x:c r="H555" s="4" t="str">
        <x:f>IF(E555="SETUJU_USULAN",D555,IF(E555="KOREKSI",F555,""))</x:f>
        <x:v>ACCIDENT</x:v>
      </x:c>
      <x:c r="I555" s="4" t="str">
        <x:f>IF(E555="","BELUM_DIREVIEW",IF(E555="TUNDA","DITUNDA",IF(TRIM(Panduan!$B$5)="","ISI_REVIEWER",IF(AND(E555&lt;&gt;"SETUJU_USULAN",E555&lt;&gt;"KOREKSI"),"CEK_KEPUTUSAN",IF(AND(E555="SETUJU_USULAN",F555&lt;&gt;""),"HAPUS_KOREKSI",IF(H555="","ISI_KOREKSI",IF(NOT(OR(H555="FLOOD",H555="EARTHQUAKE",H555="FIRE",H555="ACCIDENT",H555="NON_EVENT")),"CEK_LABEL",IF(AND(E555="KOREKSI",TRIM(G555)=""),"ISI_CATATAN","REVIEW_TERCATAT"))))))))</x:f>
        <x:v>REVIEW_TERCATAT</x:v>
      </x:c>
      <x:c r="J555" s="4" t="str">
        <x:v>Label dataset dan prediksi baseline sama; makna MVP belum direview. Kesepakatan keduanya belum membuktikan label final.</x:v>
      </x:c>
      <x:c r="K555" s="4" t="str">
        <x:v>ACCIDENT</x:v>
      </x:c>
      <x:c r="L555" s="14" t="n">
        <x:v>0.9932025074958801</x:v>
      </x:c>
    </x:row>
    <x:row r="556" ht="64" customHeight="1">
      <x:c r="A556" s="4" t="str">
        <x:v>KEC-01160</x:v>
      </x:c>
      <x:c r="B556" s="4" t="str">
        <x:v>radio andika 615 pak agus senkom tol jombang mojokerto mengabarkan sekitar jam 40 wib ada kecelakaan di jalan raya tol jombang mojokerto kamu 693+100 a kecelakaan melibatkan kendaraan truck brmuatan alat berat nopol b</x:v>
      </x:c>
      <x:c r="C556" s="4" t="str">
        <x:v>ACCIDENT</x:v>
      </x:c>
      <x:c r="D556" s="4" t="str">
        <x:v>ACCIDENT</x:v>
      </x:c>
      <x:c r="E556" s="12" t="str">
        <x:v>SETUJU_USULAN</x:v>
      </x:c>
      <x:c r="F556" s="12" t="str"/>
      <x:c r="G556" s="12" t="str">
        <x:v>Narasi menyatakan kejadian kecelakaan yang terjadi atau telah terjadi. Label mengikuti isi kejadian, termasuk penanganan dan dampak yang disebut. R1,R4.</x:v>
      </x:c>
      <x:c r="H556" s="4" t="str">
        <x:f>IF(E556="SETUJU_USULAN",D556,IF(E556="KOREKSI",F556,""))</x:f>
        <x:v>ACCIDENT</x:v>
      </x:c>
      <x:c r="I556" s="4" t="str">
        <x:f>IF(E556="","BELUM_DIREVIEW",IF(E556="TUNDA","DITUNDA",IF(TRIM(Panduan!$B$5)="","ISI_REVIEWER",IF(AND(E556&lt;&gt;"SETUJU_USULAN",E556&lt;&gt;"KOREKSI"),"CEK_KEPUTUSAN",IF(AND(E556="SETUJU_USULAN",F556&lt;&gt;""),"HAPUS_KOREKSI",IF(H556="","ISI_KOREKSI",IF(NOT(OR(H556="FLOOD",H556="EARTHQUAKE",H556="FIRE",H556="ACCIDENT",H556="NON_EVENT")),"CEK_LABEL",IF(AND(E556="KOREKSI",TRIM(G556)=""),"ISI_CATATAN","REVIEW_TERCATAT"))))))))</x:f>
        <x:v>REVIEW_TERCATAT</x:v>
      </x:c>
      <x:c r="J556" s="4" t="str">
        <x:v>Label dataset dan prediksi baseline sama; makna MVP belum direview. Kesepakatan keduanya belum membuktikan label final.</x:v>
      </x:c>
      <x:c r="K556" s="4" t="str">
        <x:v>ACCIDENT</x:v>
      </x:c>
      <x:c r="L556" s="14" t="n">
        <x:v>0.993225634098053</x:v>
      </x:c>
    </x:row>
    <x:row r="557" ht="64" customHeight="1">
      <x:c r="A557" s="4" t="str">
        <x:v>KEC-01039</x:v>
      </x:c>
      <x:c r="B557" s="4" t="str">
        <x:v>sekitar jam 410 terjadi kecelakaan mobil box di jalan purwosari ( dekat pt indolacto ) arah malang sopir dan penumpang selamat tidak ada luka</x:v>
      </x:c>
      <x:c r="C557" s="4" t="str">
        <x:v>ACCIDENT</x:v>
      </x:c>
      <x:c r="D557" s="4" t="str">
        <x:v>ACCIDENT</x:v>
      </x:c>
      <x:c r="E557" s="12" t="str">
        <x:v>SETUJU_USULAN</x:v>
      </x:c>
      <x:c r="F557" s="12" t="str"/>
      <x:c r="G557" s="12" t="str">
        <x:v>Narasi menyatakan kejadian kecelakaan yang terjadi atau telah terjadi. Label mengikuti isi kejadian, termasuk penanganan dan dampak yang disebut. R1,R4.</x:v>
      </x:c>
      <x:c r="H557" s="4" t="str">
        <x:f>IF(E557="SETUJU_USULAN",D557,IF(E557="KOREKSI",F557,""))</x:f>
        <x:v>ACCIDENT</x:v>
      </x:c>
      <x:c r="I557" s="4" t="str">
        <x:f>IF(E557="","BELUM_DIREVIEW",IF(E557="TUNDA","DITUNDA",IF(TRIM(Panduan!$B$5)="","ISI_REVIEWER",IF(AND(E557&lt;&gt;"SETUJU_USULAN",E557&lt;&gt;"KOREKSI"),"CEK_KEPUTUSAN",IF(AND(E557="SETUJU_USULAN",F557&lt;&gt;""),"HAPUS_KOREKSI",IF(H557="","ISI_KOREKSI",IF(NOT(OR(H557="FLOOD",H557="EARTHQUAKE",H557="FIRE",H557="ACCIDENT",H557="NON_EVENT")),"CEK_LABEL",IF(AND(E557="KOREKSI",TRIM(G557)=""),"ISI_CATATAN","REVIEW_TERCATAT"))))))))</x:f>
        <x:v>REVIEW_TERCATAT</x:v>
      </x:c>
      <x:c r="J557" s="4" t="str">
        <x:v>Label dataset dan prediksi baseline sama; makna MVP belum direview. Kesepakatan keduanya belum membuktikan label final.</x:v>
      </x:c>
      <x:c r="K557" s="4" t="str">
        <x:v>ACCIDENT</x:v>
      </x:c>
      <x:c r="L557" s="14" t="n">
        <x:v>0.9932528138160706</x:v>
      </x:c>
    </x:row>
    <x:row r="558" ht="66" customHeight="1">
      <x:c r="A558" s="4" t="str">
        <x:v>KEC-01183</x:v>
      </x:c>
      <x:c r="B558" s="4" t="str">
        <x:v>536 : : setelah begitu cikarang utama 2/3 - cibitung kamu 23+600 padat ada kecelakaan 4 kendaraan di lajur 2-3-4/tengah-kanan gunakan lajur kiri keluar cikarang barat atau keluar cibitung masuk kembali tambun lewat jalan kalimalang</x:v>
      </x:c>
      <x:c r="C558" s="4" t="str">
        <x:v>ACCIDENT</x:v>
      </x:c>
      <x:c r="D558" s="4" t="str">
        <x:v>ACCIDENT</x:v>
      </x:c>
      <x:c r="E558" s="12" t="str">
        <x:v>SETUJU_USULAN</x:v>
      </x:c>
      <x:c r="F558" s="12" t="str"/>
      <x:c r="G558" s="12" t="str">
        <x:v>Narasi menyatakan kejadian kecelakaan yang terjadi atau telah terjadi. Label mengikuti isi kejadian, termasuk penanganan dan dampak yang disebut. R1,R4.</x:v>
      </x:c>
      <x:c r="H558" s="4" t="str">
        <x:f>IF(E558="SETUJU_USULAN",D558,IF(E558="KOREKSI",F558,""))</x:f>
        <x:v>ACCIDENT</x:v>
      </x:c>
      <x:c r="I558" s="4" t="str">
        <x:f>IF(E558="","BELUM_DIREVIEW",IF(E558="TUNDA","DITUNDA",IF(TRIM(Panduan!$B$5)="","ISI_REVIEWER",IF(AND(E558&lt;&gt;"SETUJU_USULAN",E558&lt;&gt;"KOREKSI"),"CEK_KEPUTUSAN",IF(AND(E558="SETUJU_USULAN",F558&lt;&gt;""),"HAPUS_KOREKSI",IF(H558="","ISI_KOREKSI",IF(NOT(OR(H558="FLOOD",H558="EARTHQUAKE",H558="FIRE",H558="ACCIDENT",H558="NON_EVENT")),"CEK_LABEL",IF(AND(E558="KOREKSI",TRIM(G558)=""),"ISI_CATATAN","REVIEW_TERCATAT"))))))))</x:f>
        <x:v>REVIEW_TERCATAT</x:v>
      </x:c>
      <x:c r="J558" s="4" t="str">
        <x:v>Label dataset dan prediksi baseline sama; makna MVP belum direview. Kesepakatan keduanya belum membuktikan label final.</x:v>
      </x:c>
      <x:c r="K558" s="4" t="str">
        <x:v>ACCIDENT</x:v>
      </x:c>
      <x:c r="L558" s="14" t="n">
        <x:v>0.9932920932769775</x:v>
      </x:c>
    </x:row>
    <x:row r="559" ht="64" customHeight="1">
      <x:c r="A559" s="4" t="str">
        <x:v>KEC-01307</x:v>
      </x:c>
      <x:c r="B559" s="4" t="str">
        <x:v>533 : kecelakaan melibatkan 2 mobil sedan 1 diantaranya terbalik di jalan marsekal surya darma depan aeropolis tangerang belum ada petugas di lokasi arus lalin masih lancar namun berpotensi timbulkan kemacetan ( p rahman )</x:v>
      </x:c>
      <x:c r="C559" s="4" t="str">
        <x:v>ACCIDENT</x:v>
      </x:c>
      <x:c r="D559" s="4" t="str">
        <x:v>ACCIDENT</x:v>
      </x:c>
      <x:c r="E559" s="12" t="str">
        <x:v>SETUJU_USULAN</x:v>
      </x:c>
      <x:c r="F559" s="12" t="str"/>
      <x:c r="G559" s="12" t="str">
        <x:v>Narasi menyatakan kejadian kecelakaan yang terjadi atau telah terjadi. Label mengikuti isi kejadian, termasuk penanganan dan dampak yang disebut. R1,R4.</x:v>
      </x:c>
      <x:c r="H559" s="4" t="str">
        <x:f>IF(E559="SETUJU_USULAN",D559,IF(E559="KOREKSI",F559,""))</x:f>
        <x:v>ACCIDENT</x:v>
      </x:c>
      <x:c r="I559" s="4" t="str">
        <x:f>IF(E559="","BELUM_DIREVIEW",IF(E559="TUNDA","DITUNDA",IF(TRIM(Panduan!$B$5)="","ISI_REVIEWER",IF(AND(E559&lt;&gt;"SETUJU_USULAN",E559&lt;&gt;"KOREKSI"),"CEK_KEPUTUSAN",IF(AND(E559="SETUJU_USULAN",F559&lt;&gt;""),"HAPUS_KOREKSI",IF(H559="","ISI_KOREKSI",IF(NOT(OR(H559="FLOOD",H559="EARTHQUAKE",H559="FIRE",H559="ACCIDENT",H559="NON_EVENT")),"CEK_LABEL",IF(AND(E559="KOREKSI",TRIM(G559)=""),"ISI_CATATAN","REVIEW_TERCATAT"))))))))</x:f>
        <x:v>REVIEW_TERCATAT</x:v>
      </x:c>
      <x:c r="J559" s="4" t="str">
        <x:v>Label dataset dan prediksi baseline sama; makna MVP belum direview. Kesepakatan keduanya belum membuktikan label final.</x:v>
      </x:c>
      <x:c r="K559" s="4" t="str">
        <x:v>ACCIDENT</x:v>
      </x:c>
      <x:c r="L559" s="14" t="n">
        <x:v>0.9933454990386963</x:v>
      </x:c>
    </x:row>
    <x:row r="560" ht="64" customHeight="1">
      <x:c r="A560" s="4" t="str">
        <x:v>BAN-01201</x:v>
      </x:c>
      <x:c r="B560" s="4" t="str">
        <x:v>banjir di labuan hari ini mempersulit akses kami ke lokasi terdampak tsunami paling parah</x:v>
      </x:c>
      <x:c r="C560" s="4" t="str">
        <x:v>NON_EVENT</x:v>
      </x:c>
      <x:c r="D560" s="4" t="str">
        <x:v>FLOOD</x:v>
      </x:c>
      <x:c r="E560" s="13" t="str">
        <x:v>TERWARIS</x:v>
      </x:c>
      <x:c r="F560" s="13" t="str"/>
      <x:c r="G560" s="13" t="str"/>
      <x:c r="H560" s="13" t="str">
        <x:v>FLOOD</x:v>
      </x:c>
      <x:c r="I560" s="13" t="str">
        <x:v>FINAL_TERWARIS</x:v>
      </x:c>
      <x:c r="J560" s="4" t="str">
        <x:v>Banjir di Labuan hari ini dinyatakan mempersulit akses. Tsunami menjadi konteks lokasi tujuan dan tidak meniadakan klaim banjir. Dasar: R1,R4.</x:v>
      </x:c>
      <x:c r="K560" s="4" t="str">
        <x:v>FLOOD</x:v>
      </x:c>
      <x:c r="L560" s="14" t="n">
        <x:v>0.5236139297485352</x:v>
      </x:c>
    </x:row>
    <x:row r="561" ht="64" customHeight="1">
      <x:c r="A561" s="4" t="str">
        <x:v>KEC-01209</x:v>
      </x:c>
      <x:c r="B561" s="4" t="str">
        <x:v>retweeted tmc polda metro jaya ( ) : menemukan kebakaran tawuran kecelakaan bencana alam ormas anarkis kdrt sotr tidak tertib dan balap liar di wilayah dki jakarta hubungan telp : 112</x:v>
      </x:c>
      <x:c r="C561" s="4" t="str">
        <x:v>NON_EVENT</x:v>
      </x:c>
      <x:c r="D561" s="4" t="str">
        <x:v>NON_EVENT</x:v>
      </x:c>
      <x:c r="E561" s="13" t="str">
        <x:v>TERWARIS</x:v>
      </x:c>
      <x:c r="F561" s="13" t="str"/>
      <x:c r="G561" s="13" t="str"/>
      <x:c r="H561" s="13" t="str">
        <x:v>NON_EVENT</x:v>
      </x:c>
      <x:c r="I561" s="13" t="str">
        <x:v>FINAL_TERWARIS</x:v>
      </x:c>
      <x:c r="J561" s="4" t="str">
        <x:v>Daftar kebakaran, tawuran, kecelakaan dan keadaan lain disertai nomor pelaporan 112 merupakan panduan umum. Tidak ada kejadian tertentu yang dilaporkan. Dasar: R3.</x:v>
      </x:c>
      <x:c r="K561" s="4" t="str">
        <x:v>ACCIDENT</x:v>
      </x:c>
      <x:c r="L561" s="14" t="n">
        <x:v>0.5290685296058655</x:v>
      </x:c>
    </x:row>
    <x:row r="562" ht="64" customHeight="1">
      <x:c r="A562" s="4" t="str">
        <x:v>KEB-00428</x:v>
      </x:c>
      <x:c r="B562" s="4" t="str">
        <x:v>07.36am klk : berlaku kebakaran kenderaan di km 40.6 hala timur ( g . sempah - bukit tinggi ) . penutupan lorong tengah , lorong perlahan &amp; amp lorong kecemasan . trafik lancar dilokasi . hati2 memandu .</x:v>
      </x:c>
      <x:c r="C562" s="4" t="str">
        <x:v>NON_EVENT</x:v>
      </x:c>
      <x:c r="D562" s="4" t="str">
        <x:v>FIRE</x:v>
      </x:c>
      <x:c r="E562" s="13" t="str">
        <x:v>TERWARIS</x:v>
      </x:c>
      <x:c r="F562" s="13" t="str"/>
      <x:c r="G562" s="13" t="str"/>
      <x:c r="H562" s="13" t="str">
        <x:v>FIRE</x:v>
      </x:c>
      <x:c r="I562" s="13" t="str">
        <x:v>FINAL_TERWARIS</x:v>
      </x:c>
      <x:c r="J562" s="4" t="str">
        <x:v>Kebakaran kendaraan dinyatakan terjadi di KM 40.6 dengan penutupan lajur. Lalu lintas lancar hanya menerangkan kondisi arus, bukan menyangkal kebakaran. Dasar: R1,R2.</x:v>
      </x:c>
      <x:c r="K562" s="4" t="str">
        <x:v>FIRE</x:v>
      </x:c>
      <x:c r="L562" s="14" t="n">
        <x:v>0.5425335168838501</x:v>
      </x:c>
    </x:row>
    <x:row r="563" ht="64" customHeight="1">
      <x:c r="A563" s="4" t="str">
        <x:v>KEC-01220</x:v>
      </x:c>
      <x:c r="B563" s="4" t="str">
        <x:v>innalilahi wa innalilahi rojiun turut berduka cita atas meninggalnya ladiz bikers cci cbr 150 jombang kecelakaan di trowulan mojokerto kronologi aksi warga kejar sopir truk yang kabur usai tewaskan biker</x:v>
      </x:c>
      <x:c r="C563" s="4" t="str">
        <x:v>ACCIDENT</x:v>
      </x:c>
      <x:c r="D563" s="4" t="str">
        <x:v>ACCIDENT</x:v>
      </x:c>
      <x:c r="E563" s="13" t="str">
        <x:v>TERWARIS</x:v>
      </x:c>
      <x:c r="F563" s="13" t="str"/>
      <x:c r="G563" s="13" t="str"/>
      <x:c r="H563" s="13" t="str">
        <x:v>ACCIDENT</x:v>
      </x:c>
      <x:c r="I563" s="13" t="str">
        <x:v>FINAL_TERWARIS</x:v>
      </x:c>
      <x:c r="J563" s="4" t="str">
        <x:v>Ucapan dukacita menyebut kecelakaan di Trowulan, Mojokerto dan truk yang menewaskan biker. Narasi merujuk kejadian tertentu sesuai K1. Dasar: R1,R5.</x:v>
      </x:c>
      <x:c r="K563" s="4" t="str">
        <x:v>NON_EVENT</x:v>
      </x:c>
      <x:c r="L563" s="14" t="n">
        <x:v>0.5693309903144836</x:v>
      </x:c>
    </x:row>
    <x:row r="564" ht="64" customHeight="1">
      <x:c r="A564" s="4" t="str">
        <x:v>KEC-00348</x:v>
      </x:c>
      <x:c r="B564" s="4" t="str">
        <x:v>korban kecelakaan tanjakan emen dimakamkan di tpu legoso tangsel</x:v>
      </x:c>
      <x:c r="C564" s="4" t="str">
        <x:v>NON_EVENT</x:v>
      </x:c>
      <x:c r="D564" s="4" t="str">
        <x:v>ACCIDENT</x:v>
      </x:c>
      <x:c r="E564" s="13" t="str">
        <x:v>TERWARIS</x:v>
      </x:c>
      <x:c r="F564" s="13" t="str"/>
      <x:c r="G564" s="13" t="str"/>
      <x:c r="H564" s="13" t="str">
        <x:v>ACCIDENT</x:v>
      </x:c>
      <x:c r="I564" s="13" t="str">
        <x:v>FINAL_TERWARIS</x:v>
      </x:c>
      <x:c r="J564" s="4" t="str">
        <x:v>Pemakaman korban di TPU Legoso merujuk kecelakaan Tanjakan Emen. Informasi pascakejadian tetap diterima sesuai K1. Dasar: R1,R5.</x:v>
      </x:c>
      <x:c r="K564" s="4" t="str">
        <x:v>ACCIDENT</x:v>
      </x:c>
      <x:c r="L564" s="14" t="n">
        <x:v>0.619215726852417</x:v>
      </x:c>
    </x:row>
    <x:row r="565" ht="64" customHeight="1">
      <x:c r="A565" s="4" t="str">
        <x:v>BAN-01692</x:v>
      </x:c>
      <x:c r="B565" s="4" t="str">
        <x:v>banjir dukungan di injury time</x:v>
      </x:c>
      <x:c r="C565" s="4" t="str">
        <x:v>NON_EVENT</x:v>
      </x:c>
      <x:c r="D565" s="4" t="str">
        <x:v>NON_EVENT</x:v>
      </x:c>
      <x:c r="E565" s="13" t="str">
        <x:v>TERWARIS</x:v>
      </x:c>
      <x:c r="F565" s="13" t="str"/>
      <x:c r="G565" s="13" t="str"/>
      <x:c r="H565" s="13" t="str">
        <x:v>NON_EVENT</x:v>
      </x:c>
      <x:c r="I565" s="13" t="str">
        <x:v>FINAL_TERWARIS</x:v>
      </x:c>
      <x:c r="J565" s="4" t="str">
        <x:v>Banjir dukungan adalah kiasan untuk banyaknya dukungan dalam konteks injury time. Tidak ada pernyataan banjir fisik. Dasar: R3.</x:v>
      </x:c>
      <x:c r="K565" s="4" t="str">
        <x:v>FLOOD</x:v>
      </x:c>
      <x:c r="L565" s="14" t="n">
        <x:v>0.6306034922599792</x:v>
      </x:c>
    </x:row>
    <x:row r="566" ht="66" customHeight="1">
      <x:c r="A566" s="4" t="str">
        <x:v>KEB-01100</x:v>
      </x:c>
      <x:c r="B566" s="4" t="str">
        <x:v>kata nya ada yg kebakaran konslet mbak ada kabel fiber optic jaringan kami yg terkendala di jl . imam bonjol rt.004/rw . 4 , bojong jaya , kec . karawaci , kota tangerang , banten 15115 , dikarenakan ada nya korsleting kabel dan terbakar di tiang listrik pln .</x:v>
      </x:c>
      <x:c r="C566" s="4" t="str">
        <x:v>FIRE</x:v>
      </x:c>
      <x:c r="D566" s="4" t="str">
        <x:v>FIRE</x:v>
      </x:c>
      <x:c r="E566" s="13" t="str">
        <x:v>TERWARIS</x:v>
      </x:c>
      <x:c r="F566" s="13" t="str"/>
      <x:c r="G566" s="13" t="str"/>
      <x:c r="H566" s="13" t="str">
        <x:v>FIRE</x:v>
      </x:c>
      <x:c r="I566" s="13" t="str">
        <x:v>FINAL_TERWARIS</x:v>
      </x:c>
      <x:c r="J566" s="4" t="str">
        <x:v>Korsleting dan kabel terbakar pada tiang PLN dinyatakan menyebabkan gangguan jaringan di alamat rinci. Narasi memuat klaim kebakaran konkret. Dasar: R1,R4.</x:v>
      </x:c>
      <x:c r="K566" s="4" t="str">
        <x:v>NON_EVENT</x:v>
      </x:c>
      <x:c r="L566" s="14" t="n">
        <x:v>0.635826826095581</x:v>
      </x:c>
    </x:row>
    <x:row r="567" ht="64" customHeight="1">
      <x:c r="A567" s="4" t="str">
        <x:v>KEB-01099</x:v>
      </x:c>
      <x:c r="B567" s="4" t="str">
        <x:v>topik : kebakaran hutan di papua kebakaran ato dibakar hayoo wkwkwk</x:v>
      </x:c>
      <x:c r="C567" s="4" t="str">
        <x:v>NON_EVENT</x:v>
      </x:c>
      <x:c r="D567" s="4" t="str">
        <x:v>FIRE</x:v>
      </x:c>
      <x:c r="E567" s="13" t="str">
        <x:v>TERWARIS</x:v>
      </x:c>
      <x:c r="F567" s="13" t="str"/>
      <x:c r="G567" s="13" t="str"/>
      <x:c r="H567" s="13" t="str">
        <x:v>FIRE</x:v>
      </x:c>
      <x:c r="I567" s="13" t="str">
        <x:v>FINAL_TERWARIS</x:v>
      </x:c>
      <x:c r="J567" s="4" t="str">
        <x:v>Kebakaran hutan di Papua disebut eksplisit. Kebakaran atau dibakar mempertanyakan sebab api, sesuai adjudikasi FIRE yang tercatat pada K4. Dasar: R1,R2.</x:v>
      </x:c>
      <x:c r="K567" s="4" t="str">
        <x:v>FIRE</x:v>
      </x:c>
      <x:c r="L567" s="14" t="n">
        <x:v>0.6378101706504822</x:v>
      </x:c>
    </x:row>
    <x:row r="568" ht="64" customHeight="1">
      <x:c r="A568" s="4" t="str">
        <x:v>BAN-01074</x:v>
      </x:c>
      <x:c r="B568" s="4" t="str">
        <x:v>cegah banjir dan longsor warga tanam ribuan batang pohon di gunung buthak</x:v>
      </x:c>
      <x:c r="C568" s="4" t="str">
        <x:v>NON_EVENT</x:v>
      </x:c>
      <x:c r="D568" s="4" t="str">
        <x:v>NON_EVENT</x:v>
      </x:c>
      <x:c r="E568" s="13" t="str">
        <x:v>TERWARIS</x:v>
      </x:c>
      <x:c r="F568" s="13" t="str"/>
      <x:c r="G568" s="13" t="str"/>
      <x:c r="H568" s="13" t="str">
        <x:v>NON_EVENT</x:v>
      </x:c>
      <x:c r="I568" s="13" t="str">
        <x:v>FINAL_TERWARIS</x:v>
      </x:c>
      <x:c r="J568" s="4" t="str">
        <x:v>Penanaman pohon dilakukan untuk mencegah banjir dan longsor. Teks tidak menyatakan banjir sudah atau sedang terjadi. Dasar: R3.</x:v>
      </x:c>
      <x:c r="K568" s="4" t="str">
        <x:v>FLOOD</x:v>
      </x:c>
      <x:c r="L568" s="14" t="n">
        <x:v>0.6586183309555054</x:v>
      </x:c>
    </x:row>
    <x:row r="569" ht="64" customHeight="1">
      <x:c r="A569" s="4" t="str">
        <x:v>GEM-01439</x:v>
      </x:c>
      <x:c r="B569" s="4" t="str">
        <x:v>faktor gempa bumi di negara indonesia</x:v>
      </x:c>
      <x:c r="C569" s="4" t="str">
        <x:v>NON_EVENT</x:v>
      </x:c>
      <x:c r="D569" s="4" t="str">
        <x:v>NON_EVENT</x:v>
      </x:c>
      <x:c r="E569" s="13" t="str">
        <x:v>TERWARIS</x:v>
      </x:c>
      <x:c r="F569" s="13" t="str"/>
      <x:c r="G569" s="13" t="str"/>
      <x:c r="H569" s="13" t="str">
        <x:v>NON_EVENT</x:v>
      </x:c>
      <x:c r="I569" s="13" t="str">
        <x:v>FINAL_TERWARIS</x:v>
      </x:c>
      <x:c r="J569" s="4" t="str">
        <x:v>Faktor gempa bumi di Indonesia adalah topik umum mengenai penyebab. Teks tidak menyatakan kejadian gempa tertentu. Dasar: R3.</x:v>
      </x:c>
      <x:c r="K569" s="4" t="str">
        <x:v>EARTHQUAKE</x:v>
      </x:c>
      <x:c r="L569" s="14" t="n">
        <x:v>0.6700281500816345</x:v>
      </x:c>
    </x:row>
    <x:row r="570" ht="66" customHeight="1">
      <x:c r="A570" s="4" t="str">
        <x:v>KEC-01404</x:v>
      </x:c>
      <x:c r="B570" s="4" t="str">
        <x:v>kang barusan saya kecelakaan motor di jalan a yani leher saya tersangkut kabel listrik/telepon yang melintang horizontal di tengah jalan leher sobek badan memar motor jatuh lecet2 dinas terkait mohon menjadi perhatian agar tidak ada korban lain dmmp !</x:v>
      </x:c>
      <x:c r="C570" s="4" t="str">
        <x:v>NON_EVENT</x:v>
      </x:c>
      <x:c r="D570" s="4" t="str">
        <x:v>ACCIDENT</x:v>
      </x:c>
      <x:c r="E570" s="13" t="str">
        <x:v>TERWARIS</x:v>
      </x:c>
      <x:c r="F570" s="13" t="str"/>
      <x:c r="G570" s="13" t="str"/>
      <x:c r="H570" s="13" t="str">
        <x:v>ACCIDENT</x:v>
      </x:c>
      <x:c r="I570" s="13" t="str">
        <x:v>FINAL_TERWARIS</x:v>
      </x:c>
      <x:c r="J570" s="4" t="str">
        <x:v>Pelapor menyatakan baru mengalami kecelakaan motor akibat kabel melintang, dengan luka leher dan memar. Klaim kejadian dan dampaknya eksplisit. Dasar: R1.</x:v>
      </x:c>
      <x:c r="K570" s="4" t="str">
        <x:v>ACCIDENT</x:v>
      </x:c>
      <x:c r="L570" s="14" t="n">
        <x:v>0.6728184819221497</x:v>
      </x:c>
    </x:row>
    <x:row r="571" ht="64" customHeight="1">
      <x:c r="A571" s="4" t="str">
        <x:v>BAN-01073</x:v>
      </x:c>
      <x:c r="B571" s="4" t="str">
        <x:v>banjir musiman di pasar kepanjen sampai kapan ?</x:v>
      </x:c>
      <x:c r="C571" s="4" t="str">
        <x:v>FLOOD</x:v>
      </x:c>
      <x:c r="D571" s="4" t="str">
        <x:v>FLOOD</x:v>
      </x:c>
      <x:c r="E571" s="13" t="str">
        <x:v>TERWARIS</x:v>
      </x:c>
      <x:c r="F571" s="13" t="str"/>
      <x:c r="G571" s="13" t="str"/>
      <x:c r="H571" s="13" t="str">
        <x:v>FLOOD</x:v>
      </x:c>
      <x:c r="I571" s="13" t="str">
        <x:v>FINAL_TERWARIS</x:v>
      </x:c>
      <x:c r="J571" s="4" t="str">
        <x:v>Keluhan banjir musiman di Pasar Kepanjen mempertanyakan sampai kapan kondisi tersebut berlangsung. Narasi merujuk banjir literal pada lokasi tertentu. Dasar: R1,R4.</x:v>
      </x:c>
      <x:c r="K571" s="4" t="str">
        <x:v>NON_EVENT</x:v>
      </x:c>
      <x:c r="L571" s="14" t="n">
        <x:v>0.6735957264900208</x:v>
      </x:c>
    </x:row>
    <x:row r="572" ht="66" customHeight="1">
      <x:c r="A572" s="4" t="str">
        <x:v>KEB-00904</x:v>
      </x:c>
      <x:c r="B572" s="4" t="str">
        <x:v>pmi bantu korban kebakaran rumah di baran rt . 13 doyong kec . miri sragen yang terjadi pd senin pk . 19 ( 21/9/20 ) bantuan diserahkan pada selasa siang ( 22/9/20 ) berupa uang tunai , paket hygine kit , paket sembako , matras dan sarung . semoga bermanfaat</x:v>
      </x:c>
      <x:c r="C572" s="4" t="str">
        <x:v>FIRE</x:v>
      </x:c>
      <x:c r="D572" s="4" t="str">
        <x:v>FIRE</x:v>
      </x:c>
      <x:c r="E572" s="13" t="str">
        <x:v>TERWARIS</x:v>
      </x:c>
      <x:c r="F572" s="13" t="str"/>
      <x:c r="G572" s="13" t="str"/>
      <x:c r="H572" s="13" t="str">
        <x:v>FIRE</x:v>
      </x:c>
      <x:c r="I572" s="13" t="str">
        <x:v>FINAL_TERWARIS</x:v>
      </x:c>
      <x:c r="J572" s="4" t="str">
        <x:v>Bantuan PMI secara eksplisit merujuk kebakaran rumah pada 21/9/20. Waktu bantuan 22/9/20 tetap dibedakan dari waktu kebakaran sesuai K1 dan K2. Dasar: R1,R5,R6.</x:v>
      </x:c>
      <x:c r="K572" s="4" t="str">
        <x:v>NON_EVENT</x:v>
      </x:c>
      <x:c r="L572" s="14" t="n">
        <x:v>0.6785709857940674</x:v>
      </x:c>
    </x:row>
    <x:row r="573" ht="66" customHeight="1">
      <x:c r="A573" s="4" t="str">
        <x:v>KEB-00543</x:v>
      </x:c>
      <x:c r="B573" s="4" t="str">
        <x:v>pmi sragen bantu korban kebakaran rumah di ploso , jati sumberlawang sragen ( 8/7/20 ) bantuan berupa uang tunai , paket sembako , hygine kit , sarung &amp; amp matras . kebakaran terjadi rabu ( 8/7/20 ) pkl . 5 bantuan ini berasal dr masyarakat y yg disumbangkan melalui kupon bulan dana pmi</x:v>
      </x:c>
      <x:c r="C573" s="4" t="str">
        <x:v>NON_EVENT</x:v>
      </x:c>
      <x:c r="D573" s="4" t="str">
        <x:v>FIRE</x:v>
      </x:c>
      <x:c r="E573" s="13" t="str">
        <x:v>TERWARIS</x:v>
      </x:c>
      <x:c r="F573" s="13" t="str"/>
      <x:c r="G573" s="13" t="str"/>
      <x:c r="H573" s="13" t="str">
        <x:v>FIRE</x:v>
      </x:c>
      <x:c r="I573" s="13" t="str">
        <x:v>FINAL_TERWARIS</x:v>
      </x:c>
      <x:c r="J573" s="4" t="str">
        <x:v>Narasi bantuan PMI menyatakan kebakaran rumah di Ploso terjadi pada 8/7/20 pukul 5. Konteks bantuan dan kejadian lama diterima sesuai K1 dan K2. Dasar: R1,R5,R6.</x:v>
      </x:c>
      <x:c r="K573" s="4" t="str">
        <x:v>FIRE</x:v>
      </x:c>
      <x:c r="L573" s="14" t="n">
        <x:v>0.6815631985664368</x:v>
      </x:c>
    </x:row>
    <x:row r="574" ht="64" customHeight="1">
      <x:c r="A574" s="4" t="str">
        <x:v>BAN-01945</x:v>
      </x:c>
      <x:c r="B574" s="4" t="str">
        <x:v>salam sehat berikut adalah informasi terkait dengan banjir yang terjadi di kabupaten konawe utara update tanggal 25 juni 2019</x:v>
      </x:c>
      <x:c r="C574" s="4" t="str">
        <x:v>FLOOD</x:v>
      </x:c>
      <x:c r="D574" s="4" t="str">
        <x:v>FLOOD</x:v>
      </x:c>
      <x:c r="E574" s="13" t="str">
        <x:v>TERWARIS</x:v>
      </x:c>
      <x:c r="F574" s="13" t="str"/>
      <x:c r="G574" s="13" t="str"/>
      <x:c r="H574" s="13" t="str">
        <x:v>FLOOD</x:v>
      </x:c>
      <x:c r="I574" s="13" t="str">
        <x:v>FINAL_TERWARIS</x:v>
      </x:c>
      <x:c r="J574" s="4" t="str">
        <x:v>Teks secara eksplisit menyebut banjir yang terjadi di Konawe Utara. Tanggal pembaruan 25 Juni 2019 dipertahankan sebagai konteks sumber sesuai K2. Dasar: R1,R6.</x:v>
      </x:c>
      <x:c r="K574" s="4" t="str">
        <x:v>NON_EVENT</x:v>
      </x:c>
      <x:c r="L574" s="14" t="n">
        <x:v>0.7176388502120972</x:v>
      </x:c>
    </x:row>
    <x:row r="575" ht="64" customHeight="1">
      <x:c r="A575" s="4" t="str">
        <x:v>KEB-00705</x:v>
      </x:c>
      <x:c r="B575" s="4" t="str">
        <x:v>polisi selidiki penyebab kebakaran hpbb telkom di pekanbaru</x:v>
      </x:c>
      <x:c r="C575" s="4" t="str">
        <x:v>NON_EVENT</x:v>
      </x:c>
      <x:c r="D575" s="4" t="str">
        <x:v>FIRE</x:v>
      </x:c>
      <x:c r="E575" s="13" t="str">
        <x:v>TERWARIS</x:v>
      </x:c>
      <x:c r="F575" s="13" t="str"/>
      <x:c r="G575" s="13" t="str"/>
      <x:c r="H575" s="13" t="str">
        <x:v>FIRE</x:v>
      </x:c>
      <x:c r="I575" s="13" t="str">
        <x:v>FINAL_TERWARIS</x:v>
      </x:c>
      <x:c r="J575" s="4" t="str">
        <x:v>Penyelidikan polisi merujuk penyebab kebakaran Telkom di Pekanbaru. Fokus penyelidikan tetap memuat kejadian tertentu sesuai K1. Dasar: R1,R5.</x:v>
      </x:c>
      <x:c r="K575" s="4" t="str">
        <x:v>FIRE</x:v>
      </x:c>
      <x:c r="L575" s="14" t="n">
        <x:v>0.7330212593078613</x:v>
      </x:c>
    </x:row>
    <x:row r="576" ht="64" customHeight="1">
      <x:c r="A576" s="4" t="str">
        <x:v>GEM-01317</x:v>
      </x:c>
      <x:c r="B576" s="4" t="str">
        <x:v>[ bencana gempa bumi dan tsunami di palu indonesia ] bencana yang terjadi pada 28 september yang lalu 77 pada skala richter dan tsunami yang melanda palu telah mengorbankan lebih 2 0 nyawa</x:v>
      </x:c>
      <x:c r="C576" s="4" t="str">
        <x:v>EARTHQUAKE</x:v>
      </x:c>
      <x:c r="D576" s="4" t="str">
        <x:v>EARTHQUAKE</x:v>
      </x:c>
      <x:c r="E576" s="13" t="str">
        <x:v>TERWARIS</x:v>
      </x:c>
      <x:c r="F576" s="13" t="str"/>
      <x:c r="G576" s="13" t="str"/>
      <x:c r="H576" s="13" t="str">
        <x:v>EARTHQUAKE</x:v>
      </x:c>
      <x:c r="I576" s="13" t="str">
        <x:v>FINAL_TERWARIS</x:v>
      </x:c>
      <x:c r="J576" s="4" t="str">
        <x:v>Narasi menyatakan gempa dan tsunami di Palu pada 28 September yang lalu. Kejadian lampau tetap diterima sesuai K2 tanpa menebak tahun. Dasar: R1,R6.</x:v>
      </x:c>
      <x:c r="K576" s="4" t="str">
        <x:v>NON_EVENT</x:v>
      </x:c>
      <x:c r="L576" s="14" t="n">
        <x:v>0.7403073906898499</x:v>
      </x:c>
    </x:row>
    <x:row r="577" ht="64" customHeight="1">
      <x:c r="A577" s="4" t="str">
        <x:v>BAN-01113</x:v>
      </x:c>
      <x:c r="B577" s="4" t="str">
        <x:v>hari kedua banjir semarang bagana masih stay di lokasi semangat sahabat</x:v>
      </x:c>
      <x:c r="C577" s="4" t="str">
        <x:v>NON_EVENT</x:v>
      </x:c>
      <x:c r="D577" s="4" t="str">
        <x:v>FLOOD</x:v>
      </x:c>
      <x:c r="E577" s="13" t="str">
        <x:v>TERWARIS</x:v>
      </x:c>
      <x:c r="F577" s="13" t="str"/>
      <x:c r="G577" s="13" t="str"/>
      <x:c r="H577" s="13" t="str">
        <x:v>FLOOD</x:v>
      </x:c>
      <x:c r="I577" s="13" t="str">
        <x:v>FINAL_TERWARIS</x:v>
      </x:c>
      <x:c r="J577" s="4" t="str">
        <x:v>Hari kedua banjir Semarang dan tim yang masih berada di lokasi menunjukkan rujukan kejadian banjir yang berlangsung. Dasar: R1.</x:v>
      </x:c>
      <x:c r="K577" s="4" t="str">
        <x:v>FLOOD</x:v>
      </x:c>
      <x:c r="L577" s="14" t="n">
        <x:v>0.7471660375595093</x:v>
      </x:c>
    </x:row>
    <x:row r="578" ht="66" customHeight="1">
      <x:c r="A578" s="4" t="str">
        <x:v>KEB-00573</x:v>
      </x:c>
      <x:c r="B578" s="4" t="str">
        <x:v>kompi 1 yon b pelopor satbrimobda ntt dan tim jibom dpp danki 1 , iptu inacio ximenes . laksanakan pemadaman kebakaran lahan di kawasan hutan lindung ilinmedo , kampung kolibuluk , dusun lua , desa hoder , kecamatan waigete , kabupaten sikka .</x:v>
      </x:c>
      <x:c r="C578" s="4" t="str">
        <x:v>FIRE</x:v>
      </x:c>
      <x:c r="D578" s="4" t="str">
        <x:v>FIRE</x:v>
      </x:c>
      <x:c r="E578" s="13" t="str">
        <x:v>TERWARIS</x:v>
      </x:c>
      <x:c r="F578" s="13" t="str"/>
      <x:c r="G578" s="13" t="str"/>
      <x:c r="H578" s="13" t="str">
        <x:v>FIRE</x:v>
      </x:c>
      <x:c r="I578" s="13" t="str">
        <x:v>FINAL_TERWARIS</x:v>
      </x:c>
      <x:c r="J578" s="4" t="str">
        <x:v>Petugas dinyatakan melaksanakan pemadaman kebakaran lahan di kawasan hutan lindung Ilinmedo dengan lokasi rinci. Narasi menyatakan penanganan kebakaran nyata. Dasar: R1.</x:v>
      </x:c>
      <x:c r="K578" s="4" t="str">
        <x:v>NON_EVENT</x:v>
      </x:c>
      <x:c r="L578" s="14" t="n">
        <x:v>0.754964292049408</x:v>
      </x:c>
    </x:row>
    <x:row r="579" ht="64" customHeight="1">
      <x:c r="A579" s="4" t="str">
        <x:v>KEB-00388</x:v>
      </x:c>
      <x:c r="B579" s="4" t="str">
        <x:v>waka ops res pati kompol i wayan tudy subawa , sh . m . pd . h pimpin proses pemadaman kebakaran di pasar porda juwana</x:v>
      </x:c>
      <x:c r="C579" s="4" t="str">
        <x:v>FIRE</x:v>
      </x:c>
      <x:c r="D579" s="4" t="str">
        <x:v>FIRE</x:v>
      </x:c>
      <x:c r="E579" s="13" t="str">
        <x:v>TERWARIS</x:v>
      </x:c>
      <x:c r="F579" s="13" t="str"/>
      <x:c r="G579" s="13" t="str"/>
      <x:c r="H579" s="13" t="str">
        <x:v>FIRE</x:v>
      </x:c>
      <x:c r="I579" s="13" t="str">
        <x:v>FINAL_TERWARIS</x:v>
      </x:c>
      <x:c r="J579" s="4" t="str">
        <x:v>Teks menyatakan petugas memimpin proses pemadaman kebakaran di Pasar Porda Juwana. Pemadaman merujuk kejadian kebakaran konkret. Dasar: R1.</x:v>
      </x:c>
      <x:c r="K579" s="4" t="str">
        <x:v>NON_EVENT</x:v>
      </x:c>
      <x:c r="L579" s="14" t="n">
        <x:v>0.7622445225715637</x:v>
      </x:c>
    </x:row>
    <x:row r="580" ht="64" customHeight="1">
      <x:c r="A580" s="4" t="str">
        <x:v>BAN-01075</x:v>
      </x:c>
      <x:c r="B580" s="4" t="str">
        <x:v>detik-detik banjir bandang terjang desa di aceh terekam video amatir</x:v>
      </x:c>
      <x:c r="C580" s="4" t="str">
        <x:v>FLOOD</x:v>
      </x:c>
      <x:c r="D580" s="4" t="str">
        <x:v>FLOOD</x:v>
      </x:c>
      <x:c r="E580" s="13" t="str">
        <x:v>TERWARIS</x:v>
      </x:c>
      <x:c r="F580" s="13" t="str"/>
      <x:c r="G580" s="13" t="str"/>
      <x:c r="H580" s="13" t="str">
        <x:v>FLOOD</x:v>
      </x:c>
      <x:c r="I580" s="13" t="str">
        <x:v>FINAL_TERWARIS</x:v>
      </x:c>
      <x:c r="J580" s="4" t="str">
        <x:v>Judul menyatakan banjir bandang menerjang desa di Aceh. Penyebutan video tidak mengubah klaim kejadian dalam teks sesuai K3. Dasar: R1,R5.</x:v>
      </x:c>
      <x:c r="K580" s="4" t="str">
        <x:v>NON_EVENT</x:v>
      </x:c>
      <x:c r="L580" s="14" t="n">
        <x:v>0.7654853463172913</x:v>
      </x:c>
    </x:row>
    <x:row r="581" ht="66" customHeight="1">
      <x:c r="A581" s="4" t="str">
        <x:v>KEB-00789</x:v>
      </x:c>
      <x:c r="B581" s="4" t="str">
        <x:v>sejak awal tahun hingga saat ini , sudah ada 84 kasus kebakaran di makassar . kebakaran paling banyak terjadi di bulan agustus ini . umum nya penyebab kebakaran adalah arus pendek listrik . karena itu warga diminta selalu waspada terhadap peristiwa kebakaran</x:v>
      </x:c>
      <x:c r="C581" s="4" t="str">
        <x:v>NON_EVENT</x:v>
      </x:c>
      <x:c r="D581" s="4" t="str">
        <x:v>NON_EVENT</x:v>
      </x:c>
      <x:c r="E581" s="13" t="str">
        <x:v>TERWARIS</x:v>
      </x:c>
      <x:c r="F581" s="13" t="str"/>
      <x:c r="G581" s="13" t="str"/>
      <x:c r="H581" s="13" t="str">
        <x:v>NON_EVENT</x:v>
      </x:c>
      <x:c r="I581" s="13" t="str">
        <x:v>FINAL_TERWARIS</x:v>
      </x:c>
      <x:c r="J581" s="4" t="str">
        <x:v>Teks berisi statistik 84 kasus, tren bulanan, penyebab umum dan imbauan waspada. Tidak ada satu kebakaran tertentu yang diuraikan. Dasar: R3.</x:v>
      </x:c>
      <x:c r="K581" s="4" t="str">
        <x:v>FIRE</x:v>
      </x:c>
      <x:c r="L581" s="14" t="n">
        <x:v>0.8016573190689087</x:v>
      </x:c>
    </x:row>
    <x:row r="582" ht="64" customHeight="1">
      <x:c r="A582" s="4" t="str">
        <x:v>GEM-01246</x:v>
      </x:c>
      <x:c r="B582" s="4" t="str">
        <x:v>tahun lalu kita mengalami gempa bumi dua kali di tanggal 31 oktober</x:v>
      </x:c>
      <x:c r="C582" s="4" t="str">
        <x:v>NON_EVENT</x:v>
      </x:c>
      <x:c r="D582" s="4" t="str">
        <x:v>EARTHQUAKE</x:v>
      </x:c>
      <x:c r="E582" s="13" t="str">
        <x:v>TERWARIS</x:v>
      </x:c>
      <x:c r="F582" s="13" t="str"/>
      <x:c r="G582" s="13" t="str"/>
      <x:c r="H582" s="13" t="str">
        <x:v>EARTHQUAKE</x:v>
      </x:c>
      <x:c r="I582" s="13" t="str">
        <x:v>FINAL_TERWARIS</x:v>
      </x:c>
      <x:c r="J582" s="4" t="str">
        <x:v>Pernyataan mengalami gempa dua kali menyatakan kejadian, meski disebut tahun lalu. Tahun absolut tidak ditambahkan dan usia kejadian mengikuti K2. Dasar: R1,R6.</x:v>
      </x:c>
      <x:c r="K582" s="4" t="str">
        <x:v>EARTHQUAKE</x:v>
      </x:c>
      <x:c r="L582" s="14" t="n">
        <x:v>0.8470790982246399</x:v>
      </x:c>
    </x:row>
    <x:row r="583" ht="64" customHeight="1">
      <x:c r="A583" s="4" t="str">
        <x:v>KEB-00364</x:v>
      </x:c>
      <x:c r="B583" s="4" t="str">
        <x:v>punca kebakaran di bangunan empat tingkat yang belum siap itu masih dalam siasatan</x:v>
      </x:c>
      <x:c r="C583" s="4" t="str">
        <x:v>FIRE</x:v>
      </x:c>
      <x:c r="D583" s="4" t="str">
        <x:v>FIRE</x:v>
      </x:c>
      <x:c r="E583" s="13" t="str">
        <x:v>TERWARIS</x:v>
      </x:c>
      <x:c r="F583" s="13" t="str"/>
      <x:c r="G583" s="13" t="str"/>
      <x:c r="H583" s="13" t="str">
        <x:v>FIRE</x:v>
      </x:c>
      <x:c r="I583" s="13" t="str">
        <x:v>FINAL_TERWARIS</x:v>
      </x:c>
      <x:c r="J583" s="4" t="str">
        <x:v>Penyebab kebakaran bangunan empat tingkat masih diselidiki. Ketidakpastian penyebab tidak menyangkal kebakaran yang dirujuk sesuai K1. Dasar: R1,R2,R5.</x:v>
      </x:c>
      <x:c r="K583" s="4" t="str">
        <x:v>NON_EVENT</x:v>
      </x:c>
      <x:c r="L583" s="14" t="n">
        <x:v>0.8563165664672852</x:v>
      </x:c>
    </x:row>
    <x:row r="584" ht="64" customHeight="1">
      <x:c r="A584" s="4" t="str">
        <x:v>KEB-00527</x:v>
      </x:c>
      <x:c r="B584" s="4" t="str">
        <x:v>video - proses pemadaman kebakaran lahan gambut di aceh barat</x:v>
      </x:c>
      <x:c r="C584" s="4" t="str">
        <x:v>NON_EVENT</x:v>
      </x:c>
      <x:c r="D584" s="4" t="str">
        <x:v>FIRE</x:v>
      </x:c>
      <x:c r="E584" s="13" t="str">
        <x:v>TERWARIS</x:v>
      </x:c>
      <x:c r="F584" s="13" t="str"/>
      <x:c r="G584" s="13" t="str"/>
      <x:c r="H584" s="13" t="str">
        <x:v>FIRE</x:v>
      </x:c>
      <x:c r="I584" s="13" t="str">
        <x:v>FINAL_TERWARIS</x:v>
      </x:c>
      <x:c r="J584" s="4" t="str">
        <x:v>Teks menyatakan proses pemadaman kebakaran lahan gambut di Aceh Barat. Klaim tekstual cukup untuk label kejadian sesuai K3. Dasar: R1,R5.</x:v>
      </x:c>
      <x:c r="K584" s="4" t="str">
        <x:v>FIRE</x:v>
      </x:c>
      <x:c r="L584" s="14" t="n">
        <x:v>0.872753918170929</x:v>
      </x:c>
    </x:row>
    <x:row r="585" ht="64" customHeight="1">
      <x:c r="A585" s="4" t="str">
        <x:v>KEB-00598</x:v>
      </x:c>
      <x:c r="B585" s="4" t="str">
        <x:v>damkar banda aceh : penyebab kebakaran di rumah tangga dan cara penanggulangan nya</x:v>
      </x:c>
      <x:c r="C585" s="4" t="str">
        <x:v>NON_EVENT</x:v>
      </x:c>
      <x:c r="D585" s="4" t="str">
        <x:v>NON_EVENT</x:v>
      </x:c>
      <x:c r="E585" s="13" t="str">
        <x:v>TERWARIS</x:v>
      </x:c>
      <x:c r="F585" s="13" t="str"/>
      <x:c r="G585" s="13" t="str"/>
      <x:c r="H585" s="13" t="str">
        <x:v>NON_EVENT</x:v>
      </x:c>
      <x:c r="I585" s="13" t="str">
        <x:v>FINAL_TERWARIS</x:v>
      </x:c>
      <x:c r="J585" s="4" t="str">
        <x:v>Judul mengenai penyebab kebakaran rumah tangga dan cara penanggulangan bersifat edukasi umum. Tidak ada klaim kebakaran tertentu. Dasar: R3.</x:v>
      </x:c>
      <x:c r="K585" s="4" t="str">
        <x:v>FIRE</x:v>
      </x:c>
      <x:c r="L585" s="14" t="n">
        <x:v>0.8728507161140442</x:v>
      </x:c>
    </x:row>
    <x:row r="586" ht="64" customHeight="1">
      <x:c r="A586" s="4" t="str">
        <x:v>GEM-01244</x:v>
      </x:c>
      <x:c r="B586" s="4" t="str">
        <x:v>gempa bumi tidak ganggu pertanian di parigi - medcom id</x:v>
      </x:c>
      <x:c r="C586" s="4" t="str">
        <x:v>NON_EVENT</x:v>
      </x:c>
      <x:c r="D586" s="4" t="str">
        <x:v>EARTHQUAKE</x:v>
      </x:c>
      <x:c r="E586" s="13" t="str">
        <x:v>TERWARIS</x:v>
      </x:c>
      <x:c r="F586" s="13" t="str"/>
      <x:c r="G586" s="13" t="str"/>
      <x:c r="H586" s="13" t="str">
        <x:v>EARTHQUAKE</x:v>
      </x:c>
      <x:c r="I586" s="13" t="str">
        <x:v>FINAL_TERWARIS</x:v>
      </x:c>
      <x:c r="J586" s="4" t="str">
        <x:v>Judul menyebut gempa di Parigi yang tidak mengganggu pertanian. Nama media tidak mengubah negasi yang hanya berlaku pada dampak pertanian. Dasar: R1,R2.</x:v>
      </x:c>
      <x:c r="K586" s="4" t="str">
        <x:v>EARTHQUAKE</x:v>
      </x:c>
      <x:c r="L586" s="14" t="n">
        <x:v>0.8738887906074524</x:v>
      </x:c>
    </x:row>
    <x:row r="587" ht="64" customHeight="1">
      <x:c r="A587" s="4" t="str">
        <x:v>KEC-01006</x:v>
      </x:c>
      <x:c r="B587" s="4" t="str">
        <x:v>4 kecelakaan maut dan mengerikan di dunia karena hal sepele</x:v>
      </x:c>
      <x:c r="C587" s="4" t="str">
        <x:v>NON_EVENT</x:v>
      </x:c>
      <x:c r="D587" s="4" t="str">
        <x:v>NON_EVENT</x:v>
      </x:c>
      <x:c r="E587" s="13" t="str">
        <x:v>TERWARIS</x:v>
      </x:c>
      <x:c r="F587" s="13" t="str"/>
      <x:c r="G587" s="13" t="str"/>
      <x:c r="H587" s="13" t="str">
        <x:v>NON_EVENT</x:v>
      </x:c>
      <x:c r="I587" s="13" t="str">
        <x:v>FINAL_TERWARIS</x:v>
      </x:c>
      <x:c r="J587" s="4" t="str">
        <x:v>Judul daftar empat kecelakaan di dunia tidak menguraikan identitas atau kejadian tertentu. Penyebutan kategori dalam daftar umum mengikuti R3. Dasar: R3.</x:v>
      </x:c>
      <x:c r="K587" s="4" t="str">
        <x:v>ACCIDENT</x:v>
      </x:c>
      <x:c r="L587" s="14" t="n">
        <x:v>0.8760910034179688</x:v>
      </x:c>
    </x:row>
    <x:row r="588" ht="66" customHeight="1">
      <x:c r="A588" s="4" t="str">
        <x:v>BAN-01327</x:v>
      </x:c>
      <x:c r="B588" s="4" t="str">
        <x:v>from - duka menyapa warga gowa makassar dan sekitarnya longsor dan banjir bandang menyebabkan 30 orang meninggal dunia 25 orang hilang 47 luka-luka 3321 orang mengungsi 76 rumah rusak dan 9 jembatan rusak tercatat 53 kecamatan di</x:v>
      </x:c>
      <x:c r="C588" s="4" t="str">
        <x:v>NON_EVENT</x:v>
      </x:c>
      <x:c r="D588" s="4" t="str">
        <x:v>FLOOD</x:v>
      </x:c>
      <x:c r="E588" s="13" t="str">
        <x:v>TERWARIS</x:v>
      </x:c>
      <x:c r="F588" s="13" t="str"/>
      <x:c r="G588" s="13" t="str"/>
      <x:c r="H588" s="13" t="str">
        <x:v>FLOOD</x:v>
      </x:c>
      <x:c r="I588" s="13" t="str">
        <x:v>FINAL_TERWARIS</x:v>
      </x:c>
      <x:c r="J588" s="4" t="str">
        <x:v>Banjir bandang di Gowa, Makassar dan sekitarnya dinyatakan menimbulkan korban serta kerusakan bersama longsor. Klaim banjir memenuhi kategori MVP. Dasar: R1,R4.</x:v>
      </x:c>
      <x:c r="K588" s="4" t="str">
        <x:v>FLOOD</x:v>
      </x:c>
      <x:c r="L588" s="14" t="n">
        <x:v>0.8893586993217468</x:v>
      </x:c>
    </x:row>
    <x:row r="589" ht="64" customHeight="1">
      <x:c r="A589" s="4" t="str">
        <x:v>BAN-01458</x:v>
      </x:c>
      <x:c r="B589" s="4" t="str">
        <x:v>banjir siswa sd di dayeuhkolot masih belajar di pengungsian</x:v>
      </x:c>
      <x:c r="C589" s="4" t="str">
        <x:v>NON_EVENT</x:v>
      </x:c>
      <x:c r="D589" s="4" t="str">
        <x:v>FLOOD</x:v>
      </x:c>
      <x:c r="E589" s="13" t="str">
        <x:v>TERWARIS</x:v>
      </x:c>
      <x:c r="F589" s="13" t="str"/>
      <x:c r="G589" s="13" t="str"/>
      <x:c r="H589" s="13" t="str">
        <x:v>FLOOD</x:v>
      </x:c>
      <x:c r="I589" s="13" t="str">
        <x:v>FINAL_TERWARIS</x:v>
      </x:c>
      <x:c r="J589" s="4" t="str">
        <x:v>Siswa di Dayeuhkolot masih belajar di pengungsian akibat konteks banjir yang disebut. Kondisi pascakejadian tetap termasuk sesuai K1. Dasar: R1,R5.</x:v>
      </x:c>
      <x:c r="K589" s="4" t="str">
        <x:v>FLOOD</x:v>
      </x:c>
      <x:c r="L589" s="14" t="n">
        <x:v>0.8908491730690002</x:v>
      </x:c>
    </x:row>
    <x:row r="590" ht="64" customHeight="1">
      <x:c r="A590" s="4" t="str">
        <x:v>BAN-01316</x:v>
      </x:c>
      <x:c r="B590" s="4" t="str">
        <x:v>from sedekahkreatif - bismillah assalamu'alaykum warahmatullahi wabarakatuh telah terjadi bencana banjir yang melanda sebagian kota di sulawesi selatan data sementara bnpb mencatat</x:v>
      </x:c>
      <x:c r="C590" s="4" t="str">
        <x:v>FLOOD</x:v>
      </x:c>
      <x:c r="D590" s="4" t="str">
        <x:v>FLOOD</x:v>
      </x:c>
      <x:c r="E590" s="13" t="str">
        <x:v>TERWARIS</x:v>
      </x:c>
      <x:c r="F590" s="13" t="str"/>
      <x:c r="G590" s="13" t="str"/>
      <x:c r="H590" s="13" t="str">
        <x:v>FLOOD</x:v>
      </x:c>
      <x:c r="I590" s="13" t="str">
        <x:v>FINAL_TERWARIS</x:v>
      </x:c>
      <x:c r="J590" s="4" t="str">
        <x:v>Frasa telah terjadi bencana banjir menyatakan kejadian di Sulawesi Selatan. Potongan data BNPB tidak menghapus klaim tersebut. Dasar: R1,R4.</x:v>
      </x:c>
      <x:c r="K590" s="4" t="str">
        <x:v>NON_EVENT</x:v>
      </x:c>
      <x:c r="L590" s="14" t="n">
        <x:v>0.8932677507400513</x:v>
      </x:c>
    </x:row>
    <x:row r="591" ht="64" customHeight="1">
      <x:c r="A591" s="4" t="str">
        <x:v>KEB-01002</x:v>
      </x:c>
      <x:c r="B591" s="4" t="str">
        <x:v>evakuasi hewan ( anjing ) di tkp kebakaran ruko lantai 3 di jalan kh . zaenil arifin jakarta pusat . ( 24/10/2020 ) .</x:v>
      </x:c>
      <x:c r="C591" s="4" t="str">
        <x:v>NON_EVENT</x:v>
      </x:c>
      <x:c r="D591" s="4" t="str">
        <x:v>FIRE</x:v>
      </x:c>
      <x:c r="E591" s="13" t="str">
        <x:v>TERWARIS</x:v>
      </x:c>
      <x:c r="F591" s="13" t="str"/>
      <x:c r="G591" s="13" t="str"/>
      <x:c r="H591" s="13" t="str">
        <x:v>FIRE</x:v>
      </x:c>
      <x:c r="I591" s="13" t="str">
        <x:v>FINAL_TERWARIS</x:v>
      </x:c>
      <x:c r="J591" s="4" t="str">
        <x:v>Evakuasi anjing merujuk TKP kebakaran ruko di Jakarta Pusat pada 24/10/2020. Penanganan dan tanggal lampau tetap diterima sesuai K1 dan K2. Dasar: R1,R5,R6.</x:v>
      </x:c>
      <x:c r="K591" s="4" t="str">
        <x:v>FIRE</x:v>
      </x:c>
      <x:c r="L591" s="14" t="n">
        <x:v>0.9149451851844788</x:v>
      </x:c>
    </x:row>
    <x:row r="592" ht="64" customHeight="1">
      <x:c r="A592" s="4" t="str">
        <x:v>BAN-01361</x:v>
      </x:c>
      <x:c r="B592" s="4" t="str">
        <x:v>saat ini dilanda hujan yang cukup deras disertai kilat+gledek dan angin waspada banjir di bypass gedebage ( -nya lagu - rain )</x:v>
      </x:c>
      <x:c r="C592" s="4" t="str">
        <x:v>NON_EVENT</x:v>
      </x:c>
      <x:c r="D592" s="4" t="str">
        <x:v>NON_EVENT</x:v>
      </x:c>
      <x:c r="E592" s="13" t="str">
        <x:v>TERWARIS</x:v>
      </x:c>
      <x:c r="F592" s="13" t="str"/>
      <x:c r="G592" s="13" t="str"/>
      <x:c r="H592" s="13" t="str">
        <x:v>NON_EVENT</x:v>
      </x:c>
      <x:c r="I592" s="13" t="str">
        <x:v>FINAL_TERWARIS</x:v>
      </x:c>
      <x:c r="J592" s="4" t="str">
        <x:v>Kejadian yang dinyatakan ialah hujan, kilat dan angin. Frasa waspada banjir hanya menyampaikan antisipasi, tanpa klaim banjir sudah terjadi. Dasar: R3.</x:v>
      </x:c>
      <x:c r="K592" s="4" t="str">
        <x:v>FLOOD</x:v>
      </x:c>
      <x:c r="L592" s="14" t="n">
        <x:v>0.9200847744941711</x:v>
      </x:c>
    </x:row>
    <x:row r="593" ht="64" customHeight="1">
      <x:c r="A593" s="4" t="str">
        <x:v>BAN-01287</x:v>
      </x:c>
      <x:c r="B593" s="4" t="str">
        <x:v>survei lokasi banjir di daerah pekalongan utara bersama tim bagana kota pekalongan walaupun tengah malam tetap siaga salam tangguh banser bagana jateng</x:v>
      </x:c>
      <x:c r="C593" s="4" t="str">
        <x:v>FLOOD</x:v>
      </x:c>
      <x:c r="D593" s="4" t="str">
        <x:v>FLOOD</x:v>
      </x:c>
      <x:c r="E593" s="13" t="str">
        <x:v>TERWARIS</x:v>
      </x:c>
      <x:c r="F593" s="13" t="str"/>
      <x:c r="G593" s="13" t="str"/>
      <x:c r="H593" s="13" t="str">
        <x:v>FLOOD</x:v>
      </x:c>
      <x:c r="I593" s="13" t="str">
        <x:v>FINAL_TERWARIS</x:v>
      </x:c>
      <x:c r="J593" s="4" t="str">
        <x:v>Survei merujuk lokasi banjir tertentu di Pekalongan Utara. Kegiatan survei tetap memuat rujukan kejadian sesuai keputusan K1. Dasar: R1,R5.</x:v>
      </x:c>
      <x:c r="K593" s="4" t="str">
        <x:v>NON_EVENT</x:v>
      </x:c>
      <x:c r="L593" s="14" t="n">
        <x:v>0.9245228171348572</x:v>
      </x:c>
    </x:row>
    <x:row r="594" ht="66" customHeight="1">
      <x:c r="A594" s="4" t="str">
        <x:v>BAN-01033</x:v>
      </x:c>
      <x:c r="B594" s="4" t="str">
        <x:v>mengunjungi cut meutia di dapur umum lokasi banjir akibat tanggul sungai pecah di syamtarila aron kejadian ini berulang saban tahun dititik yang sama tanggul tak sanggup menahan limpahan air yang turun dari aceh tengah karena tanggul penahan terbuat dari tanah tanpa batu dan besi</x:v>
      </x:c>
      <x:c r="C594" s="4" t="str">
        <x:v>FLOOD</x:v>
      </x:c>
      <x:c r="D594" s="4" t="str">
        <x:v>FLOOD</x:v>
      </x:c>
      <x:c r="E594" s="13" t="str">
        <x:v>TERWARIS</x:v>
      </x:c>
      <x:c r="F594" s="13" t="str"/>
      <x:c r="G594" s="13" t="str"/>
      <x:c r="H594" s="13" t="str">
        <x:v>FLOOD</x:v>
      </x:c>
      <x:c r="I594" s="13" t="str">
        <x:v>FINAL_TERWARIS</x:v>
      </x:c>
      <x:c r="J594" s="4" t="str">
        <x:v>Kunjungan ke dapur umum di lokasi banjir menyebut tanggul sungai pecah sebagai penyebab. Pola berulang tahunan tidak menghapus banjir yang dirujuk. Dasar: R1,R4.</x:v>
      </x:c>
      <x:c r="K594" s="4" t="str">
        <x:v>NON_EVENT</x:v>
      </x:c>
      <x:c r="L594" s="14" t="n">
        <x:v>0.9264643788337708</x:v>
      </x:c>
    </x:row>
    <x:row r="595" ht="64" customHeight="1">
      <x:c r="A595" s="4" t="str">
        <x:v>BAN-01546</x:v>
      </x:c>
      <x:c r="B595" s="4" t="str">
        <x:v>korban banjir di sentani papua bertambah jadi 82 orang</x:v>
      </x:c>
      <x:c r="C595" s="4" t="str">
        <x:v>NON_EVENT</x:v>
      </x:c>
      <x:c r="D595" s="4" t="str">
        <x:v>FLOOD</x:v>
      </x:c>
      <x:c r="E595" s="13" t="str">
        <x:v>TERWARIS</x:v>
      </x:c>
      <x:c r="F595" s="13" t="str"/>
      <x:c r="G595" s="13" t="str"/>
      <x:c r="H595" s="13" t="str">
        <x:v>FLOOD</x:v>
      </x:c>
      <x:c r="I595" s="13" t="str">
        <x:v>FINAL_TERWARIS</x:v>
      </x:c>
      <x:c r="J595" s="4" t="str">
        <x:v>Pembaruan jumlah korban menjadi 82 orang merujuk banjir tertentu di Sentani. Informasi dampak pascakejadian diterima sesuai K1. Dasar: R1,R5.</x:v>
      </x:c>
      <x:c r="K595" s="4" t="str">
        <x:v>FLOOD</x:v>
      </x:c>
      <x:c r="L595" s="14" t="n">
        <x:v>0.9290353655815125</x:v>
      </x:c>
    </x:row>
    <x:row r="596" ht="66" customHeight="1">
      <x:c r="A596" s="4" t="str">
        <x:v>GEM-01195</x:v>
      </x:c>
      <x:c r="B596" s="4" t="str">
        <x:v>greece dikejutkan dengan gegaran gempa bumi berkekuatan 68 skala richter awal pagi ini menurut kenyataan jabatan meteorologi malaysia gempa yang berlaku pada pukul 0:06:54 pagi itu berpusat di laut ionian 129 kilometer barat daya dari patrai greece dan pada kedalaman 10 km</x:v>
      </x:c>
      <x:c r="C596" s="4" t="str">
        <x:v>NON_EVENT</x:v>
      </x:c>
      <x:c r="D596" s="4" t="str">
        <x:v>EARTHQUAKE</x:v>
      </x:c>
      <x:c r="E596" s="13" t="str">
        <x:v>TERWARIS</x:v>
      </x:c>
      <x:c r="F596" s="13" t="str"/>
      <x:c r="G596" s="13" t="str"/>
      <x:c r="H596" s="13" t="str">
        <x:v>EARTHQUAKE</x:v>
      </x:c>
      <x:c r="I596" s="13" t="str">
        <x:v>FINAL_TERWARIS</x:v>
      </x:c>
      <x:c r="J596" s="4" t="str">
        <x:v>Gempa di Yunani dinyatakan terjadi dengan waktu, lokasi pusat dan kedalaman. Lokasi di luar Indonesia tidak mengecualikan kategori kejadian. Dasar: R1,R4.</x:v>
      </x:c>
      <x:c r="K596" s="4" t="str">
        <x:v>EARTHQUAKE</x:v>
      </x:c>
      <x:c r="L596" s="14" t="n">
        <x:v>0.9354363679885864</x:v>
      </x:c>
    </x:row>
    <x:row r="597" ht="64" customHeight="1">
      <x:c r="A597" s="4" t="str">
        <x:v>GEM-01232</x:v>
      </x:c>
      <x:c r="B597" s="4" t="str">
        <x:v>850 satu gempa bumi sederhana dengan kekuatan 71 pada skala richter dilaporkan berlaku di barat laut sumatera indonesia awal pagi tadi tiada ancaman tsunami kepada malaysia - selamat malaysia</x:v>
      </x:c>
      <x:c r="C597" s="4" t="str">
        <x:v>NON_EVENT</x:v>
      </x:c>
      <x:c r="D597" s="4" t="str">
        <x:v>EARTHQUAKE</x:v>
      </x:c>
      <x:c r="E597" s="13" t="str">
        <x:v>TERWARIS</x:v>
      </x:c>
      <x:c r="F597" s="13" t="str"/>
      <x:c r="G597" s="13" t="str"/>
      <x:c r="H597" s="13" t="str">
        <x:v>EARTHQUAKE</x:v>
      </x:c>
      <x:c r="I597" s="13" t="str">
        <x:v>FINAL_TERWARIS</x:v>
      </x:c>
      <x:c r="J597" s="4" t="str">
        <x:v>Gempa di barat laut Sumatera dinyatakan terjadi pagi tadi. Tiada ancaman tsunami hanya menegasikan ancaman tsunami, bukan kejadian gempa. Dasar: R1,R2.</x:v>
      </x:c>
      <x:c r="K597" s="4" t="str">
        <x:v>EARTHQUAKE</x:v>
      </x:c>
      <x:c r="L597" s="14" t="n">
        <x:v>0.9368852376937866</x:v>
      </x:c>
    </x:row>
    <x:row r="598" ht="64" customHeight="1">
      <x:c r="A598" s="4" t="str">
        <x:v>BAN-01058</x:v>
      </x:c>
      <x:c r="B598" s="4" t="str">
        <x:v>butuh karung pasir dari wan badud sabaaar ini ujian air pasang banjir rob rendam kampung nelayan di penjaringan</x:v>
      </x:c>
      <x:c r="C598" s="4" t="str">
        <x:v>FLOOD</x:v>
      </x:c>
      <x:c r="D598" s="4" t="str">
        <x:v>FLOOD</x:v>
      </x:c>
      <x:c r="E598" s="13" t="str">
        <x:v>TERWARIS</x:v>
      </x:c>
      <x:c r="F598" s="13" t="str"/>
      <x:c r="G598" s="13" t="str"/>
      <x:c r="H598" s="13" t="str">
        <x:v>FLOOD</x:v>
      </x:c>
      <x:c r="I598" s="13" t="str">
        <x:v>FINAL_TERWARIS</x:v>
      </x:c>
      <x:c r="J598" s="4" t="str">
        <x:v>Teks menyatakan banjir rob merendam kampung nelayan di Penjaringan dan disertai permintaan karung pasir. Klaim banjir serta dampaknya eksplisit. Dasar: R1.</x:v>
      </x:c>
      <x:c r="K598" s="4" t="str">
        <x:v>NON_EVENT</x:v>
      </x:c>
      <x:c r="L598" s="14" t="n">
        <x:v>0.940407395362854</x:v>
      </x:c>
    </x:row>
    <x:row r="599" ht="64" customHeight="1">
      <x:c r="A599" s="4" t="str">
        <x:v>BAN-01519</x:v>
      </x:c>
      <x:c r="B599" s="4" t="str">
        <x:v>efek hujan deras banjir di pasar driyorejo setinggi ban motor banyak kendaraan r2 mogok ati-ati guys yang akan melintas daerah sini</x:v>
      </x:c>
      <x:c r="C599" s="4" t="str">
        <x:v>NON_EVENT</x:v>
      </x:c>
      <x:c r="D599" s="4" t="str">
        <x:v>FLOOD</x:v>
      </x:c>
      <x:c r="E599" s="13" t="str">
        <x:v>TERWARIS</x:v>
      </x:c>
      <x:c r="F599" s="13" t="str"/>
      <x:c r="G599" s="13" t="str"/>
      <x:c r="H599" s="13" t="str">
        <x:v>FLOOD</x:v>
      </x:c>
      <x:c r="I599" s="13" t="str">
        <x:v>FINAL_TERWARIS</x:v>
      </x:c>
      <x:c r="J599" s="4" t="str">
        <x:v>Banjir setinggi ban motor di Pasar Driyorejo dan kendaraan mogok dinyatakan secara konkret. Peringatan bagi pelintas mengikuti kejadian tersebut. Dasar: R1.</x:v>
      </x:c>
      <x:c r="K599" s="4" t="str">
        <x:v>FLOOD</x:v>
      </x:c>
      <x:c r="L599" s="14" t="n">
        <x:v>0.9411744475364685</x:v>
      </x:c>
    </x:row>
    <x:row r="600" ht="66" customHeight="1">
      <x:c r="A600" s="4" t="str">
        <x:v>BAN-01352</x:v>
      </x:c>
      <x:c r="B600" s="4" t="str">
        <x:v>hujan selama 3 jam menyebabkan banjir di beberapa titik di kota surabaya pada 31/1/2019 saat banjir jangan mengendarai di jalan apalagi banjir cukup tinggi sebaiknya parkir di tempat aman banyak kejadian mobil hanyut dan timbul korban karena nekat melawan banjir</x:v>
      </x:c>
      <x:c r="C600" s="4" t="str">
        <x:v>NON_EVENT</x:v>
      </x:c>
      <x:c r="D600" s="4" t="str">
        <x:v>FLOOD</x:v>
      </x:c>
      <x:c r="E600" s="13" t="str">
        <x:v>TERWARIS</x:v>
      </x:c>
      <x:c r="F600" s="13" t="str"/>
      <x:c r="G600" s="13" t="str"/>
      <x:c r="H600" s="13" t="str">
        <x:v>FLOOD</x:v>
      </x:c>
      <x:c r="I600" s="13" t="str">
        <x:v>FINAL_TERWARIS</x:v>
      </x:c>
      <x:c r="J600" s="4" t="str">
        <x:v>Hujan dinyatakan menyebabkan banjir di Surabaya pada 31/1/2019. Imbauan keselamatan dan usia kejadian tidak menghapus klaim tersebut sesuai K2. Dasar: R1,R6.</x:v>
      </x:c>
      <x:c r="K600" s="4" t="str">
        <x:v>FLOOD</x:v>
      </x:c>
      <x:c r="L600" s="14" t="n">
        <x:v>0.9459232091903687</x:v>
      </x:c>
    </x:row>
    <x:row r="601" ht="64" customHeight="1">
      <x:c r="A601" s="4" t="str">
        <x:v>BAN-01106</x:v>
      </x:c>
      <x:c r="B601" s="4" t="str">
        <x:v>bagana ( banser tanggap bencana ) kota semarang membantu membersihkan kotoran akibat bencana banjir di kaligawe membantu sesama walaupun berbeda agama sekalipun</x:v>
      </x:c>
      <x:c r="C601" s="4" t="str">
        <x:v>FLOOD</x:v>
      </x:c>
      <x:c r="D601" s="4" t="str">
        <x:v>FLOOD</x:v>
      </x:c>
      <x:c r="E601" s="13" t="str">
        <x:v>TERWARIS</x:v>
      </x:c>
      <x:c r="F601" s="13" t="str"/>
      <x:c r="G601" s="13" t="str"/>
      <x:c r="H601" s="13" t="str">
        <x:v>FLOOD</x:v>
      </x:c>
      <x:c r="I601" s="13" t="str">
        <x:v>FINAL_TERWARIS</x:v>
      </x:c>
      <x:c r="J601" s="4" t="str">
        <x:v>Pembersihan kotoran akibat bencana banjir di Kaligawe merujuk dampak kejadian tertentu. Aktivitas pascakejadian diterima sesuai K1. Dasar: R1,R5.</x:v>
      </x:c>
      <x:c r="K601" s="4" t="str">
        <x:v>NON_EVENT</x:v>
      </x:c>
      <x:c r="L601" s="14" t="n">
        <x:v>0.9468995928764343</x:v>
      </x:c>
    </x:row>
    <x:row r="602" ht="66" customHeight="1">
      <x:c r="A602" s="4" t="str">
        <x:v>GEM-01416</x:v>
      </x:c>
      <x:c r="B602" s="4" t="str">
        <x:v>ini imerupakan titik episenter gempa bumi yang terjadi pada 22 tahun silam tepatnya tanggal 27 oktober 1996 terjadi gempa bumi yang berlokasi di desa huidu barat kabupaten limboto barat provinsi gorontalodengan kekuatan gempa 41 sr dan kedalaman 33 km</x:v>
      </x:c>
      <x:c r="C602" s="4" t="str">
        <x:v>NON_EVENT</x:v>
      </x:c>
      <x:c r="D602" s="4" t="str">
        <x:v>EARTHQUAKE</x:v>
      </x:c>
      <x:c r="E602" s="13" t="str">
        <x:v>TERWARIS</x:v>
      </x:c>
      <x:c r="F602" s="13" t="str"/>
      <x:c r="G602" s="13" t="str"/>
      <x:c r="H602" s="13" t="str">
        <x:v>EARTHQUAKE</x:v>
      </x:c>
      <x:c r="I602" s="13" t="str">
        <x:v>FINAL_TERWARIS</x:v>
      </x:c>
      <x:c r="J602" s="4" t="str">
        <x:v>Teks menyatakan gempa terjadi pada 27 Oktober 1996 di Huidu Barat dengan kekuatan dan kedalaman. Kejadian historis tetap diterima sesuai K2. Dasar: R1,R6.</x:v>
      </x:c>
      <x:c r="K602" s="4" t="str">
        <x:v>EARTHQUAKE</x:v>
      </x:c>
      <x:c r="L602" s="14" t="n">
        <x:v>0.9480929374694824</x:v>
      </x:c>
    </x:row>
    <x:row r="603" ht="64" customHeight="1">
      <x:c r="A603" s="4" t="str">
        <x:v>BAN-01172</x:v>
      </x:c>
      <x:c r="B603" s="4" t="str">
        <x:v>efek banjir kemarin malam di wilayah perbatasan tegal cangkring dan penyaringan jembrana bali jalan denpasar- gilimanuk macet</x:v>
      </x:c>
      <x:c r="C603" s="4" t="str">
        <x:v>NON_EVENT</x:v>
      </x:c>
      <x:c r="D603" s="4" t="str">
        <x:v>FLOOD</x:v>
      </x:c>
      <x:c r="E603" s="13" t="str">
        <x:v>TERWARIS</x:v>
      </x:c>
      <x:c r="F603" s="13" t="str"/>
      <x:c r="G603" s="13" t="str"/>
      <x:c r="H603" s="13" t="str">
        <x:v>FLOOD</x:v>
      </x:c>
      <x:c r="I603" s="13" t="str">
        <x:v>FINAL_TERWARIS</x:v>
      </x:c>
      <x:c r="J603" s="4" t="str">
        <x:v>Banjir kemarin malam di perbatasan Tegal Cangkring dan Penyaringan dinyatakan berdampak pada kemacetan. Narasi menyebut kejadian banjir konkret. Dasar: R1,R4.</x:v>
      </x:c>
      <x:c r="K603" s="4" t="str">
        <x:v>FLOOD</x:v>
      </x:c>
      <x:c r="L603" s="14" t="n">
        <x:v>0.9490635991096497</x:v>
      </x:c>
    </x:row>
    <x:row r="604" ht="64" customHeight="1">
      <x:c r="A604" s="4" t="str">
        <x:v>KEB-00910</x:v>
      </x:c>
      <x:c r="B604" s="4" t="str">
        <x:v>giat anggota satlantas melaksanakan pengamanan terkait ada nya kebakaran di toko obat wali kota tegal .</x:v>
      </x:c>
      <x:c r="C604" s="4" t="str">
        <x:v>FIRE</x:v>
      </x:c>
      <x:c r="D604" s="4" t="str">
        <x:v>FIRE</x:v>
      </x:c>
      <x:c r="E604" s="13" t="str">
        <x:v>TERWARIS</x:v>
      </x:c>
      <x:c r="F604" s="13" t="str"/>
      <x:c r="G604" s="13" t="str"/>
      <x:c r="H604" s="13" t="str">
        <x:v>FIRE</x:v>
      </x:c>
      <x:c r="I604" s="13" t="str">
        <x:v>FINAL_TERWARIS</x:v>
      </x:c>
      <x:c r="J604" s="4" t="str">
        <x:v>Pengamanan petugas dilakukan terkait adanya kebakaran di toko obat di Kota Tegal. Narasi kegiatan tersebut menyatakan kebakaran konkret. Dasar: R1.</x:v>
      </x:c>
      <x:c r="K604" s="4" t="str">
        <x:v>NON_EVENT</x:v>
      </x:c>
      <x:c r="L604" s="14" t="n">
        <x:v>0.9506799578666687</x:v>
      </x:c>
    </x:row>
    <x:row r="605" ht="64" customHeight="1">
      <x:c r="A605" s="4" t="str">
        <x:v>KEB-00386</x:v>
      </x:c>
      <x:c r="B605" s="4" t="str">
        <x:v>kebakaran di desa ngali kabupaten bima . semoga pak gubernur . bisa bekerja cepat untuk warga nya sendiri . dengarkan lah tangisan mereka pak gub .</x:v>
      </x:c>
      <x:c r="C605" s="4" t="str">
        <x:v>FIRE</x:v>
      </x:c>
      <x:c r="D605" s="4" t="str">
        <x:v>FIRE</x:v>
      </x:c>
      <x:c r="E605" s="13" t="str">
        <x:v>TERWARIS</x:v>
      </x:c>
      <x:c r="F605" s="13" t="str"/>
      <x:c r="G605" s="13" t="str"/>
      <x:c r="H605" s="13" t="str">
        <x:v>FIRE</x:v>
      </x:c>
      <x:c r="I605" s="13" t="str">
        <x:v>FINAL_TERWARIS</x:v>
      </x:c>
      <x:c r="J605" s="4" t="str">
        <x:v>Kebakaran di Desa Ngali, Kabupaten Bima dinyatakan secara eksplisit. Permintaan respons gubernur tidak menghilangkan klaim kebakaran. Dasar: R1.</x:v>
      </x:c>
      <x:c r="K605" s="4" t="str">
        <x:v>NON_EVENT</x:v>
      </x:c>
      <x:c r="L605" s="14" t="n">
        <x:v>0.9507591724395752</x:v>
      </x:c>
    </x:row>
    <x:row r="606" ht="64" customHeight="1">
      <x:c r="A606" s="4" t="str">
        <x:v>KEB-00998</x:v>
      </x:c>
      <x:c r="B606" s="4" t="str">
        <x:v>malam tadi kebakaran di jalan antasan kecil dekat jembatan mesjid jami banjarmasin tidak sampai membesar &amp; amp sudah dapat diatasi warga sekitar</x:v>
      </x:c>
      <x:c r="C606" s="4" t="str">
        <x:v>NON_EVENT</x:v>
      </x:c>
      <x:c r="D606" s="4" t="str">
        <x:v>FIRE</x:v>
      </x:c>
      <x:c r="E606" s="13" t="str">
        <x:v>TERWARIS</x:v>
      </x:c>
      <x:c r="F606" s="13" t="str"/>
      <x:c r="G606" s="13" t="str"/>
      <x:c r="H606" s="13" t="str">
        <x:v>FIRE</x:v>
      </x:c>
      <x:c r="I606" s="13" t="str">
        <x:v>FINAL_TERWARIS</x:v>
      </x:c>
      <x:c r="J606" s="4" t="str">
        <x:v>Kebakaran malam tadi di Banjarmasin dinyatakan sudah diatasi warga. Tidak sampai membesar membatasi tingkat keparahan dan tidak menyangkal kejadian. Dasar: R1,R2.</x:v>
      </x:c>
      <x:c r="K606" s="4" t="str">
        <x:v>FIRE</x:v>
      </x:c>
      <x:c r="L606" s="14" t="n">
        <x:v>0.9526224732398987</x:v>
      </x:c>
    </x:row>
    <x:row r="607" ht="64" customHeight="1">
      <x:c r="A607" s="4" t="str">
        <x:v>GEM-01254</x:v>
      </x:c>
      <x:c r="B607" s="4" t="str">
        <x:v>peta guncangan gempa bumi di kota palu dan sekitarnya</x:v>
      </x:c>
      <x:c r="C607" s="4" t="str">
        <x:v>NON_EVENT</x:v>
      </x:c>
      <x:c r="D607" s="4" t="str">
        <x:v>EARTHQUAKE</x:v>
      </x:c>
      <x:c r="E607" s="13" t="str">
        <x:v>TERWARIS</x:v>
      </x:c>
      <x:c r="F607" s="13" t="str"/>
      <x:c r="G607" s="13" t="str"/>
      <x:c r="H607" s="13" t="str">
        <x:v>EARTHQUAKE</x:v>
      </x:c>
      <x:c r="I607" s="13" t="str">
        <x:v>FINAL_TERWARIS</x:v>
      </x:c>
      <x:c r="J607" s="4" t="str">
        <x:v>Teks peta guncangan merujuk gempa bumi di Palu dan sekitarnya. Label mengikuti klaim tekstual sesuai K3 tanpa menyimpulkan rincian peta. Dasar: R1,R5.</x:v>
      </x:c>
      <x:c r="K607" s="4" t="str">
        <x:v>EARTHQUAKE</x:v>
      </x:c>
      <x:c r="L607" s="14" t="n">
        <x:v>0.9570477604866028</x:v>
      </x:c>
    </x:row>
    <x:row r="608" ht="66" customHeight="1">
      <x:c r="A608" s="4" t="str">
        <x:v>KEB-00482</x:v>
      </x:c>
      <x:c r="B608" s="4" t="str">
        <x:v>mari bantu korban kebakaran di mantraman , mereka sangat membutuhkan uluran tangan kita sudah jatuh tertimpa tangga , kira-kira begitu lah nasib 25 keluarga di rw 3 mantraman , menteng , jakarta . rumah bilik yang mereka tempati terpaksa mereka relakan habis dilahap si jago api .</x:v>
      </x:c>
      <x:c r="C608" s="4" t="str">
        <x:v>FIRE</x:v>
      </x:c>
      <x:c r="D608" s="4" t="str">
        <x:v>FIRE</x:v>
      </x:c>
      <x:c r="E608" s="13" t="str">
        <x:v>TERWARIS</x:v>
      </x:c>
      <x:c r="F608" s="13" t="str"/>
      <x:c r="G608" s="13" t="str"/>
      <x:c r="H608" s="13" t="str">
        <x:v>FIRE</x:v>
      </x:c>
      <x:c r="I608" s="13" t="str">
        <x:v>FINAL_TERWARIS</x:v>
      </x:c>
      <x:c r="J608" s="4" t="str">
        <x:v>Ajakan bantuan disertai pernyataan rumah 25 keluarga di Mantraman habis dilahap api. Konteks tersebut menyatakan kebakaran tertentu sesuai K1. Dasar: R1,R5.</x:v>
      </x:c>
      <x:c r="K608" s="4" t="str">
        <x:v>NON_EVENT</x:v>
      </x:c>
      <x:c r="L608" s="14" t="n">
        <x:v>0.9577558636665344</x:v>
      </x:c>
    </x:row>
    <x:row r="609" ht="64" customHeight="1">
      <x:c r="A609" s="4" t="str">
        <x:v>BAN-01520</x:v>
      </x:c>
      <x:c r="B609" s="4" t="str">
        <x:v>banjir di sentani kabupaten jayapura</x:v>
      </x:c>
      <x:c r="C609" s="4" t="str">
        <x:v>NON_EVENT</x:v>
      </x:c>
      <x:c r="D609" s="4" t="str">
        <x:v>FLOOD</x:v>
      </x:c>
      <x:c r="E609" s="13" t="str">
        <x:v>TERWARIS</x:v>
      </x:c>
      <x:c r="F609" s="13" t="str"/>
      <x:c r="G609" s="13" t="str"/>
      <x:c r="H609" s="13" t="str">
        <x:v>FLOOD</x:v>
      </x:c>
      <x:c r="I609" s="13" t="str">
        <x:v>FINAL_TERWARIS</x:v>
      </x:c>
      <x:c r="J609" s="4" t="str">
        <x:v>Teks menyatakan banjir di Sentani, Kabupaten Jayapura. Narasi singkat tetap memuat jenis kejadian dan lokasi tanpa syarat tambahan waktu atau korban. Dasar: R1,R4.</x:v>
      </x:c>
      <x:c r="K609" s="4" t="str">
        <x:v>FLOOD</x:v>
      </x:c>
      <x:c r="L609" s="14" t="n">
        <x:v>0.9592311978340149</x:v>
      </x:c>
    </x:row>
    <x:row r="610" ht="64" customHeight="1">
      <x:c r="A610" s="4" t="str">
        <x:v>KEC-01453</x:v>
      </x:c>
      <x:c r="B610" s="4" t="str">
        <x:v>ivid - jumlah korban meninggal dunia dalam peristiwa kecelakaan kamu lestari maju di perairan selayar sulawesi selatan terus bertambah dari keterangan kapolres kepulauan selayar akbp syamsu ridwan</x:v>
      </x:c>
      <x:c r="C610" s="4" t="str">
        <x:v>NON_EVENT</x:v>
      </x:c>
      <x:c r="D610" s="4" t="str">
        <x:v>ACCIDENT</x:v>
      </x:c>
      <x:c r="E610" s="13" t="str">
        <x:v>TERWARIS</x:v>
      </x:c>
      <x:c r="F610" s="13" t="str"/>
      <x:c r="G610" s="13" t="str"/>
      <x:c r="H610" s="13" t="str">
        <x:v>ACCIDENT</x:v>
      </x:c>
      <x:c r="I610" s="13" t="str">
        <x:v>FINAL_TERWARIS</x:v>
      </x:c>
      <x:c r="J610" s="4" t="str">
        <x:v>Korban meninggal yang bertambah merujuk peristiwa kecelakaan tertentu di perairan Selayar. Cakupan ACCIDENT tidak dibatasi pada jalan raya. Dasar: R1,R4.</x:v>
      </x:c>
      <x:c r="K610" s="4" t="str">
        <x:v>ACCIDENT</x:v>
      </x:c>
      <x:c r="L610" s="14" t="n">
        <x:v>0.9608055949211121</x:v>
      </x:c>
    </x:row>
    <x:row r="611" ht="64" customHeight="1">
      <x:c r="A611" s="4" t="str">
        <x:v>GEM-01241</x:v>
      </x:c>
      <x:c r="B611" s="4" t="str">
        <x:v>gempa bumi tidak ganggu pertanian di parigi</x:v>
      </x:c>
      <x:c r="C611" s="4" t="str">
        <x:v>NON_EVENT</x:v>
      </x:c>
      <x:c r="D611" s="4" t="str">
        <x:v>EARTHQUAKE</x:v>
      </x:c>
      <x:c r="E611" s="13" t="str">
        <x:v>TERWARIS</x:v>
      </x:c>
      <x:c r="F611" s="13" t="str"/>
      <x:c r="G611" s="13" t="str"/>
      <x:c r="H611" s="13" t="str">
        <x:v>EARTHQUAKE</x:v>
      </x:c>
      <x:c r="I611" s="13" t="str">
        <x:v>FINAL_TERWARIS</x:v>
      </x:c>
      <x:c r="J611" s="4" t="str">
        <x:v>Kalimat merujuk gempa di Parigi. Yang disangkal ialah gangguan terhadap pertanian, sehingga keberadaan gempa tetap dinyatakan. Dasar: R1,R2.</x:v>
      </x:c>
      <x:c r="K611" s="4" t="str">
        <x:v>EARTHQUAKE</x:v>
      </x:c>
      <x:c r="L611" s="14" t="n">
        <x:v>0.961250364780426</x:v>
      </x:c>
    </x:row>
    <x:row r="612" ht="66" customHeight="1">
      <x:c r="A612" s="4" t="str">
        <x:v>KEB-00901</x:v>
      </x:c>
      <x:c r="B612" s="4" t="str">
        <x:v>tiga korban kebakaran di bireuen dikebumikan dalam satu liang lahat di aceh utara : tiga korban dalam musibah kebakaran toko nya di desa cureh , kota juang bireuen , senin ( 21/09/2020 ) malam dikebumikan dalam satu liang lahat</x:v>
      </x:c>
      <x:c r="C612" s="4" t="str">
        <x:v>NON_EVENT</x:v>
      </x:c>
      <x:c r="D612" s="4" t="str">
        <x:v>FIRE</x:v>
      </x:c>
      <x:c r="E612" s="13" t="str">
        <x:v>TERWARIS</x:v>
      </x:c>
      <x:c r="F612" s="13" t="str"/>
      <x:c r="G612" s="13" t="str"/>
      <x:c r="H612" s="13" t="str">
        <x:v>FIRE</x:v>
      </x:c>
      <x:c r="I612" s="13" t="str">
        <x:v>FINAL_TERWARIS</x:v>
      </x:c>
      <x:c r="J612" s="4" t="str">
        <x:v>Pemakaman korban merujuk kebakaran toko di Bireuen yang disebut dengan tanggal. Informasi pascakejadian dan kejadian lama diterima sesuai K1 dan K2. Dasar: R1,R5,R6.</x:v>
      </x:c>
      <x:c r="K612" s="4" t="str">
        <x:v>FIRE</x:v>
      </x:c>
      <x:c r="L612" s="14" t="n">
        <x:v>0.9628106355667114</x:v>
      </x:c>
    </x:row>
    <x:row r="613" ht="64" customHeight="1">
      <x:c r="A613" s="4" t="str">
        <x:v>KEB-00402</x:v>
      </x:c>
      <x:c r="B613" s="4" t="str">
        <x:v>sepanjang 2020 , terjadi 63 kasus kebakaran di kota bandung | times indonesia</x:v>
      </x:c>
      <x:c r="C613" s="4" t="str">
        <x:v>NON_EVENT</x:v>
      </x:c>
      <x:c r="D613" s="4" t="str">
        <x:v>NON_EVENT</x:v>
      </x:c>
      <x:c r="E613" s="13" t="str">
        <x:v>TERWARIS</x:v>
      </x:c>
      <x:c r="F613" s="13" t="str"/>
      <x:c r="G613" s="13" t="str"/>
      <x:c r="H613" s="13" t="str">
        <x:v>NON_EVENT</x:v>
      </x:c>
      <x:c r="I613" s="13" t="str">
        <x:v>FINAL_TERWARIS</x:v>
      </x:c>
      <x:c r="J613" s="4" t="str">
        <x:v>Teks merangkum 63 kasus kebakaran sepanjang 2020 di Bandung. Statistik tahunan tersebut tidak menguraikan kejadian tertentu. Dasar: R3.</x:v>
      </x:c>
      <x:c r="K613" s="4" t="str">
        <x:v>FIRE</x:v>
      </x:c>
      <x:c r="L613" s="14" t="n">
        <x:v>0.964709460735321</x:v>
      </x:c>
    </x:row>
    <x:row r="614" ht="64" customHeight="1">
      <x:c r="A614" s="4" t="str">
        <x:v>GEM-01570</x:v>
      </x:c>
      <x:c r="B614" s="4" t="str">
        <x:v>26 desember 2004 gempa bumi magnitudo 9 1 di samudra hindia gempa bumi terbesar ketiga di dunia ini mengakibatkan tsunami besar yang menerjang aceh dan beberapa negara lain</x:v>
      </x:c>
      <x:c r="C614" s="4" t="str">
        <x:v>NON_EVENT</x:v>
      </x:c>
      <x:c r="D614" s="4" t="str">
        <x:v>EARTHQUAKE</x:v>
      </x:c>
      <x:c r="E614" s="13" t="str">
        <x:v>TERWARIS</x:v>
      </x:c>
      <x:c r="F614" s="13" t="str"/>
      <x:c r="G614" s="13" t="str"/>
      <x:c r="H614" s="13" t="str">
        <x:v>EARTHQUAKE</x:v>
      </x:c>
      <x:c r="I614" s="13" t="str">
        <x:v>FINAL_TERWARIS</x:v>
      </x:c>
      <x:c r="J614" s="4" t="str">
        <x:v>Gempa 26 Desember 2004 di Samudra Hindia dinyatakan menyebabkan tsunami. Tanggal historis tidak mengubah kategori kejadian sesuai K2. Dasar: R1,R6.</x:v>
      </x:c>
      <x:c r="K614" s="4" t="str">
        <x:v>EARTHQUAKE</x:v>
      </x:c>
      <x:c r="L614" s="14" t="n">
        <x:v>0.9681119918823242</x:v>
      </x:c>
    </x:row>
    <x:row r="615" ht="64" customHeight="1">
      <x:c r="A615" s="4" t="str">
        <x:v>GEM-01373</x:v>
      </x:c>
      <x:c r="B615" s="4" t="str">
        <x:v>gempa bumi di bali</x:v>
      </x:c>
      <x:c r="C615" s="4" t="str">
        <x:v>NON_EVENT</x:v>
      </x:c>
      <x:c r="D615" s="4" t="str">
        <x:v>EARTHQUAKE</x:v>
      </x:c>
      <x:c r="E615" s="13" t="str">
        <x:v>TERWARIS</x:v>
      </x:c>
      <x:c r="F615" s="13" t="str"/>
      <x:c r="G615" s="13" t="str"/>
      <x:c r="H615" s="13" t="str">
        <x:v>EARTHQUAKE</x:v>
      </x:c>
      <x:c r="I615" s="13" t="str">
        <x:v>FINAL_TERWARIS</x:v>
      </x:c>
      <x:c r="J615" s="4" t="str">
        <x:v>Gempa bumi di Bali merupakan klaim literal kejadian dengan lokasi. Ketiadaan rincian waktu atau korban tidak menjadi dasar NON_EVENT. Dasar: R1,R4.</x:v>
      </x:c>
      <x:c r="K615" s="4" t="str">
        <x:v>EARTHQUAKE</x:v>
      </x:c>
      <x:c r="L615" s="14" t="n">
        <x:v>0.9714881777763367</x:v>
      </x:c>
    </x:row>
    <x:row r="616" ht="66" customHeight="1">
      <x:c r="A616" s="4" t="str">
        <x:v>KEB-00571</x:v>
      </x:c>
      <x:c r="B616" s="4" t="str">
        <x:v>mencegah terjadi nya kebakaran hutan dan lahan menjadi tuntutan bagi indonesia bila ingin mencapai komitmen yang diumumkan presiden di cop 21 paris . komitmen itu mendesak penurunan emisi 29 persen dibandingkan skenario business-as-usual pada 2030 .</x:v>
      </x:c>
      <x:c r="C616" s="4" t="str">
        <x:v>FIRE</x:v>
      </x:c>
      <x:c r="D616" s="4" t="str">
        <x:v>NON_EVENT</x:v>
      </x:c>
      <x:c r="E616" s="13" t="str">
        <x:v>TERWARIS</x:v>
      </x:c>
      <x:c r="F616" s="13" t="str"/>
      <x:c r="G616" s="13" t="str"/>
      <x:c r="H616" s="13" t="str">
        <x:v>NON_EVENT</x:v>
      </x:c>
      <x:c r="I616" s="13" t="str">
        <x:v>FINAL_TERWARIS</x:v>
      </x:c>
      <x:c r="J616" s="4" t="str">
        <x:v>Teks membahas pencegahan kebakaran hutan dan lahan untuk target emisi 2030. Tidak ada kebakaran tertentu yang dinyatakan terjadi. Dasar: R3.</x:v>
      </x:c>
      <x:c r="K616" s="4" t="str">
        <x:v>NON_EVENT</x:v>
      </x:c>
      <x:c r="L616" s="14" t="n">
        <x:v>0.9735575318336487</x:v>
      </x:c>
    </x:row>
    <x:row r="617" ht="66" customHeight="1">
      <x:c r="A617" s="4" t="str">
        <x:v>KEB-01086</x:v>
      </x:c>
      <x:c r="B617" s="4" t="str">
        <x:v>semalem upload foto mayat orangutan terbakar di reply-nya klhk , terus disuruh apus sama twitter . foto yg aku share itu kejadian penemuan 3 orangutan yg mati ( 2 betina dewasa , 1 bayi ) karena kebakaran hutan di bontang , kaltim , tahun 2016 lalu .</x:v>
      </x:c>
      <x:c r="C617" s="4" t="str">
        <x:v>FIRE</x:v>
      </x:c>
      <x:c r="D617" s="4" t="str">
        <x:v>FIRE</x:v>
      </x:c>
      <x:c r="E617" s="13" t="str">
        <x:v>TERWARIS</x:v>
      </x:c>
      <x:c r="F617" s="13" t="str"/>
      <x:c r="G617" s="13" t="str"/>
      <x:c r="H617" s="13" t="str">
        <x:v>FIRE</x:v>
      </x:c>
      <x:c r="I617" s="13" t="str">
        <x:v>FINAL_TERWARIS</x:v>
      </x:c>
      <x:c r="J617" s="4" t="str">
        <x:v>Teks menyatakan tiga orangutan mati karena kebakaran hutan di Bontang pada 2016. Label mengikuti kejadian historis dan klaim teks sesuai K2 dan K3. Dasar: R1,R5,R6.</x:v>
      </x:c>
      <x:c r="K617" s="4" t="str">
        <x:v>NON_EVENT</x:v>
      </x:c>
      <x:c r="L617" s="14" t="n">
        <x:v>0.9754706025123596</x:v>
      </x:c>
    </x:row>
    <x:row r="618" ht="64" customHeight="1">
      <x:c r="A618" s="4" t="str">
        <x:v>KEC-01325</x:v>
      </x:c>
      <x:c r="B618" s="4" t="str">
        <x:v>rekaman cctv kecelakaan motor di pik depan taman grisenda : mhmmdrhmtrmdhn visit wonderful</x:v>
      </x:c>
      <x:c r="C618" s="4" t="str">
        <x:v>NON_EVENT</x:v>
      </x:c>
      <x:c r="D618" s="4" t="str">
        <x:v>ACCIDENT</x:v>
      </x:c>
      <x:c r="E618" s="13" t="str">
        <x:v>TERWARIS</x:v>
      </x:c>
      <x:c r="F618" s="13" t="str"/>
      <x:c r="G618" s="13" t="str"/>
      <x:c r="H618" s="13" t="str">
        <x:v>ACCIDENT</x:v>
      </x:c>
      <x:c r="I618" s="13" t="str">
        <x:v>FINAL_TERWARIS</x:v>
      </x:c>
      <x:c r="J618" s="4" t="str">
        <x:v>Teks menyebut rekaman CCTV kecelakaan motor di PIK depan Taman Grisenda. Label mengikuti klaim tekstual sesuai K3 tanpa menilai isi rekaman. Dasar: R1,R5.</x:v>
      </x:c>
      <x:c r="K618" s="4" t="str">
        <x:v>ACCIDENT</x:v>
      </x:c>
      <x:c r="L618" s="14" t="n">
        <x:v>0.9756522178649902</x:v>
      </x:c>
    </x:row>
    <x:row r="619" ht="64" customHeight="1">
      <x:c r="A619" s="4" t="str">
        <x:v>BAN-01011</x:v>
      </x:c>
      <x:c r="B619" s="4" t="str">
        <x:v>rumah zakat distribusikan bantuan untuk korban banjir di palembang</x:v>
      </x:c>
      <x:c r="C619" s="4" t="str">
        <x:v>FLOOD</x:v>
      </x:c>
      <x:c r="D619" s="4" t="str">
        <x:v>FLOOD</x:v>
      </x:c>
      <x:c r="E619" s="13" t="str">
        <x:v>TERWARIS</x:v>
      </x:c>
      <x:c r="F619" s="13" t="str"/>
      <x:c r="G619" s="13" t="str"/>
      <x:c r="H619" s="13" t="str">
        <x:v>FLOOD</x:v>
      </x:c>
      <x:c r="I619" s="13" t="str">
        <x:v>FINAL_TERWARIS</x:v>
      </x:c>
      <x:c r="J619" s="4" t="str">
        <x:v>Penyaluran bantuan kepada korban banjir di Palembang merujuk kejadian banjir konkret. Tujuan bantuan tetap diterima sesuai K1. Dasar: R1,R5.</x:v>
      </x:c>
      <x:c r="K619" s="4" t="str">
        <x:v>NON_EVENT</x:v>
      </x:c>
      <x:c r="L619" s="14" t="n">
        <x:v>0.9801719784736633</x:v>
      </x:c>
    </x:row>
    <x:row r="620" ht="64" customHeight="1">
      <x:c r="A620" s="4" t="str">
        <x:v>KEC-01200</x:v>
      </x:c>
      <x:c r="B620" s="4" t="str">
        <x:v>info ada korban kecelakaan di jalan hari muhammad kondisi korban tergeletak di pinggir trotoar apakah dinas terkait sudah turun ke lokasi ? mohon bantuannya jika belum</x:v>
      </x:c>
      <x:c r="C620" s="4" t="str">
        <x:v>ACCIDENT</x:v>
      </x:c>
      <x:c r="D620" s="4" t="str">
        <x:v>ACCIDENT</x:v>
      </x:c>
      <x:c r="E620" s="13" t="str">
        <x:v>TERWARIS</x:v>
      </x:c>
      <x:c r="F620" s="13" t="str"/>
      <x:c r="G620" s="13" t="str"/>
      <x:c r="H620" s="13" t="str">
        <x:v>ACCIDENT</x:v>
      </x:c>
      <x:c r="I620" s="13" t="str">
        <x:v>FINAL_TERWARIS</x:v>
      </x:c>
      <x:c r="J620" s="4" t="str">
        <x:v>Teks menyatakan korban kecelakaan tergeletak di trotoar Jalan Hari Muhammad dan meminta bantuan. Pertanyaan tentang respons dinas tidak menyangkal kejadian. Dasar: R1.</x:v>
      </x:c>
      <x:c r="K620" s="4" t="str">
        <x:v>NON_EVENT</x:v>
      </x:c>
      <x:c r="L620" s="14" t="n">
        <x:v>0.9829948544502258</x:v>
      </x:c>
    </x:row>
    <x:row r="621" ht="64" customHeight="1">
      <x:c r="A621" s="4" t="str">
        <x:v>KEB-00475</x:v>
      </x:c>
      <x:c r="B621" s="4" t="str">
        <x:v>bupati berikan bantuan kepada korban kebakaran di madang sumberharta</x:v>
      </x:c>
      <x:c r="C621" s="4" t="str">
        <x:v>FIRE</x:v>
      </x:c>
      <x:c r="D621" s="4" t="str">
        <x:v>FIRE</x:v>
      </x:c>
      <x:c r="E621" s="13" t="str">
        <x:v>TERWARIS</x:v>
      </x:c>
      <x:c r="F621" s="13" t="str"/>
      <x:c r="G621" s="13" t="str"/>
      <x:c r="H621" s="13" t="str">
        <x:v>FIRE</x:v>
      </x:c>
      <x:c r="I621" s="13" t="str">
        <x:v>FINAL_TERWARIS</x:v>
      </x:c>
      <x:c r="J621" s="4" t="str">
        <x:v>Bantuan bupati kepada korban kebakaran di Madang Sumberharta merujuk kebakaran konkret. Informasi bantuan diterima sesuai K1. Dasar: R1,R5.</x:v>
      </x:c>
      <x:c r="K621" s="4" t="str">
        <x:v>NON_EVENT</x:v>
      </x:c>
      <x:c r="L621" s="14" t="n">
        <x:v>0.9838011860847473</x:v>
      </x:c>
    </x:row>
    <x:row r="622" ht="66" customHeight="1">
      <x:c r="A622" s="4" t="str">
        <x:v>BAN-01320</x:v>
      </x:c>
      <x:c r="B622" s="4" t="str">
        <x:v>segenap keluarga besar universitas sebelas maret ( uns ) surakarta turut berduka cita atas bencana banjir bandang yang menimpa saudara kita di kawasan sulawasi selatan mari kita doakan untuk saudara-saudara kita yang berada disana agar diberikan kekuatan dan kesabaran</x:v>
      </x:c>
      <x:c r="C622" s="4" t="str">
        <x:v>FLOOD</x:v>
      </x:c>
      <x:c r="D622" s="4" t="str">
        <x:v>FLOOD</x:v>
      </x:c>
      <x:c r="E622" s="13" t="str">
        <x:v>TERWARIS</x:v>
      </x:c>
      <x:c r="F622" s="13" t="str"/>
      <x:c r="G622" s="13" t="str"/>
      <x:c r="H622" s="13" t="str">
        <x:v>FLOOD</x:v>
      </x:c>
      <x:c r="I622" s="13" t="str">
        <x:v>FINAL_TERWARIS</x:v>
      </x:c>
      <x:c r="J622" s="4" t="str">
        <x:v>Ucapan dukacita secara eksplisit merujuk banjir bandang yang menimpa masyarakat Sulawesi Selatan. Isi kejadian diterima sesuai K1. Dasar: R1,R5.</x:v>
      </x:c>
      <x:c r="K622" s="4" t="str">
        <x:v>NON_EVENT</x:v>
      </x:c>
      <x:c r="L622" s="14" t="n">
        <x:v>0.984043300151825</x:v>
      </x:c>
    </x:row>
    <x:row r="623" ht="64" customHeight="1">
      <x:c r="A623" s="4" t="str">
        <x:v>KEC-01395</x:v>
      </x:c>
      <x:c r="B623" s="4" t="str">
        <x:v>korban tewas kecelakaan selama mudik lebaran di sumsel naik</x:v>
      </x:c>
      <x:c r="C623" s="4" t="str">
        <x:v>NON_EVENT</x:v>
      </x:c>
      <x:c r="D623" s="4" t="str">
        <x:v>NON_EVENT</x:v>
      </x:c>
      <x:c r="E623" s="13" t="str">
        <x:v>TERWARIS</x:v>
      </x:c>
      <x:c r="F623" s="13" t="str"/>
      <x:c r="G623" s="13" t="str"/>
      <x:c r="H623" s="13" t="str">
        <x:v>NON_EVENT</x:v>
      </x:c>
      <x:c r="I623" s="13" t="str">
        <x:v>FINAL_TERWARIS</x:v>
      </x:c>
      <x:c r="J623" s="4" t="str">
        <x:v>Kenaikan korban tewas selama mudik Lebaran di Sumsel merupakan statistik suatu periode. Tidak ada kecelakaan tertentu yang diuraikan. Dasar: R3.</x:v>
      </x:c>
      <x:c r="K623" s="4" t="str">
        <x:v>ACCIDENT</x:v>
      </x:c>
      <x:c r="L623" s="14" t="n">
        <x:v>0.9853597283363342</x:v>
      </x:c>
    </x:row>
    <x:row r="624" ht="64" customHeight="1">
      <x:c r="A624" s="4" t="str">
        <x:v>KEB-00499</x:v>
      </x:c>
      <x:c r="B624" s="4" t="str">
        <x:v>foto-foto kebakaran rumah di plesungan karanganyar</x:v>
      </x:c>
      <x:c r="C624" s="4" t="str">
        <x:v>NON_EVENT</x:v>
      </x:c>
      <x:c r="D624" s="4" t="str">
        <x:v>FIRE</x:v>
      </x:c>
      <x:c r="E624" s="13" t="str">
        <x:v>TERWARIS</x:v>
      </x:c>
      <x:c r="F624" s="13" t="str"/>
      <x:c r="G624" s="13" t="str"/>
      <x:c r="H624" s="13" t="str">
        <x:v>FIRE</x:v>
      </x:c>
      <x:c r="I624" s="13" t="str">
        <x:v>FINAL_TERWARIS</x:v>
      </x:c>
      <x:c r="J624" s="4" t="str">
        <x:v>Teks foto-foto kebakaran rumah di Plesungan, Karanganyar merujuk kejadian tertentu. Label mengikuti klaim teks sesuai K3 tanpa menyimpulkan isi foto. Dasar: R1,R5.</x:v>
      </x:c>
      <x:c r="K624" s="4" t="str">
        <x:v>FIRE</x:v>
      </x:c>
      <x:c r="L624" s="14" t="n">
        <x:v>0.9884850978851318</x:v>
      </x:c>
    </x:row>
    <x:row r="625" ht="64" customHeight="1">
      <x:c r="A625" s="4" t="str">
        <x:v>KEC-01132</x:v>
      </x:c>
      <x:c r="B625" s="4" t="str">
        <x:v>kesimpulan sementara polisi terkait kecelakaan maut di brebes</x:v>
      </x:c>
      <x:c r="C625" s="4" t="str">
        <x:v>NON_EVENT</x:v>
      </x:c>
      <x:c r="D625" s="4" t="str">
        <x:v>ACCIDENT</x:v>
      </x:c>
      <x:c r="E625" s="13" t="str">
        <x:v>TERWARIS</x:v>
      </x:c>
      <x:c r="F625" s="13" t="str"/>
      <x:c r="G625" s="13" t="str"/>
      <x:c r="H625" s="13" t="str">
        <x:v>ACCIDENT</x:v>
      </x:c>
      <x:c r="I625" s="13" t="str">
        <x:v>FINAL_TERWARIS</x:v>
      </x:c>
      <x:c r="J625" s="4" t="str">
        <x:v>Kesimpulan sementara polisi merujuk kecelakaan maut di Brebes. Ketidakpastian hasil penyelidikan tidak meniadakan kecelakaan sesuai K1. Dasar: R1,R5.</x:v>
      </x:c>
      <x:c r="K625" s="4" t="str">
        <x:v>ACCIDENT</x:v>
      </x:c>
      <x:c r="L625" s="14" t="n">
        <x:v>0.9888307452201843</x:v>
      </x:c>
    </x:row>
    <x:row r="626" ht="64" customHeight="1">
      <x:c r="A626" s="4" t="str">
        <x:v>KEC-00356</x:v>
      </x:c>
      <x:c r="B626" s="4" t="str">
        <x:v>korban kecelakaan di simpang angkatan 66 dijamin pt jasa raharja -</x:v>
      </x:c>
      <x:c r="C626" s="4" t="str">
        <x:v>NON_EVENT</x:v>
      </x:c>
      <x:c r="D626" s="4" t="str">
        <x:v>ACCIDENT</x:v>
      </x:c>
      <x:c r="E626" s="13" t="str">
        <x:v>TERWARIS</x:v>
      </x:c>
      <x:c r="F626" s="13" t="str"/>
      <x:c r="G626" s="13" t="str"/>
      <x:c r="H626" s="13" t="str">
        <x:v>ACCIDENT</x:v>
      </x:c>
      <x:c r="I626" s="13" t="str">
        <x:v>FINAL_TERWARIS</x:v>
      </x:c>
      <x:c r="J626" s="4" t="str">
        <x:v>Jaminan Jasa Raharja kepada korban merujuk kecelakaan di Simpang Angkatan 66. Tujuan informasi penjaminan tidak meniadakan kejadian sesuai K1. Dasar: R1,R5.</x:v>
      </x:c>
      <x:c r="K626" s="4" t="str">
        <x:v>ACCIDENT</x:v>
      </x:c>
      <x:c r="L626" s="14" t="n">
        <x:v>0.9905840158462524</x:v>
      </x:c>
    </x:row>
    <x:row r="627" ht="64" customHeight="1">
      <x:c r="A627" s="4" t="str">
        <x:v>KEC-01267</x:v>
      </x:c>
      <x:c r="B627" s="4" t="str">
        <x:v>dua kecelakaan terjadi di jalan ibukota malam ini</x:v>
      </x:c>
      <x:c r="C627" s="4" t="str">
        <x:v>NON_EVENT</x:v>
      </x:c>
      <x:c r="D627" s="4" t="str">
        <x:v>ACCIDENT</x:v>
      </x:c>
      <x:c r="E627" s="13" t="str">
        <x:v>TERWARIS</x:v>
      </x:c>
      <x:c r="F627" s="13" t="str"/>
      <x:c r="G627" s="13" t="str"/>
      <x:c r="H627" s="13" t="str">
        <x:v>ACCIDENT</x:v>
      </x:c>
      <x:c r="I627" s="13" t="str">
        <x:v>FINAL_TERWARIS</x:v>
      </x:c>
      <x:c r="J627" s="4" t="str">
        <x:v>Dua kecelakaan dinyatakan terjadi di jalan ibu kota malam ini. Jumlah kejadian lebih dari satu dan lokasi umum tidak meniadakan klaim konkret. Dasar: R1,R4.</x:v>
      </x:c>
      <x:c r="K627" s="4" t="str">
        <x:v>ACCIDENT</x:v>
      </x:c>
      <x:c r="L627" s="14" t="n">
        <x:v>0.990741491317749</x:v>
      </x:c>
    </x:row>
    <x:row r="628" ht="64" customHeight="1">
      <x:c r="A628" s="4" t="str">
        <x:v>KEB-01074</x:v>
      </x:c>
      <x:c r="B628" s="4" t="str">
        <x:v>kebakaran di jl . batu raya 4b pengalihan</x:v>
      </x:c>
      <x:c r="C628" s="4" t="str">
        <x:v>NON_EVENT</x:v>
      </x:c>
      <x:c r="D628" s="4" t="str">
        <x:v>FIRE</x:v>
      </x:c>
      <x:c r="E628" s="13" t="str">
        <x:v>TERWARIS</x:v>
      </x:c>
      <x:c r="F628" s="13" t="str"/>
      <x:c r="G628" s="13" t="str"/>
      <x:c r="H628" s="13" t="str">
        <x:v>FIRE</x:v>
      </x:c>
      <x:c r="I628" s="13" t="str">
        <x:v>FINAL_TERWARIS</x:v>
      </x:c>
      <x:c r="J628" s="4" t="str">
        <x:v>Narasi singkat menyebut kebakaran di Jalan Batu Raya 4B. Rincian pengalihan yang terbatas tidak meniadakan klaim kebakaran. Dasar: R1,R4.</x:v>
      </x:c>
      <x:c r="K628" s="4" t="str">
        <x:v>FIRE</x:v>
      </x:c>
      <x:c r="L628" s="14" t="n">
        <x:v>0.9909837245941162</x:v>
      </x:c>
    </x:row>
    <x:row r="629" ht="64" customHeight="1">
      <x:c r="A629" s="4" t="str">
        <x:v>KEC-01047</x:v>
      </x:c>
      <x:c r="B629" s="4" t="str">
        <x:v>kecelakaan di jalan dramaga</x:v>
      </x:c>
      <x:c r="C629" s="4" t="str">
        <x:v>NON_EVENT</x:v>
      </x:c>
      <x:c r="D629" s="4" t="str">
        <x:v>ACCIDENT</x:v>
      </x:c>
      <x:c r="E629" s="13" t="str">
        <x:v>TERWARIS</x:v>
      </x:c>
      <x:c r="F629" s="13" t="str"/>
      <x:c r="G629" s="13" t="str"/>
      <x:c r="H629" s="13" t="str">
        <x:v>ACCIDENT</x:v>
      </x:c>
      <x:c r="I629" s="13" t="str">
        <x:v>FINAL_TERWARIS</x:v>
      </x:c>
      <x:c r="J629" s="4" t="str">
        <x:v>Kecelakaan di Jalan Dramaga menyatakan jenis kejadian dan lokasi secara literal. Waktu serta rincian korban bukan syarat tambahan untuk label. Dasar: R1,R4.</x:v>
      </x:c>
      <x:c r="K629" s="4" t="str">
        <x:v>ACCIDENT</x:v>
      </x:c>
      <x:c r="L629" s="14" t="n">
        <x:v>0.9911091327667236</x:v>
      </x:c>
    </x:row>
    <x:row r="630" ht="64" customHeight="1">
      <x:c r="A630" s="4" t="str">
        <x:v>KEC-01052</x:v>
      </x:c>
      <x:c r="B630" s="4" t="str">
        <x:v>654 : rt : hati -hati evakuasi kecelakaan di sekitar 2 km setelah begitu ciujung ruas tol tangerang - merak arah jakarta</x:v>
      </x:c>
      <x:c r="C630" s="4" t="str">
        <x:v>NON_EVENT</x:v>
      </x:c>
      <x:c r="D630" s="4" t="str">
        <x:v>ACCIDENT</x:v>
      </x:c>
      <x:c r="E630" s="13" t="str">
        <x:v>TERWARIS</x:v>
      </x:c>
      <x:c r="F630" s="13" t="str"/>
      <x:c r="G630" s="13" t="str"/>
      <x:c r="H630" s="13" t="str">
        <x:v>ACCIDENT</x:v>
      </x:c>
      <x:c r="I630" s="13" t="str">
        <x:v>FINAL_TERWARIS</x:v>
      </x:c>
      <x:c r="J630" s="4" t="str">
        <x:v>Peringatan menyebut evakuasi kecelakaan dengan patokan jarak, ruas Tol Tangerang-Merak dan arah Jakarta. Klaim penanganan kejadian tetap eksplisit. Dasar: R1,R4.</x:v>
      </x:c>
      <x:c r="K630" s="4" t="str">
        <x:v>ACCIDENT</x:v>
      </x:c>
      <x:c r="L630" s="14" t="n">
        <x:v>0.9933799505233765</x:v>
      </x:c>
    </x:row>
  </x:sheetData>
  <x:conditionalFormatting sqref="I8:I630">
    <x:cfRule type="expression" dxfId="1" priority="1">
      <x:formula>OR(LEFT($I8,4)="ISI_",LEFT($I8,4)="CEK_",$I8="HAPUS_KOREKSI")</x:formula>
    </x:cfRule>
  </x:conditionalFormatting>
  <x:dataValidations count="1104">
    <x:dataValidation type="list" sqref="E8">
      <x:formula1>"SETUJU_USULAN,KOREKSI,TUNDA"</x:formula1>
    </x:dataValidation>
    <x:dataValidation type="list" sqref="F8">
      <x:formula1>"FLOOD,EARTHQUAKE,FIRE,ACCIDENT,NON_EVENT"</x:formula1>
    </x:dataValidation>
    <x:dataValidation type="list" sqref="E9">
      <x:formula1>"SETUJU_USULAN,KOREKSI,TUNDA"</x:formula1>
    </x:dataValidation>
    <x:dataValidation type="list" sqref="F9">
      <x:formula1>"FLOOD,EARTHQUAKE,FIRE,ACCIDENT,NON_EVENT"</x:formula1>
    </x:dataValidation>
    <x:dataValidation type="list" sqref="E10">
      <x:formula1>"SETUJU_USULAN,KOREKSI,TUNDA"</x:formula1>
    </x:dataValidation>
    <x:dataValidation type="list" sqref="F10">
      <x:formula1>"FLOOD,EARTHQUAKE,FIRE,ACCIDENT,NON_EVENT"</x:formula1>
    </x:dataValidation>
    <x:dataValidation type="list" sqref="E11">
      <x:formula1>"SETUJU_USULAN,KOREKSI,TUNDA"</x:formula1>
    </x:dataValidation>
    <x:dataValidation type="list" sqref="F11">
      <x:formula1>"FLOOD,EARTHQUAKE,FIRE,ACCIDENT,NON_EVENT"</x:formula1>
    </x:dataValidation>
    <x:dataValidation type="list" sqref="E12">
      <x:formula1>"SETUJU_USULAN,KOREKSI,TUNDA"</x:formula1>
    </x:dataValidation>
    <x:dataValidation type="list" sqref="F12">
      <x:formula1>"FLOOD,EARTHQUAKE,FIRE,ACCIDENT,NON_EVENT"</x:formula1>
    </x:dataValidation>
    <x:dataValidation type="list" sqref="E13">
      <x:formula1>"SETUJU_USULAN,KOREKSI,TUNDA"</x:formula1>
    </x:dataValidation>
    <x:dataValidation type="list" sqref="F13">
      <x:formula1>"FLOOD,EARTHQUAKE,FIRE,ACCIDENT,NON_EVENT"</x:formula1>
    </x:dataValidation>
    <x:dataValidation type="list" sqref="E14">
      <x:formula1>"SETUJU_USULAN,KOREKSI,TUNDA"</x:formula1>
    </x:dataValidation>
    <x:dataValidation type="list" sqref="F14">
      <x:formula1>"FLOOD,EARTHQUAKE,FIRE,ACCIDENT,NON_EVENT"</x:formula1>
    </x:dataValidation>
    <x:dataValidation type="list" sqref="E15">
      <x:formula1>"SETUJU_USULAN,KOREKSI,TUNDA"</x:formula1>
    </x:dataValidation>
    <x:dataValidation type="list" sqref="F15">
      <x:formula1>"FLOOD,EARTHQUAKE,FIRE,ACCIDENT,NON_EVENT"</x:formula1>
    </x:dataValidation>
    <x:dataValidation type="list" sqref="E16">
      <x:formula1>"SETUJU_USULAN,KOREKSI,TUNDA"</x:formula1>
    </x:dataValidation>
    <x:dataValidation type="list" sqref="F16">
      <x:formula1>"FLOOD,EARTHQUAKE,FIRE,ACCIDENT,NON_EVENT"</x:formula1>
    </x:dataValidation>
    <x:dataValidation type="list" sqref="E17">
      <x:formula1>"SETUJU_USULAN,KOREKSI,TUNDA"</x:formula1>
    </x:dataValidation>
    <x:dataValidation type="list" sqref="F17">
      <x:formula1>"FLOOD,EARTHQUAKE,FIRE,ACCIDENT,NON_EVENT"</x:formula1>
    </x:dataValidation>
    <x:dataValidation type="list" sqref="E18">
      <x:formula1>"SETUJU_USULAN,KOREKSI,TUNDA"</x:formula1>
    </x:dataValidation>
    <x:dataValidation type="list" sqref="F18">
      <x:formula1>"FLOOD,EARTHQUAKE,FIRE,ACCIDENT,NON_EVENT"</x:formula1>
    </x:dataValidation>
    <x:dataValidation type="list" sqref="E19">
      <x:formula1>"SETUJU_USULAN,KOREKSI,TUNDA"</x:formula1>
    </x:dataValidation>
    <x:dataValidation type="list" sqref="F19">
      <x:formula1>"FLOOD,EARTHQUAKE,FIRE,ACCIDENT,NON_EVENT"</x:formula1>
    </x:dataValidation>
    <x:dataValidation type="list" sqref="E20">
      <x:formula1>"SETUJU_USULAN,KOREKSI,TUNDA"</x:formula1>
    </x:dataValidation>
    <x:dataValidation type="list" sqref="F20">
      <x:formula1>"FLOOD,EARTHQUAKE,FIRE,ACCIDENT,NON_EVENT"</x:formula1>
    </x:dataValidation>
    <x:dataValidation type="list" sqref="E21">
      <x:formula1>"SETUJU_USULAN,KOREKSI,TUNDA"</x:formula1>
    </x:dataValidation>
    <x:dataValidation type="list" sqref="F21">
      <x:formula1>"FLOOD,EARTHQUAKE,FIRE,ACCIDENT,NON_EVENT"</x:formula1>
    </x:dataValidation>
    <x:dataValidation type="list" sqref="E22">
      <x:formula1>"SETUJU_USULAN,KOREKSI,TUNDA"</x:formula1>
    </x:dataValidation>
    <x:dataValidation type="list" sqref="F22">
      <x:formula1>"FLOOD,EARTHQUAKE,FIRE,ACCIDENT,NON_EVENT"</x:formula1>
    </x:dataValidation>
    <x:dataValidation type="list" sqref="E23">
      <x:formula1>"SETUJU_USULAN,KOREKSI,TUNDA"</x:formula1>
    </x:dataValidation>
    <x:dataValidation type="list" sqref="F23">
      <x:formula1>"FLOOD,EARTHQUAKE,FIRE,ACCIDENT,NON_EVENT"</x:formula1>
    </x:dataValidation>
    <x:dataValidation type="list" sqref="E24">
      <x:formula1>"SETUJU_USULAN,KOREKSI,TUNDA"</x:formula1>
    </x:dataValidation>
    <x:dataValidation type="list" sqref="F24">
      <x:formula1>"FLOOD,EARTHQUAKE,FIRE,ACCIDENT,NON_EVENT"</x:formula1>
    </x:dataValidation>
    <x:dataValidation type="list" sqref="E25">
      <x:formula1>"SETUJU_USULAN,KOREKSI,TUNDA"</x:formula1>
    </x:dataValidation>
    <x:dataValidation type="list" sqref="F25">
      <x:formula1>"FLOOD,EARTHQUAKE,FIRE,ACCIDENT,NON_EVENT"</x:formula1>
    </x:dataValidation>
    <x:dataValidation type="list" sqref="E26">
      <x:formula1>"SETUJU_USULAN,KOREKSI,TUNDA"</x:formula1>
    </x:dataValidation>
    <x:dataValidation type="list" sqref="F26">
      <x:formula1>"FLOOD,EARTHQUAKE,FIRE,ACCIDENT,NON_EVENT"</x:formula1>
    </x:dataValidation>
    <x:dataValidation type="list" sqref="E27">
      <x:formula1>"SETUJU_USULAN,KOREKSI,TUNDA"</x:formula1>
    </x:dataValidation>
    <x:dataValidation type="list" sqref="F27">
      <x:formula1>"FLOOD,EARTHQUAKE,FIRE,ACCIDENT,NON_EVENT"</x:formula1>
    </x:dataValidation>
    <x:dataValidation type="list" sqref="E28">
      <x:formula1>"SETUJU_USULAN,KOREKSI,TUNDA"</x:formula1>
    </x:dataValidation>
    <x:dataValidation type="list" sqref="F28">
      <x:formula1>"FLOOD,EARTHQUAKE,FIRE,ACCIDENT,NON_EVENT"</x:formula1>
    </x:dataValidation>
    <x:dataValidation type="list" sqref="E29">
      <x:formula1>"SETUJU_USULAN,KOREKSI,TUNDA"</x:formula1>
    </x:dataValidation>
    <x:dataValidation type="list" sqref="F29">
      <x:formula1>"FLOOD,EARTHQUAKE,FIRE,ACCIDENT,NON_EVENT"</x:formula1>
    </x:dataValidation>
    <x:dataValidation type="list" sqref="E30">
      <x:formula1>"SETUJU_USULAN,KOREKSI,TUNDA"</x:formula1>
    </x:dataValidation>
    <x:dataValidation type="list" sqref="F30">
      <x:formula1>"FLOOD,EARTHQUAKE,FIRE,ACCIDENT,NON_EVENT"</x:formula1>
    </x:dataValidation>
    <x:dataValidation type="list" sqref="E31">
      <x:formula1>"SETUJU_USULAN,KOREKSI,TUNDA"</x:formula1>
    </x:dataValidation>
    <x:dataValidation type="list" sqref="F31">
      <x:formula1>"FLOOD,EARTHQUAKE,FIRE,ACCIDENT,NON_EVENT"</x:formula1>
    </x:dataValidation>
    <x:dataValidation type="list" sqref="E32">
      <x:formula1>"SETUJU_USULAN,KOREKSI,TUNDA"</x:formula1>
    </x:dataValidation>
    <x:dataValidation type="list" sqref="F32">
      <x:formula1>"FLOOD,EARTHQUAKE,FIRE,ACCIDENT,NON_EVENT"</x:formula1>
    </x:dataValidation>
    <x:dataValidation type="list" sqref="E33">
      <x:formula1>"SETUJU_USULAN,KOREKSI,TUNDA"</x:formula1>
    </x:dataValidation>
    <x:dataValidation type="list" sqref="F33">
      <x:formula1>"FLOOD,EARTHQUAKE,FIRE,ACCIDENT,NON_EVENT"</x:formula1>
    </x:dataValidation>
    <x:dataValidation type="list" sqref="E34">
      <x:formula1>"SETUJU_USULAN,KOREKSI,TUNDA"</x:formula1>
    </x:dataValidation>
    <x:dataValidation type="list" sqref="F34">
      <x:formula1>"FLOOD,EARTHQUAKE,FIRE,ACCIDENT,NON_EVENT"</x:formula1>
    </x:dataValidation>
    <x:dataValidation type="list" sqref="E35">
      <x:formula1>"SETUJU_USULAN,KOREKSI,TUNDA"</x:formula1>
    </x:dataValidation>
    <x:dataValidation type="list" sqref="F35">
      <x:formula1>"FLOOD,EARTHQUAKE,FIRE,ACCIDENT,NON_EVENT"</x:formula1>
    </x:dataValidation>
    <x:dataValidation type="list" sqref="E36">
      <x:formula1>"SETUJU_USULAN,KOREKSI,TUNDA"</x:formula1>
    </x:dataValidation>
    <x:dataValidation type="list" sqref="F36">
      <x:formula1>"FLOOD,EARTHQUAKE,FIRE,ACCIDENT,NON_EVENT"</x:formula1>
    </x:dataValidation>
    <x:dataValidation type="list" sqref="E37">
      <x:formula1>"SETUJU_USULAN,KOREKSI,TUNDA"</x:formula1>
    </x:dataValidation>
    <x:dataValidation type="list" sqref="F37">
      <x:formula1>"FLOOD,EARTHQUAKE,FIRE,ACCIDENT,NON_EVENT"</x:formula1>
    </x:dataValidation>
    <x:dataValidation type="list" sqref="E38">
      <x:formula1>"SETUJU_USULAN,KOREKSI,TUNDA"</x:formula1>
    </x:dataValidation>
    <x:dataValidation type="list" sqref="F38">
      <x:formula1>"FLOOD,EARTHQUAKE,FIRE,ACCIDENT,NON_EVENT"</x:formula1>
    </x:dataValidation>
    <x:dataValidation type="list" sqref="E39">
      <x:formula1>"SETUJU_USULAN,KOREKSI,TUNDA"</x:formula1>
    </x:dataValidation>
    <x:dataValidation type="list" sqref="F39">
      <x:formula1>"FLOOD,EARTHQUAKE,FIRE,ACCIDENT,NON_EVENT"</x:formula1>
    </x:dataValidation>
    <x:dataValidation type="list" sqref="E40">
      <x:formula1>"SETUJU_USULAN,KOREKSI,TUNDA"</x:formula1>
    </x:dataValidation>
    <x:dataValidation type="list" sqref="F40">
      <x:formula1>"FLOOD,EARTHQUAKE,FIRE,ACCIDENT,NON_EVENT"</x:formula1>
    </x:dataValidation>
    <x:dataValidation type="list" sqref="E41">
      <x:formula1>"SETUJU_USULAN,KOREKSI,TUNDA"</x:formula1>
    </x:dataValidation>
    <x:dataValidation type="list" sqref="F41">
      <x:formula1>"FLOOD,EARTHQUAKE,FIRE,ACCIDENT,NON_EVENT"</x:formula1>
    </x:dataValidation>
    <x:dataValidation type="list" sqref="E42">
      <x:formula1>"SETUJU_USULAN,KOREKSI,TUNDA"</x:formula1>
    </x:dataValidation>
    <x:dataValidation type="list" sqref="F42">
      <x:formula1>"FLOOD,EARTHQUAKE,FIRE,ACCIDENT,NON_EVENT"</x:formula1>
    </x:dataValidation>
    <x:dataValidation type="list" sqref="E43">
      <x:formula1>"SETUJU_USULAN,KOREKSI,TUNDA"</x:formula1>
    </x:dataValidation>
    <x:dataValidation type="list" sqref="F43">
      <x:formula1>"FLOOD,EARTHQUAKE,FIRE,ACCIDENT,NON_EVENT"</x:formula1>
    </x:dataValidation>
    <x:dataValidation type="list" sqref="E44">
      <x:formula1>"SETUJU_USULAN,KOREKSI,TUNDA"</x:formula1>
    </x:dataValidation>
    <x:dataValidation type="list" sqref="F44">
      <x:formula1>"FLOOD,EARTHQUAKE,FIRE,ACCIDENT,NON_EVENT"</x:formula1>
    </x:dataValidation>
    <x:dataValidation type="list" sqref="E45">
      <x:formula1>"SETUJU_USULAN,KOREKSI,TUNDA"</x:formula1>
    </x:dataValidation>
    <x:dataValidation type="list" sqref="F45">
      <x:formula1>"FLOOD,EARTHQUAKE,FIRE,ACCIDENT,NON_EVENT"</x:formula1>
    </x:dataValidation>
    <x:dataValidation type="list" sqref="E46">
      <x:formula1>"SETUJU_USULAN,KOREKSI,TUNDA"</x:formula1>
    </x:dataValidation>
    <x:dataValidation type="list" sqref="F46">
      <x:formula1>"FLOOD,EARTHQUAKE,FIRE,ACCIDENT,NON_EVENT"</x:formula1>
    </x:dataValidation>
    <x:dataValidation type="list" sqref="E47">
      <x:formula1>"SETUJU_USULAN,KOREKSI,TUNDA"</x:formula1>
    </x:dataValidation>
    <x:dataValidation type="list" sqref="F47">
      <x:formula1>"FLOOD,EARTHQUAKE,FIRE,ACCIDENT,NON_EVENT"</x:formula1>
    </x:dataValidation>
    <x:dataValidation type="list" sqref="E48">
      <x:formula1>"SETUJU_USULAN,KOREKSI,TUNDA"</x:formula1>
    </x:dataValidation>
    <x:dataValidation type="list" sqref="F48">
      <x:formula1>"FLOOD,EARTHQUAKE,FIRE,ACCIDENT,NON_EVENT"</x:formula1>
    </x:dataValidation>
    <x:dataValidation type="list" sqref="E49">
      <x:formula1>"SETUJU_USULAN,KOREKSI,TUNDA"</x:formula1>
    </x:dataValidation>
    <x:dataValidation type="list" sqref="F49">
      <x:formula1>"FLOOD,EARTHQUAKE,FIRE,ACCIDENT,NON_EVENT"</x:formula1>
    </x:dataValidation>
    <x:dataValidation type="list" sqref="E50">
      <x:formula1>"SETUJU_USULAN,KOREKSI,TUNDA"</x:formula1>
    </x:dataValidation>
    <x:dataValidation type="list" sqref="F50">
      <x:formula1>"FLOOD,EARTHQUAKE,FIRE,ACCIDENT,NON_EVENT"</x:formula1>
    </x:dataValidation>
    <x:dataValidation type="list" sqref="E51">
      <x:formula1>"SETUJU_USULAN,KOREKSI,TUNDA"</x:formula1>
    </x:dataValidation>
    <x:dataValidation type="list" sqref="F51">
      <x:formula1>"FLOOD,EARTHQUAKE,FIRE,ACCIDENT,NON_EVENT"</x:formula1>
    </x:dataValidation>
    <x:dataValidation type="list" sqref="E52">
      <x:formula1>"SETUJU_USULAN,KOREKSI,TUNDA"</x:formula1>
    </x:dataValidation>
    <x:dataValidation type="list" sqref="F52">
      <x:formula1>"FLOOD,EARTHQUAKE,FIRE,ACCIDENT,NON_EVENT"</x:formula1>
    </x:dataValidation>
    <x:dataValidation type="list" sqref="E53">
      <x:formula1>"SETUJU_USULAN,KOREKSI,TUNDA"</x:formula1>
    </x:dataValidation>
    <x:dataValidation type="list" sqref="F53">
      <x:formula1>"FLOOD,EARTHQUAKE,FIRE,ACCIDENT,NON_EVENT"</x:formula1>
    </x:dataValidation>
    <x:dataValidation type="list" sqref="E54">
      <x:formula1>"SETUJU_USULAN,KOREKSI,TUNDA"</x:formula1>
    </x:dataValidation>
    <x:dataValidation type="list" sqref="F54">
      <x:formula1>"FLOOD,EARTHQUAKE,FIRE,ACCIDENT,NON_EVENT"</x:formula1>
    </x:dataValidation>
    <x:dataValidation type="list" sqref="E55">
      <x:formula1>"SETUJU_USULAN,KOREKSI,TUNDA"</x:formula1>
    </x:dataValidation>
    <x:dataValidation type="list" sqref="F55">
      <x:formula1>"FLOOD,EARTHQUAKE,FIRE,ACCIDENT,NON_EVENT"</x:formula1>
    </x:dataValidation>
    <x:dataValidation type="list" sqref="E56">
      <x:formula1>"SETUJU_USULAN,KOREKSI,TUNDA"</x:formula1>
    </x:dataValidation>
    <x:dataValidation type="list" sqref="F56">
      <x:formula1>"FLOOD,EARTHQUAKE,FIRE,ACCIDENT,NON_EVENT"</x:formula1>
    </x:dataValidation>
    <x:dataValidation type="list" sqref="E57">
      <x:formula1>"SETUJU_USULAN,KOREKSI,TUNDA"</x:formula1>
    </x:dataValidation>
    <x:dataValidation type="list" sqref="F57">
      <x:formula1>"FLOOD,EARTHQUAKE,FIRE,ACCIDENT,NON_EVENT"</x:formula1>
    </x:dataValidation>
    <x:dataValidation type="list" sqref="E58">
      <x:formula1>"SETUJU_USULAN,KOREKSI,TUNDA"</x:formula1>
    </x:dataValidation>
    <x:dataValidation type="list" sqref="F58">
      <x:formula1>"FLOOD,EARTHQUAKE,FIRE,ACCIDENT,NON_EVENT"</x:formula1>
    </x:dataValidation>
    <x:dataValidation type="list" sqref="E59">
      <x:formula1>"SETUJU_USULAN,KOREKSI,TUNDA"</x:formula1>
    </x:dataValidation>
    <x:dataValidation type="list" sqref="F59">
      <x:formula1>"FLOOD,EARTHQUAKE,FIRE,ACCIDENT,NON_EVENT"</x:formula1>
    </x:dataValidation>
    <x:dataValidation type="list" sqref="E60">
      <x:formula1>"SETUJU_USULAN,KOREKSI,TUNDA"</x:formula1>
    </x:dataValidation>
    <x:dataValidation type="list" sqref="F60">
      <x:formula1>"FLOOD,EARTHQUAKE,FIRE,ACCIDENT,NON_EVENT"</x:formula1>
    </x:dataValidation>
    <x:dataValidation type="list" sqref="E61">
      <x:formula1>"SETUJU_USULAN,KOREKSI,TUNDA"</x:formula1>
    </x:dataValidation>
    <x:dataValidation type="list" sqref="F61">
      <x:formula1>"FLOOD,EARTHQUAKE,FIRE,ACCIDENT,NON_EVENT"</x:formula1>
    </x:dataValidation>
    <x:dataValidation type="list" sqref="E62">
      <x:formula1>"SETUJU_USULAN,KOREKSI,TUNDA"</x:formula1>
    </x:dataValidation>
    <x:dataValidation type="list" sqref="F62">
      <x:formula1>"FLOOD,EARTHQUAKE,FIRE,ACCIDENT,NON_EVENT"</x:formula1>
    </x:dataValidation>
    <x:dataValidation type="list" sqref="E63">
      <x:formula1>"SETUJU_USULAN,KOREKSI,TUNDA"</x:formula1>
    </x:dataValidation>
    <x:dataValidation type="list" sqref="F63">
      <x:formula1>"FLOOD,EARTHQUAKE,FIRE,ACCIDENT,NON_EVENT"</x:formula1>
    </x:dataValidation>
    <x:dataValidation type="list" sqref="E64">
      <x:formula1>"SETUJU_USULAN,KOREKSI,TUNDA"</x:formula1>
    </x:dataValidation>
    <x:dataValidation type="list" sqref="F64">
      <x:formula1>"FLOOD,EARTHQUAKE,FIRE,ACCIDENT,NON_EVENT"</x:formula1>
    </x:dataValidation>
    <x:dataValidation type="list" sqref="E65">
      <x:formula1>"SETUJU_USULAN,KOREKSI,TUNDA"</x:formula1>
    </x:dataValidation>
    <x:dataValidation type="list" sqref="F65">
      <x:formula1>"FLOOD,EARTHQUAKE,FIRE,ACCIDENT,NON_EVENT"</x:formula1>
    </x:dataValidation>
    <x:dataValidation type="list" sqref="E66">
      <x:formula1>"SETUJU_USULAN,KOREKSI,TUNDA"</x:formula1>
    </x:dataValidation>
    <x:dataValidation type="list" sqref="F66">
      <x:formula1>"FLOOD,EARTHQUAKE,FIRE,ACCIDENT,NON_EVENT"</x:formula1>
    </x:dataValidation>
    <x:dataValidation type="list" sqref="E67">
      <x:formula1>"SETUJU_USULAN,KOREKSI,TUNDA"</x:formula1>
    </x:dataValidation>
    <x:dataValidation type="list" sqref="F67">
      <x:formula1>"FLOOD,EARTHQUAKE,FIRE,ACCIDENT,NON_EVENT"</x:formula1>
    </x:dataValidation>
    <x:dataValidation type="list" sqref="E68">
      <x:formula1>"SETUJU_USULAN,KOREKSI,TUNDA"</x:formula1>
    </x:dataValidation>
    <x:dataValidation type="list" sqref="F68">
      <x:formula1>"FLOOD,EARTHQUAKE,FIRE,ACCIDENT,NON_EVENT"</x:formula1>
    </x:dataValidation>
    <x:dataValidation type="list" sqref="E69">
      <x:formula1>"SETUJU_USULAN,KOREKSI,TUNDA"</x:formula1>
    </x:dataValidation>
    <x:dataValidation type="list" sqref="F69">
      <x:formula1>"FLOOD,EARTHQUAKE,FIRE,ACCIDENT,NON_EVENT"</x:formula1>
    </x:dataValidation>
    <x:dataValidation type="list" sqref="E70">
      <x:formula1>"SETUJU_USULAN,KOREKSI,TUNDA"</x:formula1>
    </x:dataValidation>
    <x:dataValidation type="list" sqref="F70">
      <x:formula1>"FLOOD,EARTHQUAKE,FIRE,ACCIDENT,NON_EVENT"</x:formula1>
    </x:dataValidation>
    <x:dataValidation type="list" sqref="E71">
      <x:formula1>"SETUJU_USULAN,KOREKSI,TUNDA"</x:formula1>
    </x:dataValidation>
    <x:dataValidation type="list" sqref="F71">
      <x:formula1>"FLOOD,EARTHQUAKE,FIRE,ACCIDENT,NON_EVENT"</x:formula1>
    </x:dataValidation>
    <x:dataValidation type="list" sqref="E72">
      <x:formula1>"SETUJU_USULAN,KOREKSI,TUNDA"</x:formula1>
    </x:dataValidation>
    <x:dataValidation type="list" sqref="F72">
      <x:formula1>"FLOOD,EARTHQUAKE,FIRE,ACCIDENT,NON_EVENT"</x:formula1>
    </x:dataValidation>
    <x:dataValidation type="list" sqref="E73">
      <x:formula1>"SETUJU_USULAN,KOREKSI,TUNDA"</x:formula1>
    </x:dataValidation>
    <x:dataValidation type="list" sqref="F73">
      <x:formula1>"FLOOD,EARTHQUAKE,FIRE,ACCIDENT,NON_EVENT"</x:formula1>
    </x:dataValidation>
    <x:dataValidation type="list" sqref="E74">
      <x:formula1>"SETUJU_USULAN,KOREKSI,TUNDA"</x:formula1>
    </x:dataValidation>
    <x:dataValidation type="list" sqref="F74">
      <x:formula1>"FLOOD,EARTHQUAKE,FIRE,ACCIDENT,NON_EVENT"</x:formula1>
    </x:dataValidation>
    <x:dataValidation type="list" sqref="E75">
      <x:formula1>"SETUJU_USULAN,KOREKSI,TUNDA"</x:formula1>
    </x:dataValidation>
    <x:dataValidation type="list" sqref="F75">
      <x:formula1>"FLOOD,EARTHQUAKE,FIRE,ACCIDENT,NON_EVENT"</x:formula1>
    </x:dataValidation>
    <x:dataValidation type="list" sqref="E76">
      <x:formula1>"SETUJU_USULAN,KOREKSI,TUNDA"</x:formula1>
    </x:dataValidation>
    <x:dataValidation type="list" sqref="F76">
      <x:formula1>"FLOOD,EARTHQUAKE,FIRE,ACCIDENT,NON_EVENT"</x:formula1>
    </x:dataValidation>
    <x:dataValidation type="list" sqref="E77">
      <x:formula1>"SETUJU_USULAN,KOREKSI,TUNDA"</x:formula1>
    </x:dataValidation>
    <x:dataValidation type="list" sqref="F77">
      <x:formula1>"FLOOD,EARTHQUAKE,FIRE,ACCIDENT,NON_EVENT"</x:formula1>
    </x:dataValidation>
    <x:dataValidation type="list" sqref="E78">
      <x:formula1>"SETUJU_USULAN,KOREKSI,TUNDA"</x:formula1>
    </x:dataValidation>
    <x:dataValidation type="list" sqref="F78">
      <x:formula1>"FLOOD,EARTHQUAKE,FIRE,ACCIDENT,NON_EVENT"</x:formula1>
    </x:dataValidation>
    <x:dataValidation type="list" sqref="E79">
      <x:formula1>"SETUJU_USULAN,KOREKSI,TUNDA"</x:formula1>
    </x:dataValidation>
    <x:dataValidation type="list" sqref="F79">
      <x:formula1>"FLOOD,EARTHQUAKE,FIRE,ACCIDENT,NON_EVENT"</x:formula1>
    </x:dataValidation>
    <x:dataValidation type="list" sqref="E80">
      <x:formula1>"SETUJU_USULAN,KOREKSI,TUNDA"</x:formula1>
    </x:dataValidation>
    <x:dataValidation type="list" sqref="F80">
      <x:formula1>"FLOOD,EARTHQUAKE,FIRE,ACCIDENT,NON_EVENT"</x:formula1>
    </x:dataValidation>
    <x:dataValidation type="list" sqref="E81">
      <x:formula1>"SETUJU_USULAN,KOREKSI,TUNDA"</x:formula1>
    </x:dataValidation>
    <x:dataValidation type="list" sqref="F81">
      <x:formula1>"FLOOD,EARTHQUAKE,FIRE,ACCIDENT,NON_EVENT"</x:formula1>
    </x:dataValidation>
    <x:dataValidation type="list" sqref="E82">
      <x:formula1>"SETUJU_USULAN,KOREKSI,TUNDA"</x:formula1>
    </x:dataValidation>
    <x:dataValidation type="list" sqref="F82">
      <x:formula1>"FLOOD,EARTHQUAKE,FIRE,ACCIDENT,NON_EVENT"</x:formula1>
    </x:dataValidation>
    <x:dataValidation type="list" sqref="E83">
      <x:formula1>"SETUJU_USULAN,KOREKSI,TUNDA"</x:formula1>
    </x:dataValidation>
    <x:dataValidation type="list" sqref="F83">
      <x:formula1>"FLOOD,EARTHQUAKE,FIRE,ACCIDENT,NON_EVENT"</x:formula1>
    </x:dataValidation>
    <x:dataValidation type="list" sqref="E84">
      <x:formula1>"SETUJU_USULAN,KOREKSI,TUNDA"</x:formula1>
    </x:dataValidation>
    <x:dataValidation type="list" sqref="F84">
      <x:formula1>"FLOOD,EARTHQUAKE,FIRE,ACCIDENT,NON_EVENT"</x:formula1>
    </x:dataValidation>
    <x:dataValidation type="list" sqref="E85">
      <x:formula1>"SETUJU_USULAN,KOREKSI,TUNDA"</x:formula1>
    </x:dataValidation>
    <x:dataValidation type="list" sqref="F85">
      <x:formula1>"FLOOD,EARTHQUAKE,FIRE,ACCIDENT,NON_EVENT"</x:formula1>
    </x:dataValidation>
    <x:dataValidation type="list" sqref="E86">
      <x:formula1>"SETUJU_USULAN,KOREKSI,TUNDA"</x:formula1>
    </x:dataValidation>
    <x:dataValidation type="list" sqref="F86">
      <x:formula1>"FLOOD,EARTHQUAKE,FIRE,ACCIDENT,NON_EVENT"</x:formula1>
    </x:dataValidation>
    <x:dataValidation type="list" sqref="E87">
      <x:formula1>"SETUJU_USULAN,KOREKSI,TUNDA"</x:formula1>
    </x:dataValidation>
    <x:dataValidation type="list" sqref="F87">
      <x:formula1>"FLOOD,EARTHQUAKE,FIRE,ACCIDENT,NON_EVENT"</x:formula1>
    </x:dataValidation>
    <x:dataValidation type="list" sqref="E88">
      <x:formula1>"SETUJU_USULAN,KOREKSI,TUNDA"</x:formula1>
    </x:dataValidation>
    <x:dataValidation type="list" sqref="F88">
      <x:formula1>"FLOOD,EARTHQUAKE,FIRE,ACCIDENT,NON_EVENT"</x:formula1>
    </x:dataValidation>
    <x:dataValidation type="list" sqref="E89">
      <x:formula1>"SETUJU_USULAN,KOREKSI,TUNDA"</x:formula1>
    </x:dataValidation>
    <x:dataValidation type="list" sqref="F89">
      <x:formula1>"FLOOD,EARTHQUAKE,FIRE,ACCIDENT,NON_EVENT"</x:formula1>
    </x:dataValidation>
    <x:dataValidation type="list" sqref="E90">
      <x:formula1>"SETUJU_USULAN,KOREKSI,TUNDA"</x:formula1>
    </x:dataValidation>
    <x:dataValidation type="list" sqref="F90">
      <x:formula1>"FLOOD,EARTHQUAKE,FIRE,ACCIDENT,NON_EVENT"</x:formula1>
    </x:dataValidation>
    <x:dataValidation type="list" sqref="E91">
      <x:formula1>"SETUJU_USULAN,KOREKSI,TUNDA"</x:formula1>
    </x:dataValidation>
    <x:dataValidation type="list" sqref="F91">
      <x:formula1>"FLOOD,EARTHQUAKE,FIRE,ACCIDENT,NON_EVENT"</x:formula1>
    </x:dataValidation>
    <x:dataValidation type="list" sqref="E92">
      <x:formula1>"SETUJU_USULAN,KOREKSI,TUNDA"</x:formula1>
    </x:dataValidation>
    <x:dataValidation type="list" sqref="F92">
      <x:formula1>"FLOOD,EARTHQUAKE,FIRE,ACCIDENT,NON_EVENT"</x:formula1>
    </x:dataValidation>
    <x:dataValidation type="list" sqref="E93">
      <x:formula1>"SETUJU_USULAN,KOREKSI,TUNDA"</x:formula1>
    </x:dataValidation>
    <x:dataValidation type="list" sqref="F93">
      <x:formula1>"FLOOD,EARTHQUAKE,FIRE,ACCIDENT,NON_EVENT"</x:formula1>
    </x:dataValidation>
    <x:dataValidation type="list" sqref="E94">
      <x:formula1>"SETUJU_USULAN,KOREKSI,TUNDA"</x:formula1>
    </x:dataValidation>
    <x:dataValidation type="list" sqref="F94">
      <x:formula1>"FLOOD,EARTHQUAKE,FIRE,ACCIDENT,NON_EVENT"</x:formula1>
    </x:dataValidation>
    <x:dataValidation type="list" sqref="E95">
      <x:formula1>"SETUJU_USULAN,KOREKSI,TUNDA"</x:formula1>
    </x:dataValidation>
    <x:dataValidation type="list" sqref="F95">
      <x:formula1>"FLOOD,EARTHQUAKE,FIRE,ACCIDENT,NON_EVENT"</x:formula1>
    </x:dataValidation>
    <x:dataValidation type="list" sqref="E96">
      <x:formula1>"SETUJU_USULAN,KOREKSI,TUNDA"</x:formula1>
    </x:dataValidation>
    <x:dataValidation type="list" sqref="F96">
      <x:formula1>"FLOOD,EARTHQUAKE,FIRE,ACCIDENT,NON_EVENT"</x:formula1>
    </x:dataValidation>
    <x:dataValidation type="list" sqref="E97">
      <x:formula1>"SETUJU_USULAN,KOREKSI,TUNDA"</x:formula1>
    </x:dataValidation>
    <x:dataValidation type="list" sqref="F97">
      <x:formula1>"FLOOD,EARTHQUAKE,FIRE,ACCIDENT,NON_EVENT"</x:formula1>
    </x:dataValidation>
    <x:dataValidation type="list" sqref="E98">
      <x:formula1>"SETUJU_USULAN,KOREKSI,TUNDA"</x:formula1>
    </x:dataValidation>
    <x:dataValidation type="list" sqref="F98">
      <x:formula1>"FLOOD,EARTHQUAKE,FIRE,ACCIDENT,NON_EVENT"</x:formula1>
    </x:dataValidation>
    <x:dataValidation type="list" sqref="E99">
      <x:formula1>"SETUJU_USULAN,KOREKSI,TUNDA"</x:formula1>
    </x:dataValidation>
    <x:dataValidation type="list" sqref="F99">
      <x:formula1>"FLOOD,EARTHQUAKE,FIRE,ACCIDENT,NON_EVENT"</x:formula1>
    </x:dataValidation>
    <x:dataValidation type="list" sqref="E100">
      <x:formula1>"SETUJU_USULAN,KOREKSI,TUNDA"</x:formula1>
    </x:dataValidation>
    <x:dataValidation type="list" sqref="F100">
      <x:formula1>"FLOOD,EARTHQUAKE,FIRE,ACCIDENT,NON_EVENT"</x:formula1>
    </x:dataValidation>
    <x:dataValidation type="list" sqref="E101">
      <x:formula1>"SETUJU_USULAN,KOREKSI,TUNDA"</x:formula1>
    </x:dataValidation>
    <x:dataValidation type="list" sqref="F101">
      <x:formula1>"FLOOD,EARTHQUAKE,FIRE,ACCIDENT,NON_EVENT"</x:formula1>
    </x:dataValidation>
    <x:dataValidation type="list" sqref="E102">
      <x:formula1>"SETUJU_USULAN,KOREKSI,TUNDA"</x:formula1>
    </x:dataValidation>
    <x:dataValidation type="list" sqref="F102">
      <x:formula1>"FLOOD,EARTHQUAKE,FIRE,ACCIDENT,NON_EVENT"</x:formula1>
    </x:dataValidation>
    <x:dataValidation type="list" sqref="E103">
      <x:formula1>"SETUJU_USULAN,KOREKSI,TUNDA"</x:formula1>
    </x:dataValidation>
    <x:dataValidation type="list" sqref="F103">
      <x:formula1>"FLOOD,EARTHQUAKE,FIRE,ACCIDENT,NON_EVENT"</x:formula1>
    </x:dataValidation>
    <x:dataValidation type="list" sqref="E104">
      <x:formula1>"SETUJU_USULAN,KOREKSI,TUNDA"</x:formula1>
    </x:dataValidation>
    <x:dataValidation type="list" sqref="F104">
      <x:formula1>"FLOOD,EARTHQUAKE,FIRE,ACCIDENT,NON_EVENT"</x:formula1>
    </x:dataValidation>
    <x:dataValidation type="list" sqref="E105">
      <x:formula1>"SETUJU_USULAN,KOREKSI,TUNDA"</x:formula1>
    </x:dataValidation>
    <x:dataValidation type="list" sqref="F105">
      <x:formula1>"FLOOD,EARTHQUAKE,FIRE,ACCIDENT,NON_EVENT"</x:formula1>
    </x:dataValidation>
    <x:dataValidation type="list" sqref="E106">
      <x:formula1>"SETUJU_USULAN,KOREKSI,TUNDA"</x:formula1>
    </x:dataValidation>
    <x:dataValidation type="list" sqref="F106">
      <x:formula1>"FLOOD,EARTHQUAKE,FIRE,ACCIDENT,NON_EVENT"</x:formula1>
    </x:dataValidation>
    <x:dataValidation type="list" sqref="E107">
      <x:formula1>"SETUJU_USULAN,KOREKSI,TUNDA"</x:formula1>
    </x:dataValidation>
    <x:dataValidation type="list" sqref="F107">
      <x:formula1>"FLOOD,EARTHQUAKE,FIRE,ACCIDENT,NON_EVENT"</x:formula1>
    </x:dataValidation>
    <x:dataValidation type="list" sqref="E108">
      <x:formula1>"SETUJU_USULAN,KOREKSI,TUNDA"</x:formula1>
    </x:dataValidation>
    <x:dataValidation type="list" sqref="F108">
      <x:formula1>"FLOOD,EARTHQUAKE,FIRE,ACCIDENT,NON_EVENT"</x:formula1>
    </x:dataValidation>
    <x:dataValidation type="list" sqref="E109">
      <x:formula1>"SETUJU_USULAN,KOREKSI,TUNDA"</x:formula1>
    </x:dataValidation>
    <x:dataValidation type="list" sqref="F109">
      <x:formula1>"FLOOD,EARTHQUAKE,FIRE,ACCIDENT,NON_EVENT"</x:formula1>
    </x:dataValidation>
    <x:dataValidation type="list" sqref="E110">
      <x:formula1>"SETUJU_USULAN,KOREKSI,TUNDA"</x:formula1>
    </x:dataValidation>
    <x:dataValidation type="list" sqref="F110">
      <x:formula1>"FLOOD,EARTHQUAKE,FIRE,ACCIDENT,NON_EVENT"</x:formula1>
    </x:dataValidation>
    <x:dataValidation type="list" sqref="E111">
      <x:formula1>"SETUJU_USULAN,KOREKSI,TUNDA"</x:formula1>
    </x:dataValidation>
    <x:dataValidation type="list" sqref="F111">
      <x:formula1>"FLOOD,EARTHQUAKE,FIRE,ACCIDENT,NON_EVENT"</x:formula1>
    </x:dataValidation>
    <x:dataValidation type="list" sqref="E112">
      <x:formula1>"SETUJU_USULAN,KOREKSI,TUNDA"</x:formula1>
    </x:dataValidation>
    <x:dataValidation type="list" sqref="F112">
      <x:formula1>"FLOOD,EARTHQUAKE,FIRE,ACCIDENT,NON_EVENT"</x:formula1>
    </x:dataValidation>
    <x:dataValidation type="list" sqref="E113">
      <x:formula1>"SETUJU_USULAN,KOREKSI,TUNDA"</x:formula1>
    </x:dataValidation>
    <x:dataValidation type="list" sqref="F113">
      <x:formula1>"FLOOD,EARTHQUAKE,FIRE,ACCIDENT,NON_EVENT"</x:formula1>
    </x:dataValidation>
    <x:dataValidation type="list" sqref="E114">
      <x:formula1>"SETUJU_USULAN,KOREKSI,TUNDA"</x:formula1>
    </x:dataValidation>
    <x:dataValidation type="list" sqref="F114">
      <x:formula1>"FLOOD,EARTHQUAKE,FIRE,ACCIDENT,NON_EVENT"</x:formula1>
    </x:dataValidation>
    <x:dataValidation type="list" sqref="E115">
      <x:formula1>"SETUJU_USULAN,KOREKSI,TUNDA"</x:formula1>
    </x:dataValidation>
    <x:dataValidation type="list" sqref="F115">
      <x:formula1>"FLOOD,EARTHQUAKE,FIRE,ACCIDENT,NON_EVENT"</x:formula1>
    </x:dataValidation>
    <x:dataValidation type="list" sqref="E116">
      <x:formula1>"SETUJU_USULAN,KOREKSI,TUNDA"</x:formula1>
    </x:dataValidation>
    <x:dataValidation type="list" sqref="F116">
      <x:formula1>"FLOOD,EARTHQUAKE,FIRE,ACCIDENT,NON_EVENT"</x:formula1>
    </x:dataValidation>
    <x:dataValidation type="list" sqref="E117">
      <x:formula1>"SETUJU_USULAN,KOREKSI,TUNDA"</x:formula1>
    </x:dataValidation>
    <x:dataValidation type="list" sqref="F117">
      <x:formula1>"FLOOD,EARTHQUAKE,FIRE,ACCIDENT,NON_EVENT"</x:formula1>
    </x:dataValidation>
    <x:dataValidation type="list" sqref="E118">
      <x:formula1>"SETUJU_USULAN,KOREKSI,TUNDA"</x:formula1>
    </x:dataValidation>
    <x:dataValidation type="list" sqref="F118">
      <x:formula1>"FLOOD,EARTHQUAKE,FIRE,ACCIDENT,NON_EVENT"</x:formula1>
    </x:dataValidation>
    <x:dataValidation type="list" sqref="E119">
      <x:formula1>"SETUJU_USULAN,KOREKSI,TUNDA"</x:formula1>
    </x:dataValidation>
    <x:dataValidation type="list" sqref="F119">
      <x:formula1>"FLOOD,EARTHQUAKE,FIRE,ACCIDENT,NON_EVENT"</x:formula1>
    </x:dataValidation>
    <x:dataValidation type="list" sqref="E120">
      <x:formula1>"SETUJU_USULAN,KOREKSI,TUNDA"</x:formula1>
    </x:dataValidation>
    <x:dataValidation type="list" sqref="F120">
      <x:formula1>"FLOOD,EARTHQUAKE,FIRE,ACCIDENT,NON_EVENT"</x:formula1>
    </x:dataValidation>
    <x:dataValidation type="list" sqref="E121">
      <x:formula1>"SETUJU_USULAN,KOREKSI,TUNDA"</x:formula1>
    </x:dataValidation>
    <x:dataValidation type="list" sqref="F121">
      <x:formula1>"FLOOD,EARTHQUAKE,FIRE,ACCIDENT,NON_EVENT"</x:formula1>
    </x:dataValidation>
    <x:dataValidation type="list" sqref="E122">
      <x:formula1>"SETUJU_USULAN,KOREKSI,TUNDA"</x:formula1>
    </x:dataValidation>
    <x:dataValidation type="list" sqref="F122">
      <x:formula1>"FLOOD,EARTHQUAKE,FIRE,ACCIDENT,NON_EVENT"</x:formula1>
    </x:dataValidation>
    <x:dataValidation type="list" sqref="E123">
      <x:formula1>"SETUJU_USULAN,KOREKSI,TUNDA"</x:formula1>
    </x:dataValidation>
    <x:dataValidation type="list" sqref="F123">
      <x:formula1>"FLOOD,EARTHQUAKE,FIRE,ACCIDENT,NON_EVENT"</x:formula1>
    </x:dataValidation>
    <x:dataValidation type="list" sqref="E124">
      <x:formula1>"SETUJU_USULAN,KOREKSI,TUNDA"</x:formula1>
    </x:dataValidation>
    <x:dataValidation type="list" sqref="F124">
      <x:formula1>"FLOOD,EARTHQUAKE,FIRE,ACCIDENT,NON_EVENT"</x:formula1>
    </x:dataValidation>
    <x:dataValidation type="list" sqref="E125">
      <x:formula1>"SETUJU_USULAN,KOREKSI,TUNDA"</x:formula1>
    </x:dataValidation>
    <x:dataValidation type="list" sqref="F125">
      <x:formula1>"FLOOD,EARTHQUAKE,FIRE,ACCIDENT,NON_EVENT"</x:formula1>
    </x:dataValidation>
    <x:dataValidation type="list" sqref="E126">
      <x:formula1>"SETUJU_USULAN,KOREKSI,TUNDA"</x:formula1>
    </x:dataValidation>
    <x:dataValidation type="list" sqref="F126">
      <x:formula1>"FLOOD,EARTHQUAKE,FIRE,ACCIDENT,NON_EVENT"</x:formula1>
    </x:dataValidation>
    <x:dataValidation type="list" sqref="E127">
      <x:formula1>"SETUJU_USULAN,KOREKSI,TUNDA"</x:formula1>
    </x:dataValidation>
    <x:dataValidation type="list" sqref="F127">
      <x:formula1>"FLOOD,EARTHQUAKE,FIRE,ACCIDENT,NON_EVENT"</x:formula1>
    </x:dataValidation>
    <x:dataValidation type="list" sqref="E128">
      <x:formula1>"SETUJU_USULAN,KOREKSI,TUNDA"</x:formula1>
    </x:dataValidation>
    <x:dataValidation type="list" sqref="F128">
      <x:formula1>"FLOOD,EARTHQUAKE,FIRE,ACCIDENT,NON_EVENT"</x:formula1>
    </x:dataValidation>
    <x:dataValidation type="list" sqref="E129">
      <x:formula1>"SETUJU_USULAN,KOREKSI,TUNDA"</x:formula1>
    </x:dataValidation>
    <x:dataValidation type="list" sqref="F129">
      <x:formula1>"FLOOD,EARTHQUAKE,FIRE,ACCIDENT,NON_EVENT"</x:formula1>
    </x:dataValidation>
    <x:dataValidation type="list" sqref="E130">
      <x:formula1>"SETUJU_USULAN,KOREKSI,TUNDA"</x:formula1>
    </x:dataValidation>
    <x:dataValidation type="list" sqref="F130">
      <x:formula1>"FLOOD,EARTHQUAKE,FIRE,ACCIDENT,NON_EVENT"</x:formula1>
    </x:dataValidation>
    <x:dataValidation type="list" sqref="E131">
      <x:formula1>"SETUJU_USULAN,KOREKSI,TUNDA"</x:formula1>
    </x:dataValidation>
    <x:dataValidation type="list" sqref="F131">
      <x:formula1>"FLOOD,EARTHQUAKE,FIRE,ACCIDENT,NON_EVENT"</x:formula1>
    </x:dataValidation>
    <x:dataValidation type="list" sqref="E132">
      <x:formula1>"SETUJU_USULAN,KOREKSI,TUNDA"</x:formula1>
    </x:dataValidation>
    <x:dataValidation type="list" sqref="F132">
      <x:formula1>"FLOOD,EARTHQUAKE,FIRE,ACCIDENT,NON_EVENT"</x:formula1>
    </x:dataValidation>
    <x:dataValidation type="list" sqref="E133">
      <x:formula1>"SETUJU_USULAN,KOREKSI,TUNDA"</x:formula1>
    </x:dataValidation>
    <x:dataValidation type="list" sqref="F133">
      <x:formula1>"FLOOD,EARTHQUAKE,FIRE,ACCIDENT,NON_EVENT"</x:formula1>
    </x:dataValidation>
    <x:dataValidation type="list" sqref="E134">
      <x:formula1>"SETUJU_USULAN,KOREKSI,TUNDA"</x:formula1>
    </x:dataValidation>
    <x:dataValidation type="list" sqref="F134">
      <x:formula1>"FLOOD,EARTHQUAKE,FIRE,ACCIDENT,NON_EVENT"</x:formula1>
    </x:dataValidation>
    <x:dataValidation type="list" sqref="E135">
      <x:formula1>"SETUJU_USULAN,KOREKSI,TUNDA"</x:formula1>
    </x:dataValidation>
    <x:dataValidation type="list" sqref="F135">
      <x:formula1>"FLOOD,EARTHQUAKE,FIRE,ACCIDENT,NON_EVENT"</x:formula1>
    </x:dataValidation>
    <x:dataValidation type="list" sqref="E136">
      <x:formula1>"SETUJU_USULAN,KOREKSI,TUNDA"</x:formula1>
    </x:dataValidation>
    <x:dataValidation type="list" sqref="F136">
      <x:formula1>"FLOOD,EARTHQUAKE,FIRE,ACCIDENT,NON_EVENT"</x:formula1>
    </x:dataValidation>
    <x:dataValidation type="list" sqref="E137">
      <x:formula1>"SETUJU_USULAN,KOREKSI,TUNDA"</x:formula1>
    </x:dataValidation>
    <x:dataValidation type="list" sqref="F137">
      <x:formula1>"FLOOD,EARTHQUAKE,FIRE,ACCIDENT,NON_EVENT"</x:formula1>
    </x:dataValidation>
    <x:dataValidation type="list" sqref="E138">
      <x:formula1>"SETUJU_USULAN,KOREKSI,TUNDA"</x:formula1>
    </x:dataValidation>
    <x:dataValidation type="list" sqref="F138">
      <x:formula1>"FLOOD,EARTHQUAKE,FIRE,ACCIDENT,NON_EVENT"</x:formula1>
    </x:dataValidation>
    <x:dataValidation type="list" sqref="E139">
      <x:formula1>"SETUJU_USULAN,KOREKSI,TUNDA"</x:formula1>
    </x:dataValidation>
    <x:dataValidation type="list" sqref="F139">
      <x:formula1>"FLOOD,EARTHQUAKE,FIRE,ACCIDENT,NON_EVENT"</x:formula1>
    </x:dataValidation>
    <x:dataValidation type="list" sqref="E140">
      <x:formula1>"SETUJU_USULAN,KOREKSI,TUNDA"</x:formula1>
    </x:dataValidation>
    <x:dataValidation type="list" sqref="F140">
      <x:formula1>"FLOOD,EARTHQUAKE,FIRE,ACCIDENT,NON_EVENT"</x:formula1>
    </x:dataValidation>
    <x:dataValidation type="list" sqref="E141">
      <x:formula1>"SETUJU_USULAN,KOREKSI,TUNDA"</x:formula1>
    </x:dataValidation>
    <x:dataValidation type="list" sqref="F141">
      <x:formula1>"FLOOD,EARTHQUAKE,FIRE,ACCIDENT,NON_EVENT"</x:formula1>
    </x:dataValidation>
    <x:dataValidation type="list" sqref="E142">
      <x:formula1>"SETUJU_USULAN,KOREKSI,TUNDA"</x:formula1>
    </x:dataValidation>
    <x:dataValidation type="list" sqref="F142">
      <x:formula1>"FLOOD,EARTHQUAKE,FIRE,ACCIDENT,NON_EVENT"</x:formula1>
    </x:dataValidation>
    <x:dataValidation type="list" sqref="E143">
      <x:formula1>"SETUJU_USULAN,KOREKSI,TUNDA"</x:formula1>
    </x:dataValidation>
    <x:dataValidation type="list" sqref="F143">
      <x:formula1>"FLOOD,EARTHQUAKE,FIRE,ACCIDENT,NON_EVENT"</x:formula1>
    </x:dataValidation>
    <x:dataValidation type="list" sqref="E144">
      <x:formula1>"SETUJU_USULAN,KOREKSI,TUNDA"</x:formula1>
    </x:dataValidation>
    <x:dataValidation type="list" sqref="F144">
      <x:formula1>"FLOOD,EARTHQUAKE,FIRE,ACCIDENT,NON_EVENT"</x:formula1>
    </x:dataValidation>
    <x:dataValidation type="list" sqref="E145">
      <x:formula1>"SETUJU_USULAN,KOREKSI,TUNDA"</x:formula1>
    </x:dataValidation>
    <x:dataValidation type="list" sqref="F145">
      <x:formula1>"FLOOD,EARTHQUAKE,FIRE,ACCIDENT,NON_EVENT"</x:formula1>
    </x:dataValidation>
    <x:dataValidation type="list" sqref="E146">
      <x:formula1>"SETUJU_USULAN,KOREKSI,TUNDA"</x:formula1>
    </x:dataValidation>
    <x:dataValidation type="list" sqref="F146">
      <x:formula1>"FLOOD,EARTHQUAKE,FIRE,ACCIDENT,NON_EVENT"</x:formula1>
    </x:dataValidation>
    <x:dataValidation type="list" sqref="E147">
      <x:formula1>"SETUJU_USULAN,KOREKSI,TUNDA"</x:formula1>
    </x:dataValidation>
    <x:dataValidation type="list" sqref="F147">
      <x:formula1>"FLOOD,EARTHQUAKE,FIRE,ACCIDENT,NON_EVENT"</x:formula1>
    </x:dataValidation>
    <x:dataValidation type="list" sqref="E148">
      <x:formula1>"SETUJU_USULAN,KOREKSI,TUNDA"</x:formula1>
    </x:dataValidation>
    <x:dataValidation type="list" sqref="F148">
      <x:formula1>"FLOOD,EARTHQUAKE,FIRE,ACCIDENT,NON_EVENT"</x:formula1>
    </x:dataValidation>
    <x:dataValidation type="list" sqref="E149">
      <x:formula1>"SETUJU_USULAN,KOREKSI,TUNDA"</x:formula1>
    </x:dataValidation>
    <x:dataValidation type="list" sqref="F149">
      <x:formula1>"FLOOD,EARTHQUAKE,FIRE,ACCIDENT,NON_EVENT"</x:formula1>
    </x:dataValidation>
    <x:dataValidation type="list" sqref="E150">
      <x:formula1>"SETUJU_USULAN,KOREKSI,TUNDA"</x:formula1>
    </x:dataValidation>
    <x:dataValidation type="list" sqref="F150">
      <x:formula1>"FLOOD,EARTHQUAKE,FIRE,ACCIDENT,NON_EVENT"</x:formula1>
    </x:dataValidation>
    <x:dataValidation type="list" sqref="E151">
      <x:formula1>"SETUJU_USULAN,KOREKSI,TUNDA"</x:formula1>
    </x:dataValidation>
    <x:dataValidation type="list" sqref="F151">
      <x:formula1>"FLOOD,EARTHQUAKE,FIRE,ACCIDENT,NON_EVENT"</x:formula1>
    </x:dataValidation>
    <x:dataValidation type="list" sqref="E152">
      <x:formula1>"SETUJU_USULAN,KOREKSI,TUNDA"</x:formula1>
    </x:dataValidation>
    <x:dataValidation type="list" sqref="F152">
      <x:formula1>"FLOOD,EARTHQUAKE,FIRE,ACCIDENT,NON_EVENT"</x:formula1>
    </x:dataValidation>
    <x:dataValidation type="list" sqref="E153">
      <x:formula1>"SETUJU_USULAN,KOREKSI,TUNDA"</x:formula1>
    </x:dataValidation>
    <x:dataValidation type="list" sqref="F153">
      <x:formula1>"FLOOD,EARTHQUAKE,FIRE,ACCIDENT,NON_EVENT"</x:formula1>
    </x:dataValidation>
    <x:dataValidation type="list" sqref="E154">
      <x:formula1>"SETUJU_USULAN,KOREKSI,TUNDA"</x:formula1>
    </x:dataValidation>
    <x:dataValidation type="list" sqref="F154">
      <x:formula1>"FLOOD,EARTHQUAKE,FIRE,ACCIDENT,NON_EVENT"</x:formula1>
    </x:dataValidation>
    <x:dataValidation type="list" sqref="E155">
      <x:formula1>"SETUJU_USULAN,KOREKSI,TUNDA"</x:formula1>
    </x:dataValidation>
    <x:dataValidation type="list" sqref="F155">
      <x:formula1>"FLOOD,EARTHQUAKE,FIRE,ACCIDENT,NON_EVENT"</x:formula1>
    </x:dataValidation>
    <x:dataValidation type="list" sqref="E156">
      <x:formula1>"SETUJU_USULAN,KOREKSI,TUNDA"</x:formula1>
    </x:dataValidation>
    <x:dataValidation type="list" sqref="F156">
      <x:formula1>"FLOOD,EARTHQUAKE,FIRE,ACCIDENT,NON_EVENT"</x:formula1>
    </x:dataValidation>
    <x:dataValidation type="list" sqref="E157">
      <x:formula1>"SETUJU_USULAN,KOREKSI,TUNDA"</x:formula1>
    </x:dataValidation>
    <x:dataValidation type="list" sqref="F157">
      <x:formula1>"FLOOD,EARTHQUAKE,FIRE,ACCIDENT,NON_EVENT"</x:formula1>
    </x:dataValidation>
    <x:dataValidation type="list" sqref="E158">
      <x:formula1>"SETUJU_USULAN,KOREKSI,TUNDA"</x:formula1>
    </x:dataValidation>
    <x:dataValidation type="list" sqref="F158">
      <x:formula1>"FLOOD,EARTHQUAKE,FIRE,ACCIDENT,NON_EVENT"</x:formula1>
    </x:dataValidation>
    <x:dataValidation type="list" sqref="E159">
      <x:formula1>"SETUJU_USULAN,KOREKSI,TUNDA"</x:formula1>
    </x:dataValidation>
    <x:dataValidation type="list" sqref="F159">
      <x:formula1>"FLOOD,EARTHQUAKE,FIRE,ACCIDENT,NON_EVENT"</x:formula1>
    </x:dataValidation>
    <x:dataValidation type="list" sqref="E160">
      <x:formula1>"SETUJU_USULAN,KOREKSI,TUNDA"</x:formula1>
    </x:dataValidation>
    <x:dataValidation type="list" sqref="F160">
      <x:formula1>"FLOOD,EARTHQUAKE,FIRE,ACCIDENT,NON_EVENT"</x:formula1>
    </x:dataValidation>
    <x:dataValidation type="list" sqref="E161">
      <x:formula1>"SETUJU_USULAN,KOREKSI,TUNDA"</x:formula1>
    </x:dataValidation>
    <x:dataValidation type="list" sqref="F161">
      <x:formula1>"FLOOD,EARTHQUAKE,FIRE,ACCIDENT,NON_EVENT"</x:formula1>
    </x:dataValidation>
    <x:dataValidation type="list" sqref="E162">
      <x:formula1>"SETUJU_USULAN,KOREKSI,TUNDA"</x:formula1>
    </x:dataValidation>
    <x:dataValidation type="list" sqref="F162">
      <x:formula1>"FLOOD,EARTHQUAKE,FIRE,ACCIDENT,NON_EVENT"</x:formula1>
    </x:dataValidation>
    <x:dataValidation type="list" sqref="E163">
      <x:formula1>"SETUJU_USULAN,KOREKSI,TUNDA"</x:formula1>
    </x:dataValidation>
    <x:dataValidation type="list" sqref="F163">
      <x:formula1>"FLOOD,EARTHQUAKE,FIRE,ACCIDENT,NON_EVENT"</x:formula1>
    </x:dataValidation>
    <x:dataValidation type="list" sqref="E164">
      <x:formula1>"SETUJU_USULAN,KOREKSI,TUNDA"</x:formula1>
    </x:dataValidation>
    <x:dataValidation type="list" sqref="F164">
      <x:formula1>"FLOOD,EARTHQUAKE,FIRE,ACCIDENT,NON_EVENT"</x:formula1>
    </x:dataValidation>
    <x:dataValidation type="list" sqref="E165">
      <x:formula1>"SETUJU_USULAN,KOREKSI,TUNDA"</x:formula1>
    </x:dataValidation>
    <x:dataValidation type="list" sqref="F165">
      <x:formula1>"FLOOD,EARTHQUAKE,FIRE,ACCIDENT,NON_EVENT"</x:formula1>
    </x:dataValidation>
    <x:dataValidation type="list" sqref="E166">
      <x:formula1>"SETUJU_USULAN,KOREKSI,TUNDA"</x:formula1>
    </x:dataValidation>
    <x:dataValidation type="list" sqref="F166">
      <x:formula1>"FLOOD,EARTHQUAKE,FIRE,ACCIDENT,NON_EVENT"</x:formula1>
    </x:dataValidation>
    <x:dataValidation type="list" sqref="E167">
      <x:formula1>"SETUJU_USULAN,KOREKSI,TUNDA"</x:formula1>
    </x:dataValidation>
    <x:dataValidation type="list" sqref="F167">
      <x:formula1>"FLOOD,EARTHQUAKE,FIRE,ACCIDENT,NON_EVENT"</x:formula1>
    </x:dataValidation>
    <x:dataValidation type="list" sqref="E168">
      <x:formula1>"SETUJU_USULAN,KOREKSI,TUNDA"</x:formula1>
    </x:dataValidation>
    <x:dataValidation type="list" sqref="F168">
      <x:formula1>"FLOOD,EARTHQUAKE,FIRE,ACCIDENT,NON_EVENT"</x:formula1>
    </x:dataValidation>
    <x:dataValidation type="list" sqref="E169">
      <x:formula1>"SETUJU_USULAN,KOREKSI,TUNDA"</x:formula1>
    </x:dataValidation>
    <x:dataValidation type="list" sqref="F169">
      <x:formula1>"FLOOD,EARTHQUAKE,FIRE,ACCIDENT,NON_EVENT"</x:formula1>
    </x:dataValidation>
    <x:dataValidation type="list" sqref="E170">
      <x:formula1>"SETUJU_USULAN,KOREKSI,TUNDA"</x:formula1>
    </x:dataValidation>
    <x:dataValidation type="list" sqref="F170">
      <x:formula1>"FLOOD,EARTHQUAKE,FIRE,ACCIDENT,NON_EVENT"</x:formula1>
    </x:dataValidation>
    <x:dataValidation type="list" sqref="E171">
      <x:formula1>"SETUJU_USULAN,KOREKSI,TUNDA"</x:formula1>
    </x:dataValidation>
    <x:dataValidation type="list" sqref="F171">
      <x:formula1>"FLOOD,EARTHQUAKE,FIRE,ACCIDENT,NON_EVENT"</x:formula1>
    </x:dataValidation>
    <x:dataValidation type="list" sqref="E172">
      <x:formula1>"SETUJU_USULAN,KOREKSI,TUNDA"</x:formula1>
    </x:dataValidation>
    <x:dataValidation type="list" sqref="F172">
      <x:formula1>"FLOOD,EARTHQUAKE,FIRE,ACCIDENT,NON_EVENT"</x:formula1>
    </x:dataValidation>
    <x:dataValidation type="list" sqref="E173">
      <x:formula1>"SETUJU_USULAN,KOREKSI,TUNDA"</x:formula1>
    </x:dataValidation>
    <x:dataValidation type="list" sqref="F173">
      <x:formula1>"FLOOD,EARTHQUAKE,FIRE,ACCIDENT,NON_EVENT"</x:formula1>
    </x:dataValidation>
    <x:dataValidation type="list" sqref="E174">
      <x:formula1>"SETUJU_USULAN,KOREKSI,TUNDA"</x:formula1>
    </x:dataValidation>
    <x:dataValidation type="list" sqref="F174">
      <x:formula1>"FLOOD,EARTHQUAKE,FIRE,ACCIDENT,NON_EVENT"</x:formula1>
    </x:dataValidation>
    <x:dataValidation type="list" sqref="E175">
      <x:formula1>"SETUJU_USULAN,KOREKSI,TUNDA"</x:formula1>
    </x:dataValidation>
    <x:dataValidation type="list" sqref="F175">
      <x:formula1>"FLOOD,EARTHQUAKE,FIRE,ACCIDENT,NON_EVENT"</x:formula1>
    </x:dataValidation>
    <x:dataValidation type="list" sqref="E176">
      <x:formula1>"SETUJU_USULAN,KOREKSI,TUNDA"</x:formula1>
    </x:dataValidation>
    <x:dataValidation type="list" sqref="F176">
      <x:formula1>"FLOOD,EARTHQUAKE,FIRE,ACCIDENT,NON_EVENT"</x:formula1>
    </x:dataValidation>
    <x:dataValidation type="list" sqref="E177">
      <x:formula1>"SETUJU_USULAN,KOREKSI,TUNDA"</x:formula1>
    </x:dataValidation>
    <x:dataValidation type="list" sqref="F177">
      <x:formula1>"FLOOD,EARTHQUAKE,FIRE,ACCIDENT,NON_EVENT"</x:formula1>
    </x:dataValidation>
    <x:dataValidation type="list" sqref="E178">
      <x:formula1>"SETUJU_USULAN,KOREKSI,TUNDA"</x:formula1>
    </x:dataValidation>
    <x:dataValidation type="list" sqref="F178">
      <x:formula1>"FLOOD,EARTHQUAKE,FIRE,ACCIDENT,NON_EVENT"</x:formula1>
    </x:dataValidation>
    <x:dataValidation type="list" sqref="E179">
      <x:formula1>"SETUJU_USULAN,KOREKSI,TUNDA"</x:formula1>
    </x:dataValidation>
    <x:dataValidation type="list" sqref="F179">
      <x:formula1>"FLOOD,EARTHQUAKE,FIRE,ACCIDENT,NON_EVENT"</x:formula1>
    </x:dataValidation>
    <x:dataValidation type="list" sqref="E180">
      <x:formula1>"SETUJU_USULAN,KOREKSI,TUNDA"</x:formula1>
    </x:dataValidation>
    <x:dataValidation type="list" sqref="F180">
      <x:formula1>"FLOOD,EARTHQUAKE,FIRE,ACCIDENT,NON_EVENT"</x:formula1>
    </x:dataValidation>
    <x:dataValidation type="list" sqref="E181">
      <x:formula1>"SETUJU_USULAN,KOREKSI,TUNDA"</x:formula1>
    </x:dataValidation>
    <x:dataValidation type="list" sqref="F181">
      <x:formula1>"FLOOD,EARTHQUAKE,FIRE,ACCIDENT,NON_EVENT"</x:formula1>
    </x:dataValidation>
    <x:dataValidation type="list" sqref="E182">
      <x:formula1>"SETUJU_USULAN,KOREKSI,TUNDA"</x:formula1>
    </x:dataValidation>
    <x:dataValidation type="list" sqref="F182">
      <x:formula1>"FLOOD,EARTHQUAKE,FIRE,ACCIDENT,NON_EVENT"</x:formula1>
    </x:dataValidation>
    <x:dataValidation type="list" sqref="E183">
      <x:formula1>"SETUJU_USULAN,KOREKSI,TUNDA"</x:formula1>
    </x:dataValidation>
    <x:dataValidation type="list" sqref="F183">
      <x:formula1>"FLOOD,EARTHQUAKE,FIRE,ACCIDENT,NON_EVENT"</x:formula1>
    </x:dataValidation>
    <x:dataValidation type="list" sqref="E184">
      <x:formula1>"SETUJU_USULAN,KOREKSI,TUNDA"</x:formula1>
    </x:dataValidation>
    <x:dataValidation type="list" sqref="F184">
      <x:formula1>"FLOOD,EARTHQUAKE,FIRE,ACCIDENT,NON_EVENT"</x:formula1>
    </x:dataValidation>
    <x:dataValidation type="list" sqref="E185">
      <x:formula1>"SETUJU_USULAN,KOREKSI,TUNDA"</x:formula1>
    </x:dataValidation>
    <x:dataValidation type="list" sqref="F185">
      <x:formula1>"FLOOD,EARTHQUAKE,FIRE,ACCIDENT,NON_EVENT"</x:formula1>
    </x:dataValidation>
    <x:dataValidation type="list" sqref="E186">
      <x:formula1>"SETUJU_USULAN,KOREKSI,TUNDA"</x:formula1>
    </x:dataValidation>
    <x:dataValidation type="list" sqref="F186">
      <x:formula1>"FLOOD,EARTHQUAKE,FIRE,ACCIDENT,NON_EVENT"</x:formula1>
    </x:dataValidation>
    <x:dataValidation type="list" sqref="E187">
      <x:formula1>"SETUJU_USULAN,KOREKSI,TUNDA"</x:formula1>
    </x:dataValidation>
    <x:dataValidation type="list" sqref="F187">
      <x:formula1>"FLOOD,EARTHQUAKE,FIRE,ACCIDENT,NON_EVENT"</x:formula1>
    </x:dataValidation>
    <x:dataValidation type="list" sqref="E188">
      <x:formula1>"SETUJU_USULAN,KOREKSI,TUNDA"</x:formula1>
    </x:dataValidation>
    <x:dataValidation type="list" sqref="F188">
      <x:formula1>"FLOOD,EARTHQUAKE,FIRE,ACCIDENT,NON_EVENT"</x:formula1>
    </x:dataValidation>
    <x:dataValidation type="list" sqref="E189">
      <x:formula1>"SETUJU_USULAN,KOREKSI,TUNDA"</x:formula1>
    </x:dataValidation>
    <x:dataValidation type="list" sqref="F189">
      <x:formula1>"FLOOD,EARTHQUAKE,FIRE,ACCIDENT,NON_EVENT"</x:formula1>
    </x:dataValidation>
    <x:dataValidation type="list" sqref="E190">
      <x:formula1>"SETUJU_USULAN,KOREKSI,TUNDA"</x:formula1>
    </x:dataValidation>
    <x:dataValidation type="list" sqref="F190">
      <x:formula1>"FLOOD,EARTHQUAKE,FIRE,ACCIDENT,NON_EVENT"</x:formula1>
    </x:dataValidation>
    <x:dataValidation type="list" sqref="E191">
      <x:formula1>"SETUJU_USULAN,KOREKSI,TUNDA"</x:formula1>
    </x:dataValidation>
    <x:dataValidation type="list" sqref="F191">
      <x:formula1>"FLOOD,EARTHQUAKE,FIRE,ACCIDENT,NON_EVENT"</x:formula1>
    </x:dataValidation>
    <x:dataValidation type="list" sqref="E192">
      <x:formula1>"SETUJU_USULAN,KOREKSI,TUNDA"</x:formula1>
    </x:dataValidation>
    <x:dataValidation type="list" sqref="F192">
      <x:formula1>"FLOOD,EARTHQUAKE,FIRE,ACCIDENT,NON_EVENT"</x:formula1>
    </x:dataValidation>
    <x:dataValidation type="list" sqref="E193">
      <x:formula1>"SETUJU_USULAN,KOREKSI,TUNDA"</x:formula1>
    </x:dataValidation>
    <x:dataValidation type="list" sqref="F193">
      <x:formula1>"FLOOD,EARTHQUAKE,FIRE,ACCIDENT,NON_EVENT"</x:formula1>
    </x:dataValidation>
    <x:dataValidation type="list" sqref="E194">
      <x:formula1>"SETUJU_USULAN,KOREKSI,TUNDA"</x:formula1>
    </x:dataValidation>
    <x:dataValidation type="list" sqref="F194">
      <x:formula1>"FLOOD,EARTHQUAKE,FIRE,ACCIDENT,NON_EVENT"</x:formula1>
    </x:dataValidation>
    <x:dataValidation type="list" sqref="E195">
      <x:formula1>"SETUJU_USULAN,KOREKSI,TUNDA"</x:formula1>
    </x:dataValidation>
    <x:dataValidation type="list" sqref="F195">
      <x:formula1>"FLOOD,EARTHQUAKE,FIRE,ACCIDENT,NON_EVENT"</x:formula1>
    </x:dataValidation>
    <x:dataValidation type="list" sqref="E196">
      <x:formula1>"SETUJU_USULAN,KOREKSI,TUNDA"</x:formula1>
    </x:dataValidation>
    <x:dataValidation type="list" sqref="F196">
      <x:formula1>"FLOOD,EARTHQUAKE,FIRE,ACCIDENT,NON_EVENT"</x:formula1>
    </x:dataValidation>
    <x:dataValidation type="list" sqref="E197">
      <x:formula1>"SETUJU_USULAN,KOREKSI,TUNDA"</x:formula1>
    </x:dataValidation>
    <x:dataValidation type="list" sqref="F197">
      <x:formula1>"FLOOD,EARTHQUAKE,FIRE,ACCIDENT,NON_EVENT"</x:formula1>
    </x:dataValidation>
    <x:dataValidation type="list" sqref="E198">
      <x:formula1>"SETUJU_USULAN,KOREKSI,TUNDA"</x:formula1>
    </x:dataValidation>
    <x:dataValidation type="list" sqref="F198">
      <x:formula1>"FLOOD,EARTHQUAKE,FIRE,ACCIDENT,NON_EVENT"</x:formula1>
    </x:dataValidation>
    <x:dataValidation type="list" sqref="E199">
      <x:formula1>"SETUJU_USULAN,KOREKSI,TUNDA"</x:formula1>
    </x:dataValidation>
    <x:dataValidation type="list" sqref="F199">
      <x:formula1>"FLOOD,EARTHQUAKE,FIRE,ACCIDENT,NON_EVENT"</x:formula1>
    </x:dataValidation>
    <x:dataValidation type="list" sqref="E200">
      <x:formula1>"SETUJU_USULAN,KOREKSI,TUNDA"</x:formula1>
    </x:dataValidation>
    <x:dataValidation type="list" sqref="F200">
      <x:formula1>"FLOOD,EARTHQUAKE,FIRE,ACCIDENT,NON_EVENT"</x:formula1>
    </x:dataValidation>
    <x:dataValidation type="list" sqref="E201">
      <x:formula1>"SETUJU_USULAN,KOREKSI,TUNDA"</x:formula1>
    </x:dataValidation>
    <x:dataValidation type="list" sqref="F201">
      <x:formula1>"FLOOD,EARTHQUAKE,FIRE,ACCIDENT,NON_EVENT"</x:formula1>
    </x:dataValidation>
    <x:dataValidation type="list" sqref="E202">
      <x:formula1>"SETUJU_USULAN,KOREKSI,TUNDA"</x:formula1>
    </x:dataValidation>
    <x:dataValidation type="list" sqref="F202">
      <x:formula1>"FLOOD,EARTHQUAKE,FIRE,ACCIDENT,NON_EVENT"</x:formula1>
    </x:dataValidation>
    <x:dataValidation type="list" sqref="E203">
      <x:formula1>"SETUJU_USULAN,KOREKSI,TUNDA"</x:formula1>
    </x:dataValidation>
    <x:dataValidation type="list" sqref="F203">
      <x:formula1>"FLOOD,EARTHQUAKE,FIRE,ACCIDENT,NON_EVENT"</x:formula1>
    </x:dataValidation>
    <x:dataValidation type="list" sqref="E204">
      <x:formula1>"SETUJU_USULAN,KOREKSI,TUNDA"</x:formula1>
    </x:dataValidation>
    <x:dataValidation type="list" sqref="F204">
      <x:formula1>"FLOOD,EARTHQUAKE,FIRE,ACCIDENT,NON_EVENT"</x:formula1>
    </x:dataValidation>
    <x:dataValidation type="list" sqref="E205">
      <x:formula1>"SETUJU_USULAN,KOREKSI,TUNDA"</x:formula1>
    </x:dataValidation>
    <x:dataValidation type="list" sqref="F205">
      <x:formula1>"FLOOD,EARTHQUAKE,FIRE,ACCIDENT,NON_EVENT"</x:formula1>
    </x:dataValidation>
    <x:dataValidation type="list" sqref="E206">
      <x:formula1>"SETUJU_USULAN,KOREKSI,TUNDA"</x:formula1>
    </x:dataValidation>
    <x:dataValidation type="list" sqref="F206">
      <x:formula1>"FLOOD,EARTHQUAKE,FIRE,ACCIDENT,NON_EVENT"</x:formula1>
    </x:dataValidation>
    <x:dataValidation type="list" sqref="E207">
      <x:formula1>"SETUJU_USULAN,KOREKSI,TUNDA"</x:formula1>
    </x:dataValidation>
    <x:dataValidation type="list" sqref="F207">
      <x:formula1>"FLOOD,EARTHQUAKE,FIRE,ACCIDENT,NON_EVENT"</x:formula1>
    </x:dataValidation>
    <x:dataValidation type="list" sqref="E208">
      <x:formula1>"SETUJU_USULAN,KOREKSI,TUNDA"</x:formula1>
    </x:dataValidation>
    <x:dataValidation type="list" sqref="F208">
      <x:formula1>"FLOOD,EARTHQUAKE,FIRE,ACCIDENT,NON_EVENT"</x:formula1>
    </x:dataValidation>
    <x:dataValidation type="list" sqref="E209">
      <x:formula1>"SETUJU_USULAN,KOREKSI,TUNDA"</x:formula1>
    </x:dataValidation>
    <x:dataValidation type="list" sqref="F209">
      <x:formula1>"FLOOD,EARTHQUAKE,FIRE,ACCIDENT,NON_EVENT"</x:formula1>
    </x:dataValidation>
    <x:dataValidation type="list" sqref="E210">
      <x:formula1>"SETUJU_USULAN,KOREKSI,TUNDA"</x:formula1>
    </x:dataValidation>
    <x:dataValidation type="list" sqref="F210">
      <x:formula1>"FLOOD,EARTHQUAKE,FIRE,ACCIDENT,NON_EVENT"</x:formula1>
    </x:dataValidation>
    <x:dataValidation type="list" sqref="E211">
      <x:formula1>"SETUJU_USULAN,KOREKSI,TUNDA"</x:formula1>
    </x:dataValidation>
    <x:dataValidation type="list" sqref="F211">
      <x:formula1>"FLOOD,EARTHQUAKE,FIRE,ACCIDENT,NON_EVENT"</x:formula1>
    </x:dataValidation>
    <x:dataValidation type="list" sqref="E212">
      <x:formula1>"SETUJU_USULAN,KOREKSI,TUNDA"</x:formula1>
    </x:dataValidation>
    <x:dataValidation type="list" sqref="F212">
      <x:formula1>"FLOOD,EARTHQUAKE,FIRE,ACCIDENT,NON_EVENT"</x:formula1>
    </x:dataValidation>
    <x:dataValidation type="list" sqref="E213">
      <x:formula1>"SETUJU_USULAN,KOREKSI,TUNDA"</x:formula1>
    </x:dataValidation>
    <x:dataValidation type="list" sqref="F213">
      <x:formula1>"FLOOD,EARTHQUAKE,FIRE,ACCIDENT,NON_EVENT"</x:formula1>
    </x:dataValidation>
    <x:dataValidation type="list" sqref="E214">
      <x:formula1>"SETUJU_USULAN,KOREKSI,TUNDA"</x:formula1>
    </x:dataValidation>
    <x:dataValidation type="list" sqref="F214">
      <x:formula1>"FLOOD,EARTHQUAKE,FIRE,ACCIDENT,NON_EVENT"</x:formula1>
    </x:dataValidation>
    <x:dataValidation type="list" sqref="E215">
      <x:formula1>"SETUJU_USULAN,KOREKSI,TUNDA"</x:formula1>
    </x:dataValidation>
    <x:dataValidation type="list" sqref="F215">
      <x:formula1>"FLOOD,EARTHQUAKE,FIRE,ACCIDENT,NON_EVENT"</x:formula1>
    </x:dataValidation>
    <x:dataValidation type="list" sqref="E216">
      <x:formula1>"SETUJU_USULAN,KOREKSI,TUNDA"</x:formula1>
    </x:dataValidation>
    <x:dataValidation type="list" sqref="F216">
      <x:formula1>"FLOOD,EARTHQUAKE,FIRE,ACCIDENT,NON_EVENT"</x:formula1>
    </x:dataValidation>
    <x:dataValidation type="list" sqref="E217">
      <x:formula1>"SETUJU_USULAN,KOREKSI,TUNDA"</x:formula1>
    </x:dataValidation>
    <x:dataValidation type="list" sqref="F217">
      <x:formula1>"FLOOD,EARTHQUAKE,FIRE,ACCIDENT,NON_EVENT"</x:formula1>
    </x:dataValidation>
    <x:dataValidation type="list" sqref="E218">
      <x:formula1>"SETUJU_USULAN,KOREKSI,TUNDA"</x:formula1>
    </x:dataValidation>
    <x:dataValidation type="list" sqref="F218">
      <x:formula1>"FLOOD,EARTHQUAKE,FIRE,ACCIDENT,NON_EVENT"</x:formula1>
    </x:dataValidation>
    <x:dataValidation type="list" sqref="E219">
      <x:formula1>"SETUJU_USULAN,KOREKSI,TUNDA"</x:formula1>
    </x:dataValidation>
    <x:dataValidation type="list" sqref="F219">
      <x:formula1>"FLOOD,EARTHQUAKE,FIRE,ACCIDENT,NON_EVENT"</x:formula1>
    </x:dataValidation>
    <x:dataValidation type="list" sqref="E220">
      <x:formula1>"SETUJU_USULAN,KOREKSI,TUNDA"</x:formula1>
    </x:dataValidation>
    <x:dataValidation type="list" sqref="F220">
      <x:formula1>"FLOOD,EARTHQUAKE,FIRE,ACCIDENT,NON_EVENT"</x:formula1>
    </x:dataValidation>
    <x:dataValidation type="list" sqref="E221">
      <x:formula1>"SETUJU_USULAN,KOREKSI,TUNDA"</x:formula1>
    </x:dataValidation>
    <x:dataValidation type="list" sqref="F221">
      <x:formula1>"FLOOD,EARTHQUAKE,FIRE,ACCIDENT,NON_EVENT"</x:formula1>
    </x:dataValidation>
    <x:dataValidation type="list" sqref="E222">
      <x:formula1>"SETUJU_USULAN,KOREKSI,TUNDA"</x:formula1>
    </x:dataValidation>
    <x:dataValidation type="list" sqref="F222">
      <x:formula1>"FLOOD,EARTHQUAKE,FIRE,ACCIDENT,NON_EVENT"</x:formula1>
    </x:dataValidation>
    <x:dataValidation type="list" sqref="E223">
      <x:formula1>"SETUJU_USULAN,KOREKSI,TUNDA"</x:formula1>
    </x:dataValidation>
    <x:dataValidation type="list" sqref="F223">
      <x:formula1>"FLOOD,EARTHQUAKE,FIRE,ACCIDENT,NON_EVENT"</x:formula1>
    </x:dataValidation>
    <x:dataValidation type="list" sqref="E224">
      <x:formula1>"SETUJU_USULAN,KOREKSI,TUNDA"</x:formula1>
    </x:dataValidation>
    <x:dataValidation type="list" sqref="F224">
      <x:formula1>"FLOOD,EARTHQUAKE,FIRE,ACCIDENT,NON_EVENT"</x:formula1>
    </x:dataValidation>
    <x:dataValidation type="list" sqref="E225">
      <x:formula1>"SETUJU_USULAN,KOREKSI,TUNDA"</x:formula1>
    </x:dataValidation>
    <x:dataValidation type="list" sqref="F225">
      <x:formula1>"FLOOD,EARTHQUAKE,FIRE,ACCIDENT,NON_EVENT"</x:formula1>
    </x:dataValidation>
    <x:dataValidation type="list" sqref="E226">
      <x:formula1>"SETUJU_USULAN,KOREKSI,TUNDA"</x:formula1>
    </x:dataValidation>
    <x:dataValidation type="list" sqref="F226">
      <x:formula1>"FLOOD,EARTHQUAKE,FIRE,ACCIDENT,NON_EVENT"</x:formula1>
    </x:dataValidation>
    <x:dataValidation type="list" sqref="E227">
      <x:formula1>"SETUJU_USULAN,KOREKSI,TUNDA"</x:formula1>
    </x:dataValidation>
    <x:dataValidation type="list" sqref="F227">
      <x:formula1>"FLOOD,EARTHQUAKE,FIRE,ACCIDENT,NON_EVENT"</x:formula1>
    </x:dataValidation>
    <x:dataValidation type="list" sqref="E228">
      <x:formula1>"SETUJU_USULAN,KOREKSI,TUNDA"</x:formula1>
    </x:dataValidation>
    <x:dataValidation type="list" sqref="F228">
      <x:formula1>"FLOOD,EARTHQUAKE,FIRE,ACCIDENT,NON_EVENT"</x:formula1>
    </x:dataValidation>
    <x:dataValidation type="list" sqref="E229">
      <x:formula1>"SETUJU_USULAN,KOREKSI,TUNDA"</x:formula1>
    </x:dataValidation>
    <x:dataValidation type="list" sqref="F229">
      <x:formula1>"FLOOD,EARTHQUAKE,FIRE,ACCIDENT,NON_EVENT"</x:formula1>
    </x:dataValidation>
    <x:dataValidation type="list" sqref="E230">
      <x:formula1>"SETUJU_USULAN,KOREKSI,TUNDA"</x:formula1>
    </x:dataValidation>
    <x:dataValidation type="list" sqref="F230">
      <x:formula1>"FLOOD,EARTHQUAKE,FIRE,ACCIDENT,NON_EVENT"</x:formula1>
    </x:dataValidation>
    <x:dataValidation type="list" sqref="E231">
      <x:formula1>"SETUJU_USULAN,KOREKSI,TUNDA"</x:formula1>
    </x:dataValidation>
    <x:dataValidation type="list" sqref="F231">
      <x:formula1>"FLOOD,EARTHQUAKE,FIRE,ACCIDENT,NON_EVENT"</x:formula1>
    </x:dataValidation>
    <x:dataValidation type="list" sqref="E232">
      <x:formula1>"SETUJU_USULAN,KOREKSI,TUNDA"</x:formula1>
    </x:dataValidation>
    <x:dataValidation type="list" sqref="F232">
      <x:formula1>"FLOOD,EARTHQUAKE,FIRE,ACCIDENT,NON_EVENT"</x:formula1>
    </x:dataValidation>
    <x:dataValidation type="list" sqref="E233">
      <x:formula1>"SETUJU_USULAN,KOREKSI,TUNDA"</x:formula1>
    </x:dataValidation>
    <x:dataValidation type="list" sqref="F233">
      <x:formula1>"FLOOD,EARTHQUAKE,FIRE,ACCIDENT,NON_EVENT"</x:formula1>
    </x:dataValidation>
    <x:dataValidation type="list" sqref="E234">
      <x:formula1>"SETUJU_USULAN,KOREKSI,TUNDA"</x:formula1>
    </x:dataValidation>
    <x:dataValidation type="list" sqref="F234">
      <x:formula1>"FLOOD,EARTHQUAKE,FIRE,ACCIDENT,NON_EVENT"</x:formula1>
    </x:dataValidation>
    <x:dataValidation type="list" sqref="E235">
      <x:formula1>"SETUJU_USULAN,KOREKSI,TUNDA"</x:formula1>
    </x:dataValidation>
    <x:dataValidation type="list" sqref="F235">
      <x:formula1>"FLOOD,EARTHQUAKE,FIRE,ACCIDENT,NON_EVENT"</x:formula1>
    </x:dataValidation>
    <x:dataValidation type="list" sqref="E236">
      <x:formula1>"SETUJU_USULAN,KOREKSI,TUNDA"</x:formula1>
    </x:dataValidation>
    <x:dataValidation type="list" sqref="F236">
      <x:formula1>"FLOOD,EARTHQUAKE,FIRE,ACCIDENT,NON_EVENT"</x:formula1>
    </x:dataValidation>
    <x:dataValidation type="list" sqref="E237">
      <x:formula1>"SETUJU_USULAN,KOREKSI,TUNDA"</x:formula1>
    </x:dataValidation>
    <x:dataValidation type="list" sqref="F237">
      <x:formula1>"FLOOD,EARTHQUAKE,FIRE,ACCIDENT,NON_EVENT"</x:formula1>
    </x:dataValidation>
    <x:dataValidation type="list" sqref="E238">
      <x:formula1>"SETUJU_USULAN,KOREKSI,TUNDA"</x:formula1>
    </x:dataValidation>
    <x:dataValidation type="list" sqref="F238">
      <x:formula1>"FLOOD,EARTHQUAKE,FIRE,ACCIDENT,NON_EVENT"</x:formula1>
    </x:dataValidation>
    <x:dataValidation type="list" sqref="E239">
      <x:formula1>"SETUJU_USULAN,KOREKSI,TUNDA"</x:formula1>
    </x:dataValidation>
    <x:dataValidation type="list" sqref="F239">
      <x:formula1>"FLOOD,EARTHQUAKE,FIRE,ACCIDENT,NON_EVENT"</x:formula1>
    </x:dataValidation>
    <x:dataValidation type="list" sqref="E240">
      <x:formula1>"SETUJU_USULAN,KOREKSI,TUNDA"</x:formula1>
    </x:dataValidation>
    <x:dataValidation type="list" sqref="F240">
      <x:formula1>"FLOOD,EARTHQUAKE,FIRE,ACCIDENT,NON_EVENT"</x:formula1>
    </x:dataValidation>
    <x:dataValidation type="list" sqref="E241">
      <x:formula1>"SETUJU_USULAN,KOREKSI,TUNDA"</x:formula1>
    </x:dataValidation>
    <x:dataValidation type="list" sqref="F241">
      <x:formula1>"FLOOD,EARTHQUAKE,FIRE,ACCIDENT,NON_EVENT"</x:formula1>
    </x:dataValidation>
    <x:dataValidation type="list" sqref="E242">
      <x:formula1>"SETUJU_USULAN,KOREKSI,TUNDA"</x:formula1>
    </x:dataValidation>
    <x:dataValidation type="list" sqref="F242">
      <x:formula1>"FLOOD,EARTHQUAKE,FIRE,ACCIDENT,NON_EVENT"</x:formula1>
    </x:dataValidation>
    <x:dataValidation type="list" sqref="E243">
      <x:formula1>"SETUJU_USULAN,KOREKSI,TUNDA"</x:formula1>
    </x:dataValidation>
    <x:dataValidation type="list" sqref="F243">
      <x:formula1>"FLOOD,EARTHQUAKE,FIRE,ACCIDENT,NON_EVENT"</x:formula1>
    </x:dataValidation>
    <x:dataValidation type="list" sqref="E244">
      <x:formula1>"SETUJU_USULAN,KOREKSI,TUNDA"</x:formula1>
    </x:dataValidation>
    <x:dataValidation type="list" sqref="F244">
      <x:formula1>"FLOOD,EARTHQUAKE,FIRE,ACCIDENT,NON_EVENT"</x:formula1>
    </x:dataValidation>
    <x:dataValidation type="list" sqref="E245">
      <x:formula1>"SETUJU_USULAN,KOREKSI,TUNDA"</x:formula1>
    </x:dataValidation>
    <x:dataValidation type="list" sqref="F245">
      <x:formula1>"FLOOD,EARTHQUAKE,FIRE,ACCIDENT,NON_EVENT"</x:formula1>
    </x:dataValidation>
    <x:dataValidation type="list" sqref="E246">
      <x:formula1>"SETUJU_USULAN,KOREKSI,TUNDA"</x:formula1>
    </x:dataValidation>
    <x:dataValidation type="list" sqref="F246">
      <x:formula1>"FLOOD,EARTHQUAKE,FIRE,ACCIDENT,NON_EVENT"</x:formula1>
    </x:dataValidation>
    <x:dataValidation type="list" sqref="E247">
      <x:formula1>"SETUJU_USULAN,KOREKSI,TUNDA"</x:formula1>
    </x:dataValidation>
    <x:dataValidation type="list" sqref="F247">
      <x:formula1>"FLOOD,EARTHQUAKE,FIRE,ACCIDENT,NON_EVENT"</x:formula1>
    </x:dataValidation>
    <x:dataValidation type="list" sqref="E248">
      <x:formula1>"SETUJU_USULAN,KOREKSI,TUNDA"</x:formula1>
    </x:dataValidation>
    <x:dataValidation type="list" sqref="F248">
      <x:formula1>"FLOOD,EARTHQUAKE,FIRE,ACCIDENT,NON_EVENT"</x:formula1>
    </x:dataValidation>
    <x:dataValidation type="list" sqref="E249">
      <x:formula1>"SETUJU_USULAN,KOREKSI,TUNDA"</x:formula1>
    </x:dataValidation>
    <x:dataValidation type="list" sqref="F249">
      <x:formula1>"FLOOD,EARTHQUAKE,FIRE,ACCIDENT,NON_EVENT"</x:formula1>
    </x:dataValidation>
    <x:dataValidation type="list" sqref="E250">
      <x:formula1>"SETUJU_USULAN,KOREKSI,TUNDA"</x:formula1>
    </x:dataValidation>
    <x:dataValidation type="list" sqref="F250">
      <x:formula1>"FLOOD,EARTHQUAKE,FIRE,ACCIDENT,NON_EVENT"</x:formula1>
    </x:dataValidation>
    <x:dataValidation type="list" sqref="E251">
      <x:formula1>"SETUJU_USULAN,KOREKSI,TUNDA"</x:formula1>
    </x:dataValidation>
    <x:dataValidation type="list" sqref="F251">
      <x:formula1>"FLOOD,EARTHQUAKE,FIRE,ACCIDENT,NON_EVENT"</x:formula1>
    </x:dataValidation>
    <x:dataValidation type="list" sqref="E252">
      <x:formula1>"SETUJU_USULAN,KOREKSI,TUNDA"</x:formula1>
    </x:dataValidation>
    <x:dataValidation type="list" sqref="F252">
      <x:formula1>"FLOOD,EARTHQUAKE,FIRE,ACCIDENT,NON_EVENT"</x:formula1>
    </x:dataValidation>
    <x:dataValidation type="list" sqref="E253">
      <x:formula1>"SETUJU_USULAN,KOREKSI,TUNDA"</x:formula1>
    </x:dataValidation>
    <x:dataValidation type="list" sqref="F253">
      <x:formula1>"FLOOD,EARTHQUAKE,FIRE,ACCIDENT,NON_EVENT"</x:formula1>
    </x:dataValidation>
    <x:dataValidation type="list" sqref="E254">
      <x:formula1>"SETUJU_USULAN,KOREKSI,TUNDA"</x:formula1>
    </x:dataValidation>
    <x:dataValidation type="list" sqref="F254">
      <x:formula1>"FLOOD,EARTHQUAKE,FIRE,ACCIDENT,NON_EVENT"</x:formula1>
    </x:dataValidation>
    <x:dataValidation type="list" sqref="E255">
      <x:formula1>"SETUJU_USULAN,KOREKSI,TUNDA"</x:formula1>
    </x:dataValidation>
    <x:dataValidation type="list" sqref="F255">
      <x:formula1>"FLOOD,EARTHQUAKE,FIRE,ACCIDENT,NON_EVENT"</x:formula1>
    </x:dataValidation>
    <x:dataValidation type="list" sqref="E256">
      <x:formula1>"SETUJU_USULAN,KOREKSI,TUNDA"</x:formula1>
    </x:dataValidation>
    <x:dataValidation type="list" sqref="F256">
      <x:formula1>"FLOOD,EARTHQUAKE,FIRE,ACCIDENT,NON_EVENT"</x:formula1>
    </x:dataValidation>
    <x:dataValidation type="list" sqref="E257">
      <x:formula1>"SETUJU_USULAN,KOREKSI,TUNDA"</x:formula1>
    </x:dataValidation>
    <x:dataValidation type="list" sqref="F257">
      <x:formula1>"FLOOD,EARTHQUAKE,FIRE,ACCIDENT,NON_EVENT"</x:formula1>
    </x:dataValidation>
    <x:dataValidation type="list" sqref="E258">
      <x:formula1>"SETUJU_USULAN,KOREKSI,TUNDA"</x:formula1>
    </x:dataValidation>
    <x:dataValidation type="list" sqref="F258">
      <x:formula1>"FLOOD,EARTHQUAKE,FIRE,ACCIDENT,NON_EVENT"</x:formula1>
    </x:dataValidation>
    <x:dataValidation type="list" sqref="E259">
      <x:formula1>"SETUJU_USULAN,KOREKSI,TUNDA"</x:formula1>
    </x:dataValidation>
    <x:dataValidation type="list" sqref="F259">
      <x:formula1>"FLOOD,EARTHQUAKE,FIRE,ACCIDENT,NON_EVENT"</x:formula1>
    </x:dataValidation>
    <x:dataValidation type="list" sqref="E260">
      <x:formula1>"SETUJU_USULAN,KOREKSI,TUNDA"</x:formula1>
    </x:dataValidation>
    <x:dataValidation type="list" sqref="F260">
      <x:formula1>"FLOOD,EARTHQUAKE,FIRE,ACCIDENT,NON_EVENT"</x:formula1>
    </x:dataValidation>
    <x:dataValidation type="list" sqref="E261">
      <x:formula1>"SETUJU_USULAN,KOREKSI,TUNDA"</x:formula1>
    </x:dataValidation>
    <x:dataValidation type="list" sqref="F261">
      <x:formula1>"FLOOD,EARTHQUAKE,FIRE,ACCIDENT,NON_EVENT"</x:formula1>
    </x:dataValidation>
    <x:dataValidation type="list" sqref="E262">
      <x:formula1>"SETUJU_USULAN,KOREKSI,TUNDA"</x:formula1>
    </x:dataValidation>
    <x:dataValidation type="list" sqref="F262">
      <x:formula1>"FLOOD,EARTHQUAKE,FIRE,ACCIDENT,NON_EVENT"</x:formula1>
    </x:dataValidation>
    <x:dataValidation type="list" sqref="E263">
      <x:formula1>"SETUJU_USULAN,KOREKSI,TUNDA"</x:formula1>
    </x:dataValidation>
    <x:dataValidation type="list" sqref="F263">
      <x:formula1>"FLOOD,EARTHQUAKE,FIRE,ACCIDENT,NON_EVENT"</x:formula1>
    </x:dataValidation>
    <x:dataValidation type="list" sqref="E264">
      <x:formula1>"SETUJU_USULAN,KOREKSI,TUNDA"</x:formula1>
    </x:dataValidation>
    <x:dataValidation type="list" sqref="F264">
      <x:formula1>"FLOOD,EARTHQUAKE,FIRE,ACCIDENT,NON_EVENT"</x:formula1>
    </x:dataValidation>
    <x:dataValidation type="list" sqref="E265">
      <x:formula1>"SETUJU_USULAN,KOREKSI,TUNDA"</x:formula1>
    </x:dataValidation>
    <x:dataValidation type="list" sqref="F265">
      <x:formula1>"FLOOD,EARTHQUAKE,FIRE,ACCIDENT,NON_EVENT"</x:formula1>
    </x:dataValidation>
    <x:dataValidation type="list" sqref="E266">
      <x:formula1>"SETUJU_USULAN,KOREKSI,TUNDA"</x:formula1>
    </x:dataValidation>
    <x:dataValidation type="list" sqref="F266">
      <x:formula1>"FLOOD,EARTHQUAKE,FIRE,ACCIDENT,NON_EVENT"</x:formula1>
    </x:dataValidation>
    <x:dataValidation type="list" sqref="E267">
      <x:formula1>"SETUJU_USULAN,KOREKSI,TUNDA"</x:formula1>
    </x:dataValidation>
    <x:dataValidation type="list" sqref="F267">
      <x:formula1>"FLOOD,EARTHQUAKE,FIRE,ACCIDENT,NON_EVENT"</x:formula1>
    </x:dataValidation>
    <x:dataValidation type="list" sqref="E268">
      <x:formula1>"SETUJU_USULAN,KOREKSI,TUNDA"</x:formula1>
    </x:dataValidation>
    <x:dataValidation type="list" sqref="F268">
      <x:formula1>"FLOOD,EARTHQUAKE,FIRE,ACCIDENT,NON_EVENT"</x:formula1>
    </x:dataValidation>
    <x:dataValidation type="list" sqref="E269">
      <x:formula1>"SETUJU_USULAN,KOREKSI,TUNDA"</x:formula1>
    </x:dataValidation>
    <x:dataValidation type="list" sqref="F269">
      <x:formula1>"FLOOD,EARTHQUAKE,FIRE,ACCIDENT,NON_EVENT"</x:formula1>
    </x:dataValidation>
    <x:dataValidation type="list" sqref="E270">
      <x:formula1>"SETUJU_USULAN,KOREKSI,TUNDA"</x:formula1>
    </x:dataValidation>
    <x:dataValidation type="list" sqref="F270">
      <x:formula1>"FLOOD,EARTHQUAKE,FIRE,ACCIDENT,NON_EVENT"</x:formula1>
    </x:dataValidation>
    <x:dataValidation type="list" sqref="E271">
      <x:formula1>"SETUJU_USULAN,KOREKSI,TUNDA"</x:formula1>
    </x:dataValidation>
    <x:dataValidation type="list" sqref="F271">
      <x:formula1>"FLOOD,EARTHQUAKE,FIRE,ACCIDENT,NON_EVENT"</x:formula1>
    </x:dataValidation>
    <x:dataValidation type="list" sqref="E272">
      <x:formula1>"SETUJU_USULAN,KOREKSI,TUNDA"</x:formula1>
    </x:dataValidation>
    <x:dataValidation type="list" sqref="F272">
      <x:formula1>"FLOOD,EARTHQUAKE,FIRE,ACCIDENT,NON_EVENT"</x:formula1>
    </x:dataValidation>
    <x:dataValidation type="list" sqref="E273">
      <x:formula1>"SETUJU_USULAN,KOREKSI,TUNDA"</x:formula1>
    </x:dataValidation>
    <x:dataValidation type="list" sqref="F273">
      <x:formula1>"FLOOD,EARTHQUAKE,FIRE,ACCIDENT,NON_EVENT"</x:formula1>
    </x:dataValidation>
    <x:dataValidation type="list" sqref="E274">
      <x:formula1>"SETUJU_USULAN,KOREKSI,TUNDA"</x:formula1>
    </x:dataValidation>
    <x:dataValidation type="list" sqref="F274">
      <x:formula1>"FLOOD,EARTHQUAKE,FIRE,ACCIDENT,NON_EVENT"</x:formula1>
    </x:dataValidation>
    <x:dataValidation type="list" sqref="E275">
      <x:formula1>"SETUJU_USULAN,KOREKSI,TUNDA"</x:formula1>
    </x:dataValidation>
    <x:dataValidation type="list" sqref="F275">
      <x:formula1>"FLOOD,EARTHQUAKE,FIRE,ACCIDENT,NON_EVENT"</x:formula1>
    </x:dataValidation>
    <x:dataValidation type="list" sqref="E276">
      <x:formula1>"SETUJU_USULAN,KOREKSI,TUNDA"</x:formula1>
    </x:dataValidation>
    <x:dataValidation type="list" sqref="F276">
      <x:formula1>"FLOOD,EARTHQUAKE,FIRE,ACCIDENT,NON_EVENT"</x:formula1>
    </x:dataValidation>
    <x:dataValidation type="list" sqref="E277">
      <x:formula1>"SETUJU_USULAN,KOREKSI,TUNDA"</x:formula1>
    </x:dataValidation>
    <x:dataValidation type="list" sqref="F277">
      <x:formula1>"FLOOD,EARTHQUAKE,FIRE,ACCIDENT,NON_EVENT"</x:formula1>
    </x:dataValidation>
    <x:dataValidation type="list" sqref="E278">
      <x:formula1>"SETUJU_USULAN,KOREKSI,TUNDA"</x:formula1>
    </x:dataValidation>
    <x:dataValidation type="list" sqref="F278">
      <x:formula1>"FLOOD,EARTHQUAKE,FIRE,ACCIDENT,NON_EVENT"</x:formula1>
    </x:dataValidation>
    <x:dataValidation type="list" sqref="E279">
      <x:formula1>"SETUJU_USULAN,KOREKSI,TUNDA"</x:formula1>
    </x:dataValidation>
    <x:dataValidation type="list" sqref="F279">
      <x:formula1>"FLOOD,EARTHQUAKE,FIRE,ACCIDENT,NON_EVENT"</x:formula1>
    </x:dataValidation>
    <x:dataValidation type="list" sqref="E280">
      <x:formula1>"SETUJU_USULAN,KOREKSI,TUNDA"</x:formula1>
    </x:dataValidation>
    <x:dataValidation type="list" sqref="F280">
      <x:formula1>"FLOOD,EARTHQUAKE,FIRE,ACCIDENT,NON_EVENT"</x:formula1>
    </x:dataValidation>
    <x:dataValidation type="list" sqref="E281">
      <x:formula1>"SETUJU_USULAN,KOREKSI,TUNDA"</x:formula1>
    </x:dataValidation>
    <x:dataValidation type="list" sqref="F281">
      <x:formula1>"FLOOD,EARTHQUAKE,FIRE,ACCIDENT,NON_EVENT"</x:formula1>
    </x:dataValidation>
    <x:dataValidation type="list" sqref="E282">
      <x:formula1>"SETUJU_USULAN,KOREKSI,TUNDA"</x:formula1>
    </x:dataValidation>
    <x:dataValidation type="list" sqref="F282">
      <x:formula1>"FLOOD,EARTHQUAKE,FIRE,ACCIDENT,NON_EVENT"</x:formula1>
    </x:dataValidation>
    <x:dataValidation type="list" sqref="E283">
      <x:formula1>"SETUJU_USULAN,KOREKSI,TUNDA"</x:formula1>
    </x:dataValidation>
    <x:dataValidation type="list" sqref="F283">
      <x:formula1>"FLOOD,EARTHQUAKE,FIRE,ACCIDENT,NON_EVENT"</x:formula1>
    </x:dataValidation>
    <x:dataValidation type="list" sqref="E284">
      <x:formula1>"SETUJU_USULAN,KOREKSI,TUNDA"</x:formula1>
    </x:dataValidation>
    <x:dataValidation type="list" sqref="F284">
      <x:formula1>"FLOOD,EARTHQUAKE,FIRE,ACCIDENT,NON_EVENT"</x:formula1>
    </x:dataValidation>
    <x:dataValidation type="list" sqref="E285">
      <x:formula1>"SETUJU_USULAN,KOREKSI,TUNDA"</x:formula1>
    </x:dataValidation>
    <x:dataValidation type="list" sqref="F285">
      <x:formula1>"FLOOD,EARTHQUAKE,FIRE,ACCIDENT,NON_EVENT"</x:formula1>
    </x:dataValidation>
    <x:dataValidation type="list" sqref="E286">
      <x:formula1>"SETUJU_USULAN,KOREKSI,TUNDA"</x:formula1>
    </x:dataValidation>
    <x:dataValidation type="list" sqref="F286">
      <x:formula1>"FLOOD,EARTHQUAKE,FIRE,ACCIDENT,NON_EVENT"</x:formula1>
    </x:dataValidation>
    <x:dataValidation type="list" sqref="E287">
      <x:formula1>"SETUJU_USULAN,KOREKSI,TUNDA"</x:formula1>
    </x:dataValidation>
    <x:dataValidation type="list" sqref="F287">
      <x:formula1>"FLOOD,EARTHQUAKE,FIRE,ACCIDENT,NON_EVENT"</x:formula1>
    </x:dataValidation>
    <x:dataValidation type="list" sqref="E288">
      <x:formula1>"SETUJU_USULAN,KOREKSI,TUNDA"</x:formula1>
    </x:dataValidation>
    <x:dataValidation type="list" sqref="F288">
      <x:formula1>"FLOOD,EARTHQUAKE,FIRE,ACCIDENT,NON_EVENT"</x:formula1>
    </x:dataValidation>
    <x:dataValidation type="list" sqref="E289">
      <x:formula1>"SETUJU_USULAN,KOREKSI,TUNDA"</x:formula1>
    </x:dataValidation>
    <x:dataValidation type="list" sqref="F289">
      <x:formula1>"FLOOD,EARTHQUAKE,FIRE,ACCIDENT,NON_EVENT"</x:formula1>
    </x:dataValidation>
    <x:dataValidation type="list" sqref="E290">
      <x:formula1>"SETUJU_USULAN,KOREKSI,TUNDA"</x:formula1>
    </x:dataValidation>
    <x:dataValidation type="list" sqref="F290">
      <x:formula1>"FLOOD,EARTHQUAKE,FIRE,ACCIDENT,NON_EVENT"</x:formula1>
    </x:dataValidation>
    <x:dataValidation type="list" sqref="E291">
      <x:formula1>"SETUJU_USULAN,KOREKSI,TUNDA"</x:formula1>
    </x:dataValidation>
    <x:dataValidation type="list" sqref="F291">
      <x:formula1>"FLOOD,EARTHQUAKE,FIRE,ACCIDENT,NON_EVENT"</x:formula1>
    </x:dataValidation>
    <x:dataValidation type="list" sqref="E292">
      <x:formula1>"SETUJU_USULAN,KOREKSI,TUNDA"</x:formula1>
    </x:dataValidation>
    <x:dataValidation type="list" sqref="F292">
      <x:formula1>"FLOOD,EARTHQUAKE,FIRE,ACCIDENT,NON_EVENT"</x:formula1>
    </x:dataValidation>
    <x:dataValidation type="list" sqref="E293">
      <x:formula1>"SETUJU_USULAN,KOREKSI,TUNDA"</x:formula1>
    </x:dataValidation>
    <x:dataValidation type="list" sqref="F293">
      <x:formula1>"FLOOD,EARTHQUAKE,FIRE,ACCIDENT,NON_EVENT"</x:formula1>
    </x:dataValidation>
    <x:dataValidation type="list" sqref="E294">
      <x:formula1>"SETUJU_USULAN,KOREKSI,TUNDA"</x:formula1>
    </x:dataValidation>
    <x:dataValidation type="list" sqref="F294">
      <x:formula1>"FLOOD,EARTHQUAKE,FIRE,ACCIDENT,NON_EVENT"</x:formula1>
    </x:dataValidation>
    <x:dataValidation type="list" sqref="E295">
      <x:formula1>"SETUJU_USULAN,KOREKSI,TUNDA"</x:formula1>
    </x:dataValidation>
    <x:dataValidation type="list" sqref="F295">
      <x:formula1>"FLOOD,EARTHQUAKE,FIRE,ACCIDENT,NON_EVENT"</x:formula1>
    </x:dataValidation>
    <x:dataValidation type="list" sqref="E296">
      <x:formula1>"SETUJU_USULAN,KOREKSI,TUNDA"</x:formula1>
    </x:dataValidation>
    <x:dataValidation type="list" sqref="F296">
      <x:formula1>"FLOOD,EARTHQUAKE,FIRE,ACCIDENT,NON_EVENT"</x:formula1>
    </x:dataValidation>
    <x:dataValidation type="list" sqref="E297">
      <x:formula1>"SETUJU_USULAN,KOREKSI,TUNDA"</x:formula1>
    </x:dataValidation>
    <x:dataValidation type="list" sqref="F297">
      <x:formula1>"FLOOD,EARTHQUAKE,FIRE,ACCIDENT,NON_EVENT"</x:formula1>
    </x:dataValidation>
    <x:dataValidation type="list" sqref="E298">
      <x:formula1>"SETUJU_USULAN,KOREKSI,TUNDA"</x:formula1>
    </x:dataValidation>
    <x:dataValidation type="list" sqref="F298">
      <x:formula1>"FLOOD,EARTHQUAKE,FIRE,ACCIDENT,NON_EVENT"</x:formula1>
    </x:dataValidation>
    <x:dataValidation type="list" sqref="E299">
      <x:formula1>"SETUJU_USULAN,KOREKSI,TUNDA"</x:formula1>
    </x:dataValidation>
    <x:dataValidation type="list" sqref="F299">
      <x:formula1>"FLOOD,EARTHQUAKE,FIRE,ACCIDENT,NON_EVENT"</x:formula1>
    </x:dataValidation>
    <x:dataValidation type="list" sqref="E300">
      <x:formula1>"SETUJU_USULAN,KOREKSI,TUNDA"</x:formula1>
    </x:dataValidation>
    <x:dataValidation type="list" sqref="F300">
      <x:formula1>"FLOOD,EARTHQUAKE,FIRE,ACCIDENT,NON_EVENT"</x:formula1>
    </x:dataValidation>
    <x:dataValidation type="list" sqref="E301">
      <x:formula1>"SETUJU_USULAN,KOREKSI,TUNDA"</x:formula1>
    </x:dataValidation>
    <x:dataValidation type="list" sqref="F301">
      <x:formula1>"FLOOD,EARTHQUAKE,FIRE,ACCIDENT,NON_EVENT"</x:formula1>
    </x:dataValidation>
    <x:dataValidation type="list" sqref="E302">
      <x:formula1>"SETUJU_USULAN,KOREKSI,TUNDA"</x:formula1>
    </x:dataValidation>
    <x:dataValidation type="list" sqref="F302">
      <x:formula1>"FLOOD,EARTHQUAKE,FIRE,ACCIDENT,NON_EVENT"</x:formula1>
    </x:dataValidation>
    <x:dataValidation type="list" sqref="E303">
      <x:formula1>"SETUJU_USULAN,KOREKSI,TUNDA"</x:formula1>
    </x:dataValidation>
    <x:dataValidation type="list" sqref="F303">
      <x:formula1>"FLOOD,EARTHQUAKE,FIRE,ACCIDENT,NON_EVENT"</x:formula1>
    </x:dataValidation>
    <x:dataValidation type="list" sqref="E304">
      <x:formula1>"SETUJU_USULAN,KOREKSI,TUNDA"</x:formula1>
    </x:dataValidation>
    <x:dataValidation type="list" sqref="F304">
      <x:formula1>"FLOOD,EARTHQUAKE,FIRE,ACCIDENT,NON_EVENT"</x:formula1>
    </x:dataValidation>
    <x:dataValidation type="list" sqref="E305">
      <x:formula1>"SETUJU_USULAN,KOREKSI,TUNDA"</x:formula1>
    </x:dataValidation>
    <x:dataValidation type="list" sqref="F305">
      <x:formula1>"FLOOD,EARTHQUAKE,FIRE,ACCIDENT,NON_EVENT"</x:formula1>
    </x:dataValidation>
    <x:dataValidation type="list" sqref="E306">
      <x:formula1>"SETUJU_USULAN,KOREKSI,TUNDA"</x:formula1>
    </x:dataValidation>
    <x:dataValidation type="list" sqref="F306">
      <x:formula1>"FLOOD,EARTHQUAKE,FIRE,ACCIDENT,NON_EVENT"</x:formula1>
    </x:dataValidation>
    <x:dataValidation type="list" sqref="E307">
      <x:formula1>"SETUJU_USULAN,KOREKSI,TUNDA"</x:formula1>
    </x:dataValidation>
    <x:dataValidation type="list" sqref="F307">
      <x:formula1>"FLOOD,EARTHQUAKE,FIRE,ACCIDENT,NON_EVENT"</x:formula1>
    </x:dataValidation>
    <x:dataValidation type="list" sqref="E308">
      <x:formula1>"SETUJU_USULAN,KOREKSI,TUNDA"</x:formula1>
    </x:dataValidation>
    <x:dataValidation type="list" sqref="F308">
      <x:formula1>"FLOOD,EARTHQUAKE,FIRE,ACCIDENT,NON_EVENT"</x:formula1>
    </x:dataValidation>
    <x:dataValidation type="list" sqref="E309">
      <x:formula1>"SETUJU_USULAN,KOREKSI,TUNDA"</x:formula1>
    </x:dataValidation>
    <x:dataValidation type="list" sqref="F309">
      <x:formula1>"FLOOD,EARTHQUAKE,FIRE,ACCIDENT,NON_EVENT"</x:formula1>
    </x:dataValidation>
    <x:dataValidation type="list" sqref="E310">
      <x:formula1>"SETUJU_USULAN,KOREKSI,TUNDA"</x:formula1>
    </x:dataValidation>
    <x:dataValidation type="list" sqref="F310">
      <x:formula1>"FLOOD,EARTHQUAKE,FIRE,ACCIDENT,NON_EVENT"</x:formula1>
    </x:dataValidation>
    <x:dataValidation type="list" sqref="E311">
      <x:formula1>"SETUJU_USULAN,KOREKSI,TUNDA"</x:formula1>
    </x:dataValidation>
    <x:dataValidation type="list" sqref="F311">
      <x:formula1>"FLOOD,EARTHQUAKE,FIRE,ACCIDENT,NON_EVENT"</x:formula1>
    </x:dataValidation>
    <x:dataValidation type="list" sqref="E312">
      <x:formula1>"SETUJU_USULAN,KOREKSI,TUNDA"</x:formula1>
    </x:dataValidation>
    <x:dataValidation type="list" sqref="F312">
      <x:formula1>"FLOOD,EARTHQUAKE,FIRE,ACCIDENT,NON_EVENT"</x:formula1>
    </x:dataValidation>
    <x:dataValidation type="list" sqref="E313">
      <x:formula1>"SETUJU_USULAN,KOREKSI,TUNDA"</x:formula1>
    </x:dataValidation>
    <x:dataValidation type="list" sqref="F313">
      <x:formula1>"FLOOD,EARTHQUAKE,FIRE,ACCIDENT,NON_EVENT"</x:formula1>
    </x:dataValidation>
    <x:dataValidation type="list" sqref="E314">
      <x:formula1>"SETUJU_USULAN,KOREKSI,TUNDA"</x:formula1>
    </x:dataValidation>
    <x:dataValidation type="list" sqref="F314">
      <x:formula1>"FLOOD,EARTHQUAKE,FIRE,ACCIDENT,NON_EVENT"</x:formula1>
    </x:dataValidation>
    <x:dataValidation type="list" sqref="E315">
      <x:formula1>"SETUJU_USULAN,KOREKSI,TUNDA"</x:formula1>
    </x:dataValidation>
    <x:dataValidation type="list" sqref="F315">
      <x:formula1>"FLOOD,EARTHQUAKE,FIRE,ACCIDENT,NON_EVENT"</x:formula1>
    </x:dataValidation>
    <x:dataValidation type="list" sqref="E316">
      <x:formula1>"SETUJU_USULAN,KOREKSI,TUNDA"</x:formula1>
    </x:dataValidation>
    <x:dataValidation type="list" sqref="F316">
      <x:formula1>"FLOOD,EARTHQUAKE,FIRE,ACCIDENT,NON_EVENT"</x:formula1>
    </x:dataValidation>
    <x:dataValidation type="list" sqref="E317">
      <x:formula1>"SETUJU_USULAN,KOREKSI,TUNDA"</x:formula1>
    </x:dataValidation>
    <x:dataValidation type="list" sqref="F317">
      <x:formula1>"FLOOD,EARTHQUAKE,FIRE,ACCIDENT,NON_EVENT"</x:formula1>
    </x:dataValidation>
    <x:dataValidation type="list" sqref="E318">
      <x:formula1>"SETUJU_USULAN,KOREKSI,TUNDA"</x:formula1>
    </x:dataValidation>
    <x:dataValidation type="list" sqref="F318">
      <x:formula1>"FLOOD,EARTHQUAKE,FIRE,ACCIDENT,NON_EVENT"</x:formula1>
    </x:dataValidation>
    <x:dataValidation type="list" sqref="E319">
      <x:formula1>"SETUJU_USULAN,KOREKSI,TUNDA"</x:formula1>
    </x:dataValidation>
    <x:dataValidation type="list" sqref="F319">
      <x:formula1>"FLOOD,EARTHQUAKE,FIRE,ACCIDENT,NON_EVENT"</x:formula1>
    </x:dataValidation>
    <x:dataValidation type="list" sqref="E320">
      <x:formula1>"SETUJU_USULAN,KOREKSI,TUNDA"</x:formula1>
    </x:dataValidation>
    <x:dataValidation type="list" sqref="F320">
      <x:formula1>"FLOOD,EARTHQUAKE,FIRE,ACCIDENT,NON_EVENT"</x:formula1>
    </x:dataValidation>
    <x:dataValidation type="list" sqref="E321">
      <x:formula1>"SETUJU_USULAN,KOREKSI,TUNDA"</x:formula1>
    </x:dataValidation>
    <x:dataValidation type="list" sqref="F321">
      <x:formula1>"FLOOD,EARTHQUAKE,FIRE,ACCIDENT,NON_EVENT"</x:formula1>
    </x:dataValidation>
    <x:dataValidation type="list" sqref="E322">
      <x:formula1>"SETUJU_USULAN,KOREKSI,TUNDA"</x:formula1>
    </x:dataValidation>
    <x:dataValidation type="list" sqref="F322">
      <x:formula1>"FLOOD,EARTHQUAKE,FIRE,ACCIDENT,NON_EVENT"</x:formula1>
    </x:dataValidation>
    <x:dataValidation type="list" sqref="E323">
      <x:formula1>"SETUJU_USULAN,KOREKSI,TUNDA"</x:formula1>
    </x:dataValidation>
    <x:dataValidation type="list" sqref="F323">
      <x:formula1>"FLOOD,EARTHQUAKE,FIRE,ACCIDENT,NON_EVENT"</x:formula1>
    </x:dataValidation>
    <x:dataValidation type="list" sqref="E324">
      <x:formula1>"SETUJU_USULAN,KOREKSI,TUNDA"</x:formula1>
    </x:dataValidation>
    <x:dataValidation type="list" sqref="F324">
      <x:formula1>"FLOOD,EARTHQUAKE,FIRE,ACCIDENT,NON_EVENT"</x:formula1>
    </x:dataValidation>
    <x:dataValidation type="list" sqref="E325">
      <x:formula1>"SETUJU_USULAN,KOREKSI,TUNDA"</x:formula1>
    </x:dataValidation>
    <x:dataValidation type="list" sqref="F325">
      <x:formula1>"FLOOD,EARTHQUAKE,FIRE,ACCIDENT,NON_EVENT"</x:formula1>
    </x:dataValidation>
    <x:dataValidation type="list" sqref="E326">
      <x:formula1>"SETUJU_USULAN,KOREKSI,TUNDA"</x:formula1>
    </x:dataValidation>
    <x:dataValidation type="list" sqref="F326">
      <x:formula1>"FLOOD,EARTHQUAKE,FIRE,ACCIDENT,NON_EVENT"</x:formula1>
    </x:dataValidation>
    <x:dataValidation type="list" sqref="E327">
      <x:formula1>"SETUJU_USULAN,KOREKSI,TUNDA"</x:formula1>
    </x:dataValidation>
    <x:dataValidation type="list" sqref="F327">
      <x:formula1>"FLOOD,EARTHQUAKE,FIRE,ACCIDENT,NON_EVENT"</x:formula1>
    </x:dataValidation>
    <x:dataValidation type="list" sqref="E328">
      <x:formula1>"SETUJU_USULAN,KOREKSI,TUNDA"</x:formula1>
    </x:dataValidation>
    <x:dataValidation type="list" sqref="F328">
      <x:formula1>"FLOOD,EARTHQUAKE,FIRE,ACCIDENT,NON_EVENT"</x:formula1>
    </x:dataValidation>
    <x:dataValidation type="list" sqref="E329">
      <x:formula1>"SETUJU_USULAN,KOREKSI,TUNDA"</x:formula1>
    </x:dataValidation>
    <x:dataValidation type="list" sqref="F329">
      <x:formula1>"FLOOD,EARTHQUAKE,FIRE,ACCIDENT,NON_EVENT"</x:formula1>
    </x:dataValidation>
    <x:dataValidation type="list" sqref="E330">
      <x:formula1>"SETUJU_USULAN,KOREKSI,TUNDA"</x:formula1>
    </x:dataValidation>
    <x:dataValidation type="list" sqref="F330">
      <x:formula1>"FLOOD,EARTHQUAKE,FIRE,ACCIDENT,NON_EVENT"</x:formula1>
    </x:dataValidation>
    <x:dataValidation type="list" sqref="E331">
      <x:formula1>"SETUJU_USULAN,KOREKSI,TUNDA"</x:formula1>
    </x:dataValidation>
    <x:dataValidation type="list" sqref="F331">
      <x:formula1>"FLOOD,EARTHQUAKE,FIRE,ACCIDENT,NON_EVENT"</x:formula1>
    </x:dataValidation>
    <x:dataValidation type="list" sqref="E332">
      <x:formula1>"SETUJU_USULAN,KOREKSI,TUNDA"</x:formula1>
    </x:dataValidation>
    <x:dataValidation type="list" sqref="F332">
      <x:formula1>"FLOOD,EARTHQUAKE,FIRE,ACCIDENT,NON_EVENT"</x:formula1>
    </x:dataValidation>
    <x:dataValidation type="list" sqref="E333">
      <x:formula1>"SETUJU_USULAN,KOREKSI,TUNDA"</x:formula1>
    </x:dataValidation>
    <x:dataValidation type="list" sqref="F333">
      <x:formula1>"FLOOD,EARTHQUAKE,FIRE,ACCIDENT,NON_EVENT"</x:formula1>
    </x:dataValidation>
    <x:dataValidation type="list" sqref="E334">
      <x:formula1>"SETUJU_USULAN,KOREKSI,TUNDA"</x:formula1>
    </x:dataValidation>
    <x:dataValidation type="list" sqref="F334">
      <x:formula1>"FLOOD,EARTHQUAKE,FIRE,ACCIDENT,NON_EVENT"</x:formula1>
    </x:dataValidation>
    <x:dataValidation type="list" sqref="E335">
      <x:formula1>"SETUJU_USULAN,KOREKSI,TUNDA"</x:formula1>
    </x:dataValidation>
    <x:dataValidation type="list" sqref="F335">
      <x:formula1>"FLOOD,EARTHQUAKE,FIRE,ACCIDENT,NON_EVENT"</x:formula1>
    </x:dataValidation>
    <x:dataValidation type="list" sqref="E336">
      <x:formula1>"SETUJU_USULAN,KOREKSI,TUNDA"</x:formula1>
    </x:dataValidation>
    <x:dataValidation type="list" sqref="F336">
      <x:formula1>"FLOOD,EARTHQUAKE,FIRE,ACCIDENT,NON_EVENT"</x:formula1>
    </x:dataValidation>
    <x:dataValidation type="list" sqref="E337">
      <x:formula1>"SETUJU_USULAN,KOREKSI,TUNDA"</x:formula1>
    </x:dataValidation>
    <x:dataValidation type="list" sqref="F337">
      <x:formula1>"FLOOD,EARTHQUAKE,FIRE,ACCIDENT,NON_EVENT"</x:formula1>
    </x:dataValidation>
    <x:dataValidation type="list" sqref="E338">
      <x:formula1>"SETUJU_USULAN,KOREKSI,TUNDA"</x:formula1>
    </x:dataValidation>
    <x:dataValidation type="list" sqref="F338">
      <x:formula1>"FLOOD,EARTHQUAKE,FIRE,ACCIDENT,NON_EVENT"</x:formula1>
    </x:dataValidation>
    <x:dataValidation type="list" sqref="E339">
      <x:formula1>"SETUJU_USULAN,KOREKSI,TUNDA"</x:formula1>
    </x:dataValidation>
    <x:dataValidation type="list" sqref="F339">
      <x:formula1>"FLOOD,EARTHQUAKE,FIRE,ACCIDENT,NON_EVENT"</x:formula1>
    </x:dataValidation>
    <x:dataValidation type="list" sqref="E340">
      <x:formula1>"SETUJU_USULAN,KOREKSI,TUNDA"</x:formula1>
    </x:dataValidation>
    <x:dataValidation type="list" sqref="F340">
      <x:formula1>"FLOOD,EARTHQUAKE,FIRE,ACCIDENT,NON_EVENT"</x:formula1>
    </x:dataValidation>
    <x:dataValidation type="list" sqref="E341">
      <x:formula1>"SETUJU_USULAN,KOREKSI,TUNDA"</x:formula1>
    </x:dataValidation>
    <x:dataValidation type="list" sqref="F341">
      <x:formula1>"FLOOD,EARTHQUAKE,FIRE,ACCIDENT,NON_EVENT"</x:formula1>
    </x:dataValidation>
    <x:dataValidation type="list" sqref="E342">
      <x:formula1>"SETUJU_USULAN,KOREKSI,TUNDA"</x:formula1>
    </x:dataValidation>
    <x:dataValidation type="list" sqref="F342">
      <x:formula1>"FLOOD,EARTHQUAKE,FIRE,ACCIDENT,NON_EVENT"</x:formula1>
    </x:dataValidation>
    <x:dataValidation type="list" sqref="E343">
      <x:formula1>"SETUJU_USULAN,KOREKSI,TUNDA"</x:formula1>
    </x:dataValidation>
    <x:dataValidation type="list" sqref="F343">
      <x:formula1>"FLOOD,EARTHQUAKE,FIRE,ACCIDENT,NON_EVENT"</x:formula1>
    </x:dataValidation>
    <x:dataValidation type="list" sqref="E344">
      <x:formula1>"SETUJU_USULAN,KOREKSI,TUNDA"</x:formula1>
    </x:dataValidation>
    <x:dataValidation type="list" sqref="F344">
      <x:formula1>"FLOOD,EARTHQUAKE,FIRE,ACCIDENT,NON_EVENT"</x:formula1>
    </x:dataValidation>
    <x:dataValidation type="list" sqref="E345">
      <x:formula1>"SETUJU_USULAN,KOREKSI,TUNDA"</x:formula1>
    </x:dataValidation>
    <x:dataValidation type="list" sqref="F345">
      <x:formula1>"FLOOD,EARTHQUAKE,FIRE,ACCIDENT,NON_EVENT"</x:formula1>
    </x:dataValidation>
    <x:dataValidation type="list" sqref="E346">
      <x:formula1>"SETUJU_USULAN,KOREKSI,TUNDA"</x:formula1>
    </x:dataValidation>
    <x:dataValidation type="list" sqref="F346">
      <x:formula1>"FLOOD,EARTHQUAKE,FIRE,ACCIDENT,NON_EVENT"</x:formula1>
    </x:dataValidation>
    <x:dataValidation type="list" sqref="E347">
      <x:formula1>"SETUJU_USULAN,KOREKSI,TUNDA"</x:formula1>
    </x:dataValidation>
    <x:dataValidation type="list" sqref="F347">
      <x:formula1>"FLOOD,EARTHQUAKE,FIRE,ACCIDENT,NON_EVENT"</x:formula1>
    </x:dataValidation>
    <x:dataValidation type="list" sqref="E348">
      <x:formula1>"SETUJU_USULAN,KOREKSI,TUNDA"</x:formula1>
    </x:dataValidation>
    <x:dataValidation type="list" sqref="F348">
      <x:formula1>"FLOOD,EARTHQUAKE,FIRE,ACCIDENT,NON_EVENT"</x:formula1>
    </x:dataValidation>
    <x:dataValidation type="list" sqref="E349">
      <x:formula1>"SETUJU_USULAN,KOREKSI,TUNDA"</x:formula1>
    </x:dataValidation>
    <x:dataValidation type="list" sqref="F349">
      <x:formula1>"FLOOD,EARTHQUAKE,FIRE,ACCIDENT,NON_EVENT"</x:formula1>
    </x:dataValidation>
    <x:dataValidation type="list" sqref="E350">
      <x:formula1>"SETUJU_USULAN,KOREKSI,TUNDA"</x:formula1>
    </x:dataValidation>
    <x:dataValidation type="list" sqref="F350">
      <x:formula1>"FLOOD,EARTHQUAKE,FIRE,ACCIDENT,NON_EVENT"</x:formula1>
    </x:dataValidation>
    <x:dataValidation type="list" sqref="E351">
      <x:formula1>"SETUJU_USULAN,KOREKSI,TUNDA"</x:formula1>
    </x:dataValidation>
    <x:dataValidation type="list" sqref="F351">
      <x:formula1>"FLOOD,EARTHQUAKE,FIRE,ACCIDENT,NON_EVENT"</x:formula1>
    </x:dataValidation>
    <x:dataValidation type="list" sqref="E352">
      <x:formula1>"SETUJU_USULAN,KOREKSI,TUNDA"</x:formula1>
    </x:dataValidation>
    <x:dataValidation type="list" sqref="F352">
      <x:formula1>"FLOOD,EARTHQUAKE,FIRE,ACCIDENT,NON_EVENT"</x:formula1>
    </x:dataValidation>
    <x:dataValidation type="list" sqref="E353">
      <x:formula1>"SETUJU_USULAN,KOREKSI,TUNDA"</x:formula1>
    </x:dataValidation>
    <x:dataValidation type="list" sqref="F353">
      <x:formula1>"FLOOD,EARTHQUAKE,FIRE,ACCIDENT,NON_EVENT"</x:formula1>
    </x:dataValidation>
    <x:dataValidation type="list" sqref="E354">
      <x:formula1>"SETUJU_USULAN,KOREKSI,TUNDA"</x:formula1>
    </x:dataValidation>
    <x:dataValidation type="list" sqref="F354">
      <x:formula1>"FLOOD,EARTHQUAKE,FIRE,ACCIDENT,NON_EVENT"</x:formula1>
    </x:dataValidation>
    <x:dataValidation type="list" sqref="E355">
      <x:formula1>"SETUJU_USULAN,KOREKSI,TUNDA"</x:formula1>
    </x:dataValidation>
    <x:dataValidation type="list" sqref="F355">
      <x:formula1>"FLOOD,EARTHQUAKE,FIRE,ACCIDENT,NON_EVENT"</x:formula1>
    </x:dataValidation>
    <x:dataValidation type="list" sqref="E356">
      <x:formula1>"SETUJU_USULAN,KOREKSI,TUNDA"</x:formula1>
    </x:dataValidation>
    <x:dataValidation type="list" sqref="F356">
      <x:formula1>"FLOOD,EARTHQUAKE,FIRE,ACCIDENT,NON_EVENT"</x:formula1>
    </x:dataValidation>
    <x:dataValidation type="list" sqref="E357">
      <x:formula1>"SETUJU_USULAN,KOREKSI,TUNDA"</x:formula1>
    </x:dataValidation>
    <x:dataValidation type="list" sqref="F357">
      <x:formula1>"FLOOD,EARTHQUAKE,FIRE,ACCIDENT,NON_EVENT"</x:formula1>
    </x:dataValidation>
    <x:dataValidation type="list" sqref="E358">
      <x:formula1>"SETUJU_USULAN,KOREKSI,TUNDA"</x:formula1>
    </x:dataValidation>
    <x:dataValidation type="list" sqref="F358">
      <x:formula1>"FLOOD,EARTHQUAKE,FIRE,ACCIDENT,NON_EVENT"</x:formula1>
    </x:dataValidation>
    <x:dataValidation type="list" sqref="E359">
      <x:formula1>"SETUJU_USULAN,KOREKSI,TUNDA"</x:formula1>
    </x:dataValidation>
    <x:dataValidation type="list" sqref="F359">
      <x:formula1>"FLOOD,EARTHQUAKE,FIRE,ACCIDENT,NON_EVENT"</x:formula1>
    </x:dataValidation>
    <x:dataValidation type="list" sqref="E360">
      <x:formula1>"SETUJU_USULAN,KOREKSI,TUNDA"</x:formula1>
    </x:dataValidation>
    <x:dataValidation type="list" sqref="F360">
      <x:formula1>"FLOOD,EARTHQUAKE,FIRE,ACCIDENT,NON_EVENT"</x:formula1>
    </x:dataValidation>
    <x:dataValidation type="list" sqref="E361">
      <x:formula1>"SETUJU_USULAN,KOREKSI,TUNDA"</x:formula1>
    </x:dataValidation>
    <x:dataValidation type="list" sqref="F361">
      <x:formula1>"FLOOD,EARTHQUAKE,FIRE,ACCIDENT,NON_EVENT"</x:formula1>
    </x:dataValidation>
    <x:dataValidation type="list" sqref="E362">
      <x:formula1>"SETUJU_USULAN,KOREKSI,TUNDA"</x:formula1>
    </x:dataValidation>
    <x:dataValidation type="list" sqref="F362">
      <x:formula1>"FLOOD,EARTHQUAKE,FIRE,ACCIDENT,NON_EVENT"</x:formula1>
    </x:dataValidation>
    <x:dataValidation type="list" sqref="E363">
      <x:formula1>"SETUJU_USULAN,KOREKSI,TUNDA"</x:formula1>
    </x:dataValidation>
    <x:dataValidation type="list" sqref="F363">
      <x:formula1>"FLOOD,EARTHQUAKE,FIRE,ACCIDENT,NON_EVENT"</x:formula1>
    </x:dataValidation>
    <x:dataValidation type="list" sqref="E364">
      <x:formula1>"SETUJU_USULAN,KOREKSI,TUNDA"</x:formula1>
    </x:dataValidation>
    <x:dataValidation type="list" sqref="F364">
      <x:formula1>"FLOOD,EARTHQUAKE,FIRE,ACCIDENT,NON_EVENT"</x:formula1>
    </x:dataValidation>
    <x:dataValidation type="list" sqref="E365">
      <x:formula1>"SETUJU_USULAN,KOREKSI,TUNDA"</x:formula1>
    </x:dataValidation>
    <x:dataValidation type="list" sqref="F365">
      <x:formula1>"FLOOD,EARTHQUAKE,FIRE,ACCIDENT,NON_EVENT"</x:formula1>
    </x:dataValidation>
    <x:dataValidation type="list" sqref="E366">
      <x:formula1>"SETUJU_USULAN,KOREKSI,TUNDA"</x:formula1>
    </x:dataValidation>
    <x:dataValidation type="list" sqref="F366">
      <x:formula1>"FLOOD,EARTHQUAKE,FIRE,ACCIDENT,NON_EVENT"</x:formula1>
    </x:dataValidation>
    <x:dataValidation type="list" sqref="E367">
      <x:formula1>"SETUJU_USULAN,KOREKSI,TUNDA"</x:formula1>
    </x:dataValidation>
    <x:dataValidation type="list" sqref="F367">
      <x:formula1>"FLOOD,EARTHQUAKE,FIRE,ACCIDENT,NON_EVENT"</x:formula1>
    </x:dataValidation>
    <x:dataValidation type="list" sqref="E368">
      <x:formula1>"SETUJU_USULAN,KOREKSI,TUNDA"</x:formula1>
    </x:dataValidation>
    <x:dataValidation type="list" sqref="F368">
      <x:formula1>"FLOOD,EARTHQUAKE,FIRE,ACCIDENT,NON_EVENT"</x:formula1>
    </x:dataValidation>
    <x:dataValidation type="list" sqref="E369">
      <x:formula1>"SETUJU_USULAN,KOREKSI,TUNDA"</x:formula1>
    </x:dataValidation>
    <x:dataValidation type="list" sqref="F369">
      <x:formula1>"FLOOD,EARTHQUAKE,FIRE,ACCIDENT,NON_EVENT"</x:formula1>
    </x:dataValidation>
    <x:dataValidation type="list" sqref="E370">
      <x:formula1>"SETUJU_USULAN,KOREKSI,TUNDA"</x:formula1>
    </x:dataValidation>
    <x:dataValidation type="list" sqref="F370">
      <x:formula1>"FLOOD,EARTHQUAKE,FIRE,ACCIDENT,NON_EVENT"</x:formula1>
    </x:dataValidation>
    <x:dataValidation type="list" sqref="E371">
      <x:formula1>"SETUJU_USULAN,KOREKSI,TUNDA"</x:formula1>
    </x:dataValidation>
    <x:dataValidation type="list" sqref="F371">
      <x:formula1>"FLOOD,EARTHQUAKE,FIRE,ACCIDENT,NON_EVENT"</x:formula1>
    </x:dataValidation>
    <x:dataValidation type="list" sqref="E372">
      <x:formula1>"SETUJU_USULAN,KOREKSI,TUNDA"</x:formula1>
    </x:dataValidation>
    <x:dataValidation type="list" sqref="F372">
      <x:formula1>"FLOOD,EARTHQUAKE,FIRE,ACCIDENT,NON_EVENT"</x:formula1>
    </x:dataValidation>
    <x:dataValidation type="list" sqref="E373">
      <x:formula1>"SETUJU_USULAN,KOREKSI,TUNDA"</x:formula1>
    </x:dataValidation>
    <x:dataValidation type="list" sqref="F373">
      <x:formula1>"FLOOD,EARTHQUAKE,FIRE,ACCIDENT,NON_EVENT"</x:formula1>
    </x:dataValidation>
    <x:dataValidation type="list" sqref="E374">
      <x:formula1>"SETUJU_USULAN,KOREKSI,TUNDA"</x:formula1>
    </x:dataValidation>
    <x:dataValidation type="list" sqref="F374">
      <x:formula1>"FLOOD,EARTHQUAKE,FIRE,ACCIDENT,NON_EVENT"</x:formula1>
    </x:dataValidation>
    <x:dataValidation type="list" sqref="E375">
      <x:formula1>"SETUJU_USULAN,KOREKSI,TUNDA"</x:formula1>
    </x:dataValidation>
    <x:dataValidation type="list" sqref="F375">
      <x:formula1>"FLOOD,EARTHQUAKE,FIRE,ACCIDENT,NON_EVENT"</x:formula1>
    </x:dataValidation>
    <x:dataValidation type="list" sqref="E376">
      <x:formula1>"SETUJU_USULAN,KOREKSI,TUNDA"</x:formula1>
    </x:dataValidation>
    <x:dataValidation type="list" sqref="F376">
      <x:formula1>"FLOOD,EARTHQUAKE,FIRE,ACCIDENT,NON_EVENT"</x:formula1>
    </x:dataValidation>
    <x:dataValidation type="list" sqref="E377">
      <x:formula1>"SETUJU_USULAN,KOREKSI,TUNDA"</x:formula1>
    </x:dataValidation>
    <x:dataValidation type="list" sqref="F377">
      <x:formula1>"FLOOD,EARTHQUAKE,FIRE,ACCIDENT,NON_EVENT"</x:formula1>
    </x:dataValidation>
    <x:dataValidation type="list" sqref="E378">
      <x:formula1>"SETUJU_USULAN,KOREKSI,TUNDA"</x:formula1>
    </x:dataValidation>
    <x:dataValidation type="list" sqref="F378">
      <x:formula1>"FLOOD,EARTHQUAKE,FIRE,ACCIDENT,NON_EVENT"</x:formula1>
    </x:dataValidation>
    <x:dataValidation type="list" sqref="E379">
      <x:formula1>"SETUJU_USULAN,KOREKSI,TUNDA"</x:formula1>
    </x:dataValidation>
    <x:dataValidation type="list" sqref="F379">
      <x:formula1>"FLOOD,EARTHQUAKE,FIRE,ACCIDENT,NON_EVENT"</x:formula1>
    </x:dataValidation>
    <x:dataValidation type="list" sqref="E380">
      <x:formula1>"SETUJU_USULAN,KOREKSI,TUNDA"</x:formula1>
    </x:dataValidation>
    <x:dataValidation type="list" sqref="F380">
      <x:formula1>"FLOOD,EARTHQUAKE,FIRE,ACCIDENT,NON_EVENT"</x:formula1>
    </x:dataValidation>
    <x:dataValidation type="list" sqref="E381">
      <x:formula1>"SETUJU_USULAN,KOREKSI,TUNDA"</x:formula1>
    </x:dataValidation>
    <x:dataValidation type="list" sqref="F381">
      <x:formula1>"FLOOD,EARTHQUAKE,FIRE,ACCIDENT,NON_EVENT"</x:formula1>
    </x:dataValidation>
    <x:dataValidation type="list" sqref="E382">
      <x:formula1>"SETUJU_USULAN,KOREKSI,TUNDA"</x:formula1>
    </x:dataValidation>
    <x:dataValidation type="list" sqref="F382">
      <x:formula1>"FLOOD,EARTHQUAKE,FIRE,ACCIDENT,NON_EVENT"</x:formula1>
    </x:dataValidation>
    <x:dataValidation type="list" sqref="E383">
      <x:formula1>"SETUJU_USULAN,KOREKSI,TUNDA"</x:formula1>
    </x:dataValidation>
    <x:dataValidation type="list" sqref="F383">
      <x:formula1>"FLOOD,EARTHQUAKE,FIRE,ACCIDENT,NON_EVENT"</x:formula1>
    </x:dataValidation>
    <x:dataValidation type="list" sqref="E384">
      <x:formula1>"SETUJU_USULAN,KOREKSI,TUNDA"</x:formula1>
    </x:dataValidation>
    <x:dataValidation type="list" sqref="F384">
      <x:formula1>"FLOOD,EARTHQUAKE,FIRE,ACCIDENT,NON_EVENT"</x:formula1>
    </x:dataValidation>
    <x:dataValidation type="list" sqref="E385">
      <x:formula1>"SETUJU_USULAN,KOREKSI,TUNDA"</x:formula1>
    </x:dataValidation>
    <x:dataValidation type="list" sqref="F385">
      <x:formula1>"FLOOD,EARTHQUAKE,FIRE,ACCIDENT,NON_EVENT"</x:formula1>
    </x:dataValidation>
    <x:dataValidation type="list" sqref="E386">
      <x:formula1>"SETUJU_USULAN,KOREKSI,TUNDA"</x:formula1>
    </x:dataValidation>
    <x:dataValidation type="list" sqref="F386">
      <x:formula1>"FLOOD,EARTHQUAKE,FIRE,ACCIDENT,NON_EVENT"</x:formula1>
    </x:dataValidation>
    <x:dataValidation type="list" sqref="E387">
      <x:formula1>"SETUJU_USULAN,KOREKSI,TUNDA"</x:formula1>
    </x:dataValidation>
    <x:dataValidation type="list" sqref="F387">
      <x:formula1>"FLOOD,EARTHQUAKE,FIRE,ACCIDENT,NON_EVENT"</x:formula1>
    </x:dataValidation>
    <x:dataValidation type="list" sqref="E388">
      <x:formula1>"SETUJU_USULAN,KOREKSI,TUNDA"</x:formula1>
    </x:dataValidation>
    <x:dataValidation type="list" sqref="F388">
      <x:formula1>"FLOOD,EARTHQUAKE,FIRE,ACCIDENT,NON_EVENT"</x:formula1>
    </x:dataValidation>
    <x:dataValidation type="list" sqref="E389">
      <x:formula1>"SETUJU_USULAN,KOREKSI,TUNDA"</x:formula1>
    </x:dataValidation>
    <x:dataValidation type="list" sqref="F389">
      <x:formula1>"FLOOD,EARTHQUAKE,FIRE,ACCIDENT,NON_EVENT"</x:formula1>
    </x:dataValidation>
    <x:dataValidation type="list" sqref="E390">
      <x:formula1>"SETUJU_USULAN,KOREKSI,TUNDA"</x:formula1>
    </x:dataValidation>
    <x:dataValidation type="list" sqref="F390">
      <x:formula1>"FLOOD,EARTHQUAKE,FIRE,ACCIDENT,NON_EVENT"</x:formula1>
    </x:dataValidation>
    <x:dataValidation type="list" sqref="E391">
      <x:formula1>"SETUJU_USULAN,KOREKSI,TUNDA"</x:formula1>
    </x:dataValidation>
    <x:dataValidation type="list" sqref="F391">
      <x:formula1>"FLOOD,EARTHQUAKE,FIRE,ACCIDENT,NON_EVENT"</x:formula1>
    </x:dataValidation>
    <x:dataValidation type="list" sqref="E392">
      <x:formula1>"SETUJU_USULAN,KOREKSI,TUNDA"</x:formula1>
    </x:dataValidation>
    <x:dataValidation type="list" sqref="F392">
      <x:formula1>"FLOOD,EARTHQUAKE,FIRE,ACCIDENT,NON_EVENT"</x:formula1>
    </x:dataValidation>
    <x:dataValidation type="list" sqref="E393">
      <x:formula1>"SETUJU_USULAN,KOREKSI,TUNDA"</x:formula1>
    </x:dataValidation>
    <x:dataValidation type="list" sqref="F393">
      <x:formula1>"FLOOD,EARTHQUAKE,FIRE,ACCIDENT,NON_EVENT"</x:formula1>
    </x:dataValidation>
    <x:dataValidation type="list" sqref="E394">
      <x:formula1>"SETUJU_USULAN,KOREKSI,TUNDA"</x:formula1>
    </x:dataValidation>
    <x:dataValidation type="list" sqref="F394">
      <x:formula1>"FLOOD,EARTHQUAKE,FIRE,ACCIDENT,NON_EVENT"</x:formula1>
    </x:dataValidation>
    <x:dataValidation type="list" sqref="E395">
      <x:formula1>"SETUJU_USULAN,KOREKSI,TUNDA"</x:formula1>
    </x:dataValidation>
    <x:dataValidation type="list" sqref="F395">
      <x:formula1>"FLOOD,EARTHQUAKE,FIRE,ACCIDENT,NON_EVENT"</x:formula1>
    </x:dataValidation>
    <x:dataValidation type="list" sqref="E396">
      <x:formula1>"SETUJU_USULAN,KOREKSI,TUNDA"</x:formula1>
    </x:dataValidation>
    <x:dataValidation type="list" sqref="F396">
      <x:formula1>"FLOOD,EARTHQUAKE,FIRE,ACCIDENT,NON_EVENT"</x:formula1>
    </x:dataValidation>
    <x:dataValidation type="list" sqref="E397">
      <x:formula1>"SETUJU_USULAN,KOREKSI,TUNDA"</x:formula1>
    </x:dataValidation>
    <x:dataValidation type="list" sqref="F397">
      <x:formula1>"FLOOD,EARTHQUAKE,FIRE,ACCIDENT,NON_EVENT"</x:formula1>
    </x:dataValidation>
    <x:dataValidation type="list" sqref="E398">
      <x:formula1>"SETUJU_USULAN,KOREKSI,TUNDA"</x:formula1>
    </x:dataValidation>
    <x:dataValidation type="list" sqref="F398">
      <x:formula1>"FLOOD,EARTHQUAKE,FIRE,ACCIDENT,NON_EVENT"</x:formula1>
    </x:dataValidation>
    <x:dataValidation type="list" sqref="E399">
      <x:formula1>"SETUJU_USULAN,KOREKSI,TUNDA"</x:formula1>
    </x:dataValidation>
    <x:dataValidation type="list" sqref="F399">
      <x:formula1>"FLOOD,EARTHQUAKE,FIRE,ACCIDENT,NON_EVENT"</x:formula1>
    </x:dataValidation>
    <x:dataValidation type="list" sqref="E400">
      <x:formula1>"SETUJU_USULAN,KOREKSI,TUNDA"</x:formula1>
    </x:dataValidation>
    <x:dataValidation type="list" sqref="F400">
      <x:formula1>"FLOOD,EARTHQUAKE,FIRE,ACCIDENT,NON_EVENT"</x:formula1>
    </x:dataValidation>
    <x:dataValidation type="list" sqref="E401">
      <x:formula1>"SETUJU_USULAN,KOREKSI,TUNDA"</x:formula1>
    </x:dataValidation>
    <x:dataValidation type="list" sqref="F401">
      <x:formula1>"FLOOD,EARTHQUAKE,FIRE,ACCIDENT,NON_EVENT"</x:formula1>
    </x:dataValidation>
    <x:dataValidation type="list" sqref="E402">
      <x:formula1>"SETUJU_USULAN,KOREKSI,TUNDA"</x:formula1>
    </x:dataValidation>
    <x:dataValidation type="list" sqref="F402">
      <x:formula1>"FLOOD,EARTHQUAKE,FIRE,ACCIDENT,NON_EVENT"</x:formula1>
    </x:dataValidation>
    <x:dataValidation type="list" sqref="E403">
      <x:formula1>"SETUJU_USULAN,KOREKSI,TUNDA"</x:formula1>
    </x:dataValidation>
    <x:dataValidation type="list" sqref="F403">
      <x:formula1>"FLOOD,EARTHQUAKE,FIRE,ACCIDENT,NON_EVENT"</x:formula1>
    </x:dataValidation>
    <x:dataValidation type="list" sqref="E404">
      <x:formula1>"SETUJU_USULAN,KOREKSI,TUNDA"</x:formula1>
    </x:dataValidation>
    <x:dataValidation type="list" sqref="F404">
      <x:formula1>"FLOOD,EARTHQUAKE,FIRE,ACCIDENT,NON_EVENT"</x:formula1>
    </x:dataValidation>
    <x:dataValidation type="list" sqref="E405">
      <x:formula1>"SETUJU_USULAN,KOREKSI,TUNDA"</x:formula1>
    </x:dataValidation>
    <x:dataValidation type="list" sqref="F405">
      <x:formula1>"FLOOD,EARTHQUAKE,FIRE,ACCIDENT,NON_EVENT"</x:formula1>
    </x:dataValidation>
    <x:dataValidation type="list" sqref="E406">
      <x:formula1>"SETUJU_USULAN,KOREKSI,TUNDA"</x:formula1>
    </x:dataValidation>
    <x:dataValidation type="list" sqref="F406">
      <x:formula1>"FLOOD,EARTHQUAKE,FIRE,ACCIDENT,NON_EVENT"</x:formula1>
    </x:dataValidation>
    <x:dataValidation type="list" sqref="E407">
      <x:formula1>"SETUJU_USULAN,KOREKSI,TUNDA"</x:formula1>
    </x:dataValidation>
    <x:dataValidation type="list" sqref="F407">
      <x:formula1>"FLOOD,EARTHQUAKE,FIRE,ACCIDENT,NON_EVENT"</x:formula1>
    </x:dataValidation>
    <x:dataValidation type="list" sqref="E408">
      <x:formula1>"SETUJU_USULAN,KOREKSI,TUNDA"</x:formula1>
    </x:dataValidation>
    <x:dataValidation type="list" sqref="F408">
      <x:formula1>"FLOOD,EARTHQUAKE,FIRE,ACCIDENT,NON_EVENT"</x:formula1>
    </x:dataValidation>
    <x:dataValidation type="list" sqref="E409">
      <x:formula1>"SETUJU_USULAN,KOREKSI,TUNDA"</x:formula1>
    </x:dataValidation>
    <x:dataValidation type="list" sqref="F409">
      <x:formula1>"FLOOD,EARTHQUAKE,FIRE,ACCIDENT,NON_EVENT"</x:formula1>
    </x:dataValidation>
    <x:dataValidation type="list" sqref="E410">
      <x:formula1>"SETUJU_USULAN,KOREKSI,TUNDA"</x:formula1>
    </x:dataValidation>
    <x:dataValidation type="list" sqref="F410">
      <x:formula1>"FLOOD,EARTHQUAKE,FIRE,ACCIDENT,NON_EVENT"</x:formula1>
    </x:dataValidation>
    <x:dataValidation type="list" sqref="E411">
      <x:formula1>"SETUJU_USULAN,KOREKSI,TUNDA"</x:formula1>
    </x:dataValidation>
    <x:dataValidation type="list" sqref="F411">
      <x:formula1>"FLOOD,EARTHQUAKE,FIRE,ACCIDENT,NON_EVENT"</x:formula1>
    </x:dataValidation>
    <x:dataValidation type="list" sqref="E412">
      <x:formula1>"SETUJU_USULAN,KOREKSI,TUNDA"</x:formula1>
    </x:dataValidation>
    <x:dataValidation type="list" sqref="F412">
      <x:formula1>"FLOOD,EARTHQUAKE,FIRE,ACCIDENT,NON_EVENT"</x:formula1>
    </x:dataValidation>
    <x:dataValidation type="list" sqref="E413">
      <x:formula1>"SETUJU_USULAN,KOREKSI,TUNDA"</x:formula1>
    </x:dataValidation>
    <x:dataValidation type="list" sqref="F413">
      <x:formula1>"FLOOD,EARTHQUAKE,FIRE,ACCIDENT,NON_EVENT"</x:formula1>
    </x:dataValidation>
    <x:dataValidation type="list" sqref="E414">
      <x:formula1>"SETUJU_USULAN,KOREKSI,TUNDA"</x:formula1>
    </x:dataValidation>
    <x:dataValidation type="list" sqref="F414">
      <x:formula1>"FLOOD,EARTHQUAKE,FIRE,ACCIDENT,NON_EVENT"</x:formula1>
    </x:dataValidation>
    <x:dataValidation type="list" sqref="E415">
      <x:formula1>"SETUJU_USULAN,KOREKSI,TUNDA"</x:formula1>
    </x:dataValidation>
    <x:dataValidation type="list" sqref="F415">
      <x:formula1>"FLOOD,EARTHQUAKE,FIRE,ACCIDENT,NON_EVENT"</x:formula1>
    </x:dataValidation>
    <x:dataValidation type="list" sqref="E416">
      <x:formula1>"SETUJU_USULAN,KOREKSI,TUNDA"</x:formula1>
    </x:dataValidation>
    <x:dataValidation type="list" sqref="F416">
      <x:formula1>"FLOOD,EARTHQUAKE,FIRE,ACCIDENT,NON_EVENT"</x:formula1>
    </x:dataValidation>
    <x:dataValidation type="list" sqref="E417">
      <x:formula1>"SETUJU_USULAN,KOREKSI,TUNDA"</x:formula1>
    </x:dataValidation>
    <x:dataValidation type="list" sqref="F417">
      <x:formula1>"FLOOD,EARTHQUAKE,FIRE,ACCIDENT,NON_EVENT"</x:formula1>
    </x:dataValidation>
    <x:dataValidation type="list" sqref="E418">
      <x:formula1>"SETUJU_USULAN,KOREKSI,TUNDA"</x:formula1>
    </x:dataValidation>
    <x:dataValidation type="list" sqref="F418">
      <x:formula1>"FLOOD,EARTHQUAKE,FIRE,ACCIDENT,NON_EVENT"</x:formula1>
    </x:dataValidation>
    <x:dataValidation type="list" sqref="E419">
      <x:formula1>"SETUJU_USULAN,KOREKSI,TUNDA"</x:formula1>
    </x:dataValidation>
    <x:dataValidation type="list" sqref="F419">
      <x:formula1>"FLOOD,EARTHQUAKE,FIRE,ACCIDENT,NON_EVENT"</x:formula1>
    </x:dataValidation>
    <x:dataValidation type="list" sqref="E420">
      <x:formula1>"SETUJU_USULAN,KOREKSI,TUNDA"</x:formula1>
    </x:dataValidation>
    <x:dataValidation type="list" sqref="F420">
      <x:formula1>"FLOOD,EARTHQUAKE,FIRE,ACCIDENT,NON_EVENT"</x:formula1>
    </x:dataValidation>
    <x:dataValidation type="list" sqref="E421">
      <x:formula1>"SETUJU_USULAN,KOREKSI,TUNDA"</x:formula1>
    </x:dataValidation>
    <x:dataValidation type="list" sqref="F421">
      <x:formula1>"FLOOD,EARTHQUAKE,FIRE,ACCIDENT,NON_EVENT"</x:formula1>
    </x:dataValidation>
    <x:dataValidation type="list" sqref="E422">
      <x:formula1>"SETUJU_USULAN,KOREKSI,TUNDA"</x:formula1>
    </x:dataValidation>
    <x:dataValidation type="list" sqref="F422">
      <x:formula1>"FLOOD,EARTHQUAKE,FIRE,ACCIDENT,NON_EVENT"</x:formula1>
    </x:dataValidation>
    <x:dataValidation type="list" sqref="E423">
      <x:formula1>"SETUJU_USULAN,KOREKSI,TUNDA"</x:formula1>
    </x:dataValidation>
    <x:dataValidation type="list" sqref="F423">
      <x:formula1>"FLOOD,EARTHQUAKE,FIRE,ACCIDENT,NON_EVENT"</x:formula1>
    </x:dataValidation>
    <x:dataValidation type="list" sqref="E424">
      <x:formula1>"SETUJU_USULAN,KOREKSI,TUNDA"</x:formula1>
    </x:dataValidation>
    <x:dataValidation type="list" sqref="F424">
      <x:formula1>"FLOOD,EARTHQUAKE,FIRE,ACCIDENT,NON_EVENT"</x:formula1>
    </x:dataValidation>
    <x:dataValidation type="list" sqref="E425">
      <x:formula1>"SETUJU_USULAN,KOREKSI,TUNDA"</x:formula1>
    </x:dataValidation>
    <x:dataValidation type="list" sqref="F425">
      <x:formula1>"FLOOD,EARTHQUAKE,FIRE,ACCIDENT,NON_EVENT"</x:formula1>
    </x:dataValidation>
    <x:dataValidation type="list" sqref="E426">
      <x:formula1>"SETUJU_USULAN,KOREKSI,TUNDA"</x:formula1>
    </x:dataValidation>
    <x:dataValidation type="list" sqref="F426">
      <x:formula1>"FLOOD,EARTHQUAKE,FIRE,ACCIDENT,NON_EVENT"</x:formula1>
    </x:dataValidation>
    <x:dataValidation type="list" sqref="E427">
      <x:formula1>"SETUJU_USULAN,KOREKSI,TUNDA"</x:formula1>
    </x:dataValidation>
    <x:dataValidation type="list" sqref="F427">
      <x:formula1>"FLOOD,EARTHQUAKE,FIRE,ACCIDENT,NON_EVENT"</x:formula1>
    </x:dataValidation>
    <x:dataValidation type="list" sqref="E428">
      <x:formula1>"SETUJU_USULAN,KOREKSI,TUNDA"</x:formula1>
    </x:dataValidation>
    <x:dataValidation type="list" sqref="F428">
      <x:formula1>"FLOOD,EARTHQUAKE,FIRE,ACCIDENT,NON_EVENT"</x:formula1>
    </x:dataValidation>
    <x:dataValidation type="list" sqref="E429">
      <x:formula1>"SETUJU_USULAN,KOREKSI,TUNDA"</x:formula1>
    </x:dataValidation>
    <x:dataValidation type="list" sqref="F429">
      <x:formula1>"FLOOD,EARTHQUAKE,FIRE,ACCIDENT,NON_EVENT"</x:formula1>
    </x:dataValidation>
    <x:dataValidation type="list" sqref="E430">
      <x:formula1>"SETUJU_USULAN,KOREKSI,TUNDA"</x:formula1>
    </x:dataValidation>
    <x:dataValidation type="list" sqref="F430">
      <x:formula1>"FLOOD,EARTHQUAKE,FIRE,ACCIDENT,NON_EVENT"</x:formula1>
    </x:dataValidation>
    <x:dataValidation type="list" sqref="E431">
      <x:formula1>"SETUJU_USULAN,KOREKSI,TUNDA"</x:formula1>
    </x:dataValidation>
    <x:dataValidation type="list" sqref="F431">
      <x:formula1>"FLOOD,EARTHQUAKE,FIRE,ACCIDENT,NON_EVENT"</x:formula1>
    </x:dataValidation>
    <x:dataValidation type="list" sqref="E432">
      <x:formula1>"SETUJU_USULAN,KOREKSI,TUNDA"</x:formula1>
    </x:dataValidation>
    <x:dataValidation type="list" sqref="F432">
      <x:formula1>"FLOOD,EARTHQUAKE,FIRE,ACCIDENT,NON_EVENT"</x:formula1>
    </x:dataValidation>
    <x:dataValidation type="list" sqref="E433">
      <x:formula1>"SETUJU_USULAN,KOREKSI,TUNDA"</x:formula1>
    </x:dataValidation>
    <x:dataValidation type="list" sqref="F433">
      <x:formula1>"FLOOD,EARTHQUAKE,FIRE,ACCIDENT,NON_EVENT"</x:formula1>
    </x:dataValidation>
    <x:dataValidation type="list" sqref="E434">
      <x:formula1>"SETUJU_USULAN,KOREKSI,TUNDA"</x:formula1>
    </x:dataValidation>
    <x:dataValidation type="list" sqref="F434">
      <x:formula1>"FLOOD,EARTHQUAKE,FIRE,ACCIDENT,NON_EVENT"</x:formula1>
    </x:dataValidation>
    <x:dataValidation type="list" sqref="E435">
      <x:formula1>"SETUJU_USULAN,KOREKSI,TUNDA"</x:formula1>
    </x:dataValidation>
    <x:dataValidation type="list" sqref="F435">
      <x:formula1>"FLOOD,EARTHQUAKE,FIRE,ACCIDENT,NON_EVENT"</x:formula1>
    </x:dataValidation>
    <x:dataValidation type="list" sqref="E436">
      <x:formula1>"SETUJU_USULAN,KOREKSI,TUNDA"</x:formula1>
    </x:dataValidation>
    <x:dataValidation type="list" sqref="F436">
      <x:formula1>"FLOOD,EARTHQUAKE,FIRE,ACCIDENT,NON_EVENT"</x:formula1>
    </x:dataValidation>
    <x:dataValidation type="list" sqref="E437">
      <x:formula1>"SETUJU_USULAN,KOREKSI,TUNDA"</x:formula1>
    </x:dataValidation>
    <x:dataValidation type="list" sqref="F437">
      <x:formula1>"FLOOD,EARTHQUAKE,FIRE,ACCIDENT,NON_EVENT"</x:formula1>
    </x:dataValidation>
    <x:dataValidation type="list" sqref="E438">
      <x:formula1>"SETUJU_USULAN,KOREKSI,TUNDA"</x:formula1>
    </x:dataValidation>
    <x:dataValidation type="list" sqref="F438">
      <x:formula1>"FLOOD,EARTHQUAKE,FIRE,ACCIDENT,NON_EVENT"</x:formula1>
    </x:dataValidation>
    <x:dataValidation type="list" sqref="E439">
      <x:formula1>"SETUJU_USULAN,KOREKSI,TUNDA"</x:formula1>
    </x:dataValidation>
    <x:dataValidation type="list" sqref="F439">
      <x:formula1>"FLOOD,EARTHQUAKE,FIRE,ACCIDENT,NON_EVENT"</x:formula1>
    </x:dataValidation>
    <x:dataValidation type="list" sqref="E440">
      <x:formula1>"SETUJU_USULAN,KOREKSI,TUNDA"</x:formula1>
    </x:dataValidation>
    <x:dataValidation type="list" sqref="F440">
      <x:formula1>"FLOOD,EARTHQUAKE,FIRE,ACCIDENT,NON_EVENT"</x:formula1>
    </x:dataValidation>
    <x:dataValidation type="list" sqref="E441">
      <x:formula1>"SETUJU_USULAN,KOREKSI,TUNDA"</x:formula1>
    </x:dataValidation>
    <x:dataValidation type="list" sqref="F441">
      <x:formula1>"FLOOD,EARTHQUAKE,FIRE,ACCIDENT,NON_EVENT"</x:formula1>
    </x:dataValidation>
    <x:dataValidation type="list" sqref="E442">
      <x:formula1>"SETUJU_USULAN,KOREKSI,TUNDA"</x:formula1>
    </x:dataValidation>
    <x:dataValidation type="list" sqref="F442">
      <x:formula1>"FLOOD,EARTHQUAKE,FIRE,ACCIDENT,NON_EVENT"</x:formula1>
    </x:dataValidation>
    <x:dataValidation type="list" sqref="E443">
      <x:formula1>"SETUJU_USULAN,KOREKSI,TUNDA"</x:formula1>
    </x:dataValidation>
    <x:dataValidation type="list" sqref="F443">
      <x:formula1>"FLOOD,EARTHQUAKE,FIRE,ACCIDENT,NON_EVENT"</x:formula1>
    </x:dataValidation>
    <x:dataValidation type="list" sqref="E444">
      <x:formula1>"SETUJU_USULAN,KOREKSI,TUNDA"</x:formula1>
    </x:dataValidation>
    <x:dataValidation type="list" sqref="F444">
      <x:formula1>"FLOOD,EARTHQUAKE,FIRE,ACCIDENT,NON_EVENT"</x:formula1>
    </x:dataValidation>
    <x:dataValidation type="list" sqref="E445">
      <x:formula1>"SETUJU_USULAN,KOREKSI,TUNDA"</x:formula1>
    </x:dataValidation>
    <x:dataValidation type="list" sqref="F445">
      <x:formula1>"FLOOD,EARTHQUAKE,FIRE,ACCIDENT,NON_EVENT"</x:formula1>
    </x:dataValidation>
    <x:dataValidation type="list" sqref="E446">
      <x:formula1>"SETUJU_USULAN,KOREKSI,TUNDA"</x:formula1>
    </x:dataValidation>
    <x:dataValidation type="list" sqref="F446">
      <x:formula1>"FLOOD,EARTHQUAKE,FIRE,ACCIDENT,NON_EVENT"</x:formula1>
    </x:dataValidation>
    <x:dataValidation type="list" sqref="E447">
      <x:formula1>"SETUJU_USULAN,KOREKSI,TUNDA"</x:formula1>
    </x:dataValidation>
    <x:dataValidation type="list" sqref="F447">
      <x:formula1>"FLOOD,EARTHQUAKE,FIRE,ACCIDENT,NON_EVENT"</x:formula1>
    </x:dataValidation>
    <x:dataValidation type="list" sqref="E448">
      <x:formula1>"SETUJU_USULAN,KOREKSI,TUNDA"</x:formula1>
    </x:dataValidation>
    <x:dataValidation type="list" sqref="F448">
      <x:formula1>"FLOOD,EARTHQUAKE,FIRE,ACCIDENT,NON_EVENT"</x:formula1>
    </x:dataValidation>
    <x:dataValidation type="list" sqref="E449">
      <x:formula1>"SETUJU_USULAN,KOREKSI,TUNDA"</x:formula1>
    </x:dataValidation>
    <x:dataValidation type="list" sqref="F449">
      <x:formula1>"FLOOD,EARTHQUAKE,FIRE,ACCIDENT,NON_EVENT"</x:formula1>
    </x:dataValidation>
    <x:dataValidation type="list" sqref="E450">
      <x:formula1>"SETUJU_USULAN,KOREKSI,TUNDA"</x:formula1>
    </x:dataValidation>
    <x:dataValidation type="list" sqref="F450">
      <x:formula1>"FLOOD,EARTHQUAKE,FIRE,ACCIDENT,NON_EVENT"</x:formula1>
    </x:dataValidation>
    <x:dataValidation type="list" sqref="E451">
      <x:formula1>"SETUJU_USULAN,KOREKSI,TUNDA"</x:formula1>
    </x:dataValidation>
    <x:dataValidation type="list" sqref="F451">
      <x:formula1>"FLOOD,EARTHQUAKE,FIRE,ACCIDENT,NON_EVENT"</x:formula1>
    </x:dataValidation>
    <x:dataValidation type="list" sqref="E452">
      <x:formula1>"SETUJU_USULAN,KOREKSI,TUNDA"</x:formula1>
    </x:dataValidation>
    <x:dataValidation type="list" sqref="F452">
      <x:formula1>"FLOOD,EARTHQUAKE,FIRE,ACCIDENT,NON_EVENT"</x:formula1>
    </x:dataValidation>
    <x:dataValidation type="list" sqref="E453">
      <x:formula1>"SETUJU_USULAN,KOREKSI,TUNDA"</x:formula1>
    </x:dataValidation>
    <x:dataValidation type="list" sqref="F453">
      <x:formula1>"FLOOD,EARTHQUAKE,FIRE,ACCIDENT,NON_EVENT"</x:formula1>
    </x:dataValidation>
    <x:dataValidation type="list" sqref="E454">
      <x:formula1>"SETUJU_USULAN,KOREKSI,TUNDA"</x:formula1>
    </x:dataValidation>
    <x:dataValidation type="list" sqref="F454">
      <x:formula1>"FLOOD,EARTHQUAKE,FIRE,ACCIDENT,NON_EVENT"</x:formula1>
    </x:dataValidation>
    <x:dataValidation type="list" sqref="E455">
      <x:formula1>"SETUJU_USULAN,KOREKSI,TUNDA"</x:formula1>
    </x:dataValidation>
    <x:dataValidation type="list" sqref="F455">
      <x:formula1>"FLOOD,EARTHQUAKE,FIRE,ACCIDENT,NON_EVENT"</x:formula1>
    </x:dataValidation>
    <x:dataValidation type="list" sqref="E456">
      <x:formula1>"SETUJU_USULAN,KOREKSI,TUNDA"</x:formula1>
    </x:dataValidation>
    <x:dataValidation type="list" sqref="F456">
      <x:formula1>"FLOOD,EARTHQUAKE,FIRE,ACCIDENT,NON_EVENT"</x:formula1>
    </x:dataValidation>
    <x:dataValidation type="list" sqref="E457">
      <x:formula1>"SETUJU_USULAN,KOREKSI,TUNDA"</x:formula1>
    </x:dataValidation>
    <x:dataValidation type="list" sqref="F457">
      <x:formula1>"FLOOD,EARTHQUAKE,FIRE,ACCIDENT,NON_EVENT"</x:formula1>
    </x:dataValidation>
    <x:dataValidation type="list" sqref="E458">
      <x:formula1>"SETUJU_USULAN,KOREKSI,TUNDA"</x:formula1>
    </x:dataValidation>
    <x:dataValidation type="list" sqref="F458">
      <x:formula1>"FLOOD,EARTHQUAKE,FIRE,ACCIDENT,NON_EVENT"</x:formula1>
    </x:dataValidation>
    <x:dataValidation type="list" sqref="E459">
      <x:formula1>"SETUJU_USULAN,KOREKSI,TUNDA"</x:formula1>
    </x:dataValidation>
    <x:dataValidation type="list" sqref="F459">
      <x:formula1>"FLOOD,EARTHQUAKE,FIRE,ACCIDENT,NON_EVENT"</x:formula1>
    </x:dataValidation>
    <x:dataValidation type="list" sqref="E460">
      <x:formula1>"SETUJU_USULAN,KOREKSI,TUNDA"</x:formula1>
    </x:dataValidation>
    <x:dataValidation type="list" sqref="F460">
      <x:formula1>"FLOOD,EARTHQUAKE,FIRE,ACCIDENT,NON_EVENT"</x:formula1>
    </x:dataValidation>
    <x:dataValidation type="list" sqref="E461">
      <x:formula1>"SETUJU_USULAN,KOREKSI,TUNDA"</x:formula1>
    </x:dataValidation>
    <x:dataValidation type="list" sqref="F461">
      <x:formula1>"FLOOD,EARTHQUAKE,FIRE,ACCIDENT,NON_EVENT"</x:formula1>
    </x:dataValidation>
    <x:dataValidation type="list" sqref="E462">
      <x:formula1>"SETUJU_USULAN,KOREKSI,TUNDA"</x:formula1>
    </x:dataValidation>
    <x:dataValidation type="list" sqref="F462">
      <x:formula1>"FLOOD,EARTHQUAKE,FIRE,ACCIDENT,NON_EVENT"</x:formula1>
    </x:dataValidation>
    <x:dataValidation type="list" sqref="E463">
      <x:formula1>"SETUJU_USULAN,KOREKSI,TUNDA"</x:formula1>
    </x:dataValidation>
    <x:dataValidation type="list" sqref="F463">
      <x:formula1>"FLOOD,EARTHQUAKE,FIRE,ACCIDENT,NON_EVENT"</x:formula1>
    </x:dataValidation>
    <x:dataValidation type="list" sqref="E464">
      <x:formula1>"SETUJU_USULAN,KOREKSI,TUNDA"</x:formula1>
    </x:dataValidation>
    <x:dataValidation type="list" sqref="F464">
      <x:formula1>"FLOOD,EARTHQUAKE,FIRE,ACCIDENT,NON_EVENT"</x:formula1>
    </x:dataValidation>
    <x:dataValidation type="list" sqref="E465">
      <x:formula1>"SETUJU_USULAN,KOREKSI,TUNDA"</x:formula1>
    </x:dataValidation>
    <x:dataValidation type="list" sqref="F465">
      <x:formula1>"FLOOD,EARTHQUAKE,FIRE,ACCIDENT,NON_EVENT"</x:formula1>
    </x:dataValidation>
    <x:dataValidation type="list" sqref="E466">
      <x:formula1>"SETUJU_USULAN,KOREKSI,TUNDA"</x:formula1>
    </x:dataValidation>
    <x:dataValidation type="list" sqref="F466">
      <x:formula1>"FLOOD,EARTHQUAKE,FIRE,ACCIDENT,NON_EVENT"</x:formula1>
    </x:dataValidation>
    <x:dataValidation type="list" sqref="E467">
      <x:formula1>"SETUJU_USULAN,KOREKSI,TUNDA"</x:formula1>
    </x:dataValidation>
    <x:dataValidation type="list" sqref="F467">
      <x:formula1>"FLOOD,EARTHQUAKE,FIRE,ACCIDENT,NON_EVENT"</x:formula1>
    </x:dataValidation>
    <x:dataValidation type="list" sqref="E468">
      <x:formula1>"SETUJU_USULAN,KOREKSI,TUNDA"</x:formula1>
    </x:dataValidation>
    <x:dataValidation type="list" sqref="F468">
      <x:formula1>"FLOOD,EARTHQUAKE,FIRE,ACCIDENT,NON_EVENT"</x:formula1>
    </x:dataValidation>
    <x:dataValidation type="list" sqref="E469">
      <x:formula1>"SETUJU_USULAN,KOREKSI,TUNDA"</x:formula1>
    </x:dataValidation>
    <x:dataValidation type="list" sqref="F469">
      <x:formula1>"FLOOD,EARTHQUAKE,FIRE,ACCIDENT,NON_EVENT"</x:formula1>
    </x:dataValidation>
    <x:dataValidation type="list" sqref="E470">
      <x:formula1>"SETUJU_USULAN,KOREKSI,TUNDA"</x:formula1>
    </x:dataValidation>
    <x:dataValidation type="list" sqref="F470">
      <x:formula1>"FLOOD,EARTHQUAKE,FIRE,ACCIDENT,NON_EVENT"</x:formula1>
    </x:dataValidation>
    <x:dataValidation type="list" sqref="E471">
      <x:formula1>"SETUJU_USULAN,KOREKSI,TUNDA"</x:formula1>
    </x:dataValidation>
    <x:dataValidation type="list" sqref="F471">
      <x:formula1>"FLOOD,EARTHQUAKE,FIRE,ACCIDENT,NON_EVENT"</x:formula1>
    </x:dataValidation>
    <x:dataValidation type="list" sqref="E472">
      <x:formula1>"SETUJU_USULAN,KOREKSI,TUNDA"</x:formula1>
    </x:dataValidation>
    <x:dataValidation type="list" sqref="F472">
      <x:formula1>"FLOOD,EARTHQUAKE,FIRE,ACCIDENT,NON_EVENT"</x:formula1>
    </x:dataValidation>
    <x:dataValidation type="list" sqref="E473">
      <x:formula1>"SETUJU_USULAN,KOREKSI,TUNDA"</x:formula1>
    </x:dataValidation>
    <x:dataValidation type="list" sqref="F473">
      <x:formula1>"FLOOD,EARTHQUAKE,FIRE,ACCIDENT,NON_EVENT"</x:formula1>
    </x:dataValidation>
    <x:dataValidation type="list" sqref="E474">
      <x:formula1>"SETUJU_USULAN,KOREKSI,TUNDA"</x:formula1>
    </x:dataValidation>
    <x:dataValidation type="list" sqref="F474">
      <x:formula1>"FLOOD,EARTHQUAKE,FIRE,ACCIDENT,NON_EVENT"</x:formula1>
    </x:dataValidation>
    <x:dataValidation type="list" sqref="E475">
      <x:formula1>"SETUJU_USULAN,KOREKSI,TUNDA"</x:formula1>
    </x:dataValidation>
    <x:dataValidation type="list" sqref="F475">
      <x:formula1>"FLOOD,EARTHQUAKE,FIRE,ACCIDENT,NON_EVENT"</x:formula1>
    </x:dataValidation>
    <x:dataValidation type="list" sqref="E476">
      <x:formula1>"SETUJU_USULAN,KOREKSI,TUNDA"</x:formula1>
    </x:dataValidation>
    <x:dataValidation type="list" sqref="F476">
      <x:formula1>"FLOOD,EARTHQUAKE,FIRE,ACCIDENT,NON_EVENT"</x:formula1>
    </x:dataValidation>
    <x:dataValidation type="list" sqref="E477">
      <x:formula1>"SETUJU_USULAN,KOREKSI,TUNDA"</x:formula1>
    </x:dataValidation>
    <x:dataValidation type="list" sqref="F477">
      <x:formula1>"FLOOD,EARTHQUAKE,FIRE,ACCIDENT,NON_EVENT"</x:formula1>
    </x:dataValidation>
    <x:dataValidation type="list" sqref="E478">
      <x:formula1>"SETUJU_USULAN,KOREKSI,TUNDA"</x:formula1>
    </x:dataValidation>
    <x:dataValidation type="list" sqref="F478">
      <x:formula1>"FLOOD,EARTHQUAKE,FIRE,ACCIDENT,NON_EVENT"</x:formula1>
    </x:dataValidation>
    <x:dataValidation type="list" sqref="E479">
      <x:formula1>"SETUJU_USULAN,KOREKSI,TUNDA"</x:formula1>
    </x:dataValidation>
    <x:dataValidation type="list" sqref="F479">
      <x:formula1>"FLOOD,EARTHQUAKE,FIRE,ACCIDENT,NON_EVENT"</x:formula1>
    </x:dataValidation>
    <x:dataValidation type="list" sqref="E480">
      <x:formula1>"SETUJU_USULAN,KOREKSI,TUNDA"</x:formula1>
    </x:dataValidation>
    <x:dataValidation type="list" sqref="F480">
      <x:formula1>"FLOOD,EARTHQUAKE,FIRE,ACCIDENT,NON_EVENT"</x:formula1>
    </x:dataValidation>
    <x:dataValidation type="list" sqref="E481">
      <x:formula1>"SETUJU_USULAN,KOREKSI,TUNDA"</x:formula1>
    </x:dataValidation>
    <x:dataValidation type="list" sqref="F481">
      <x:formula1>"FLOOD,EARTHQUAKE,FIRE,ACCIDENT,NON_EVENT"</x:formula1>
    </x:dataValidation>
    <x:dataValidation type="list" sqref="E482">
      <x:formula1>"SETUJU_USULAN,KOREKSI,TUNDA"</x:formula1>
    </x:dataValidation>
    <x:dataValidation type="list" sqref="F482">
      <x:formula1>"FLOOD,EARTHQUAKE,FIRE,ACCIDENT,NON_EVENT"</x:formula1>
    </x:dataValidation>
    <x:dataValidation type="list" sqref="E483">
      <x:formula1>"SETUJU_USULAN,KOREKSI,TUNDA"</x:formula1>
    </x:dataValidation>
    <x:dataValidation type="list" sqref="F483">
      <x:formula1>"FLOOD,EARTHQUAKE,FIRE,ACCIDENT,NON_EVENT"</x:formula1>
    </x:dataValidation>
    <x:dataValidation type="list" sqref="E484">
      <x:formula1>"SETUJU_USULAN,KOREKSI,TUNDA"</x:formula1>
    </x:dataValidation>
    <x:dataValidation type="list" sqref="F484">
      <x:formula1>"FLOOD,EARTHQUAKE,FIRE,ACCIDENT,NON_EVENT"</x:formula1>
    </x:dataValidation>
    <x:dataValidation type="list" sqref="E485">
      <x:formula1>"SETUJU_USULAN,KOREKSI,TUNDA"</x:formula1>
    </x:dataValidation>
    <x:dataValidation type="list" sqref="F485">
      <x:formula1>"FLOOD,EARTHQUAKE,FIRE,ACCIDENT,NON_EVENT"</x:formula1>
    </x:dataValidation>
    <x:dataValidation type="list" sqref="E486">
      <x:formula1>"SETUJU_USULAN,KOREKSI,TUNDA"</x:formula1>
    </x:dataValidation>
    <x:dataValidation type="list" sqref="F486">
      <x:formula1>"FLOOD,EARTHQUAKE,FIRE,ACCIDENT,NON_EVENT"</x:formula1>
    </x:dataValidation>
    <x:dataValidation type="list" sqref="E487">
      <x:formula1>"SETUJU_USULAN,KOREKSI,TUNDA"</x:formula1>
    </x:dataValidation>
    <x:dataValidation type="list" sqref="F487">
      <x:formula1>"FLOOD,EARTHQUAKE,FIRE,ACCIDENT,NON_EVENT"</x:formula1>
    </x:dataValidation>
    <x:dataValidation type="list" sqref="E488">
      <x:formula1>"SETUJU_USULAN,KOREKSI,TUNDA"</x:formula1>
    </x:dataValidation>
    <x:dataValidation type="list" sqref="F488">
      <x:formula1>"FLOOD,EARTHQUAKE,FIRE,ACCIDENT,NON_EVENT"</x:formula1>
    </x:dataValidation>
    <x:dataValidation type="list" sqref="E489">
      <x:formula1>"SETUJU_USULAN,KOREKSI,TUNDA"</x:formula1>
    </x:dataValidation>
    <x:dataValidation type="list" sqref="F489">
      <x:formula1>"FLOOD,EARTHQUAKE,FIRE,ACCIDENT,NON_EVENT"</x:formula1>
    </x:dataValidation>
    <x:dataValidation type="list" sqref="E490">
      <x:formula1>"SETUJU_USULAN,KOREKSI,TUNDA"</x:formula1>
    </x:dataValidation>
    <x:dataValidation type="list" sqref="F490">
      <x:formula1>"FLOOD,EARTHQUAKE,FIRE,ACCIDENT,NON_EVENT"</x:formula1>
    </x:dataValidation>
    <x:dataValidation type="list" sqref="E491">
      <x:formula1>"SETUJU_USULAN,KOREKSI,TUNDA"</x:formula1>
    </x:dataValidation>
    <x:dataValidation type="list" sqref="F491">
      <x:formula1>"FLOOD,EARTHQUAKE,FIRE,ACCIDENT,NON_EVENT"</x:formula1>
    </x:dataValidation>
    <x:dataValidation type="list" sqref="E492">
      <x:formula1>"SETUJU_USULAN,KOREKSI,TUNDA"</x:formula1>
    </x:dataValidation>
    <x:dataValidation type="list" sqref="F492">
      <x:formula1>"FLOOD,EARTHQUAKE,FIRE,ACCIDENT,NON_EVENT"</x:formula1>
    </x:dataValidation>
    <x:dataValidation type="list" sqref="E493">
      <x:formula1>"SETUJU_USULAN,KOREKSI,TUNDA"</x:formula1>
    </x:dataValidation>
    <x:dataValidation type="list" sqref="F493">
      <x:formula1>"FLOOD,EARTHQUAKE,FIRE,ACCIDENT,NON_EVENT"</x:formula1>
    </x:dataValidation>
    <x:dataValidation type="list" sqref="E494">
      <x:formula1>"SETUJU_USULAN,KOREKSI,TUNDA"</x:formula1>
    </x:dataValidation>
    <x:dataValidation type="list" sqref="F494">
      <x:formula1>"FLOOD,EARTHQUAKE,FIRE,ACCIDENT,NON_EVENT"</x:formula1>
    </x:dataValidation>
    <x:dataValidation type="list" sqref="E495">
      <x:formula1>"SETUJU_USULAN,KOREKSI,TUNDA"</x:formula1>
    </x:dataValidation>
    <x:dataValidation type="list" sqref="F495">
      <x:formula1>"FLOOD,EARTHQUAKE,FIRE,ACCIDENT,NON_EVENT"</x:formula1>
    </x:dataValidation>
    <x:dataValidation type="list" sqref="E496">
      <x:formula1>"SETUJU_USULAN,KOREKSI,TUNDA"</x:formula1>
    </x:dataValidation>
    <x:dataValidation type="list" sqref="F496">
      <x:formula1>"FLOOD,EARTHQUAKE,FIRE,ACCIDENT,NON_EVENT"</x:formula1>
    </x:dataValidation>
    <x:dataValidation type="list" sqref="E497">
      <x:formula1>"SETUJU_USULAN,KOREKSI,TUNDA"</x:formula1>
    </x:dataValidation>
    <x:dataValidation type="list" sqref="F497">
      <x:formula1>"FLOOD,EARTHQUAKE,FIRE,ACCIDENT,NON_EVENT"</x:formula1>
    </x:dataValidation>
    <x:dataValidation type="list" sqref="E498">
      <x:formula1>"SETUJU_USULAN,KOREKSI,TUNDA"</x:formula1>
    </x:dataValidation>
    <x:dataValidation type="list" sqref="F498">
      <x:formula1>"FLOOD,EARTHQUAKE,FIRE,ACCIDENT,NON_EVENT"</x:formula1>
    </x:dataValidation>
    <x:dataValidation type="list" sqref="E499">
      <x:formula1>"SETUJU_USULAN,KOREKSI,TUNDA"</x:formula1>
    </x:dataValidation>
    <x:dataValidation type="list" sqref="F499">
      <x:formula1>"FLOOD,EARTHQUAKE,FIRE,ACCIDENT,NON_EVENT"</x:formula1>
    </x:dataValidation>
    <x:dataValidation type="list" sqref="E500">
      <x:formula1>"SETUJU_USULAN,KOREKSI,TUNDA"</x:formula1>
    </x:dataValidation>
    <x:dataValidation type="list" sqref="F500">
      <x:formula1>"FLOOD,EARTHQUAKE,FIRE,ACCIDENT,NON_EVENT"</x:formula1>
    </x:dataValidation>
    <x:dataValidation type="list" sqref="E501">
      <x:formula1>"SETUJU_USULAN,KOREKSI,TUNDA"</x:formula1>
    </x:dataValidation>
    <x:dataValidation type="list" sqref="F501">
      <x:formula1>"FLOOD,EARTHQUAKE,FIRE,ACCIDENT,NON_EVENT"</x:formula1>
    </x:dataValidation>
    <x:dataValidation type="list" sqref="E502">
      <x:formula1>"SETUJU_USULAN,KOREKSI,TUNDA"</x:formula1>
    </x:dataValidation>
    <x:dataValidation type="list" sqref="F502">
      <x:formula1>"FLOOD,EARTHQUAKE,FIRE,ACCIDENT,NON_EVENT"</x:formula1>
    </x:dataValidation>
    <x:dataValidation type="list" sqref="E503">
      <x:formula1>"SETUJU_USULAN,KOREKSI,TUNDA"</x:formula1>
    </x:dataValidation>
    <x:dataValidation type="list" sqref="F503">
      <x:formula1>"FLOOD,EARTHQUAKE,FIRE,ACCIDENT,NON_EVENT"</x:formula1>
    </x:dataValidation>
    <x:dataValidation type="list" sqref="E504">
      <x:formula1>"SETUJU_USULAN,KOREKSI,TUNDA"</x:formula1>
    </x:dataValidation>
    <x:dataValidation type="list" sqref="F504">
      <x:formula1>"FLOOD,EARTHQUAKE,FIRE,ACCIDENT,NON_EVENT"</x:formula1>
    </x:dataValidation>
    <x:dataValidation type="list" sqref="E505">
      <x:formula1>"SETUJU_USULAN,KOREKSI,TUNDA"</x:formula1>
    </x:dataValidation>
    <x:dataValidation type="list" sqref="F505">
      <x:formula1>"FLOOD,EARTHQUAKE,FIRE,ACCIDENT,NON_EVENT"</x:formula1>
    </x:dataValidation>
    <x:dataValidation type="list" sqref="E506">
      <x:formula1>"SETUJU_USULAN,KOREKSI,TUNDA"</x:formula1>
    </x:dataValidation>
    <x:dataValidation type="list" sqref="F506">
      <x:formula1>"FLOOD,EARTHQUAKE,FIRE,ACCIDENT,NON_EVENT"</x:formula1>
    </x:dataValidation>
    <x:dataValidation type="list" sqref="E507">
      <x:formula1>"SETUJU_USULAN,KOREKSI,TUNDA"</x:formula1>
    </x:dataValidation>
    <x:dataValidation type="list" sqref="F507">
      <x:formula1>"FLOOD,EARTHQUAKE,FIRE,ACCIDENT,NON_EVENT"</x:formula1>
    </x:dataValidation>
    <x:dataValidation type="list" sqref="E508">
      <x:formula1>"SETUJU_USULAN,KOREKSI,TUNDA"</x:formula1>
    </x:dataValidation>
    <x:dataValidation type="list" sqref="F508">
      <x:formula1>"FLOOD,EARTHQUAKE,FIRE,ACCIDENT,NON_EVENT"</x:formula1>
    </x:dataValidation>
    <x:dataValidation type="list" sqref="E509">
      <x:formula1>"SETUJU_USULAN,KOREKSI,TUNDA"</x:formula1>
    </x:dataValidation>
    <x:dataValidation type="list" sqref="F509">
      <x:formula1>"FLOOD,EARTHQUAKE,FIRE,ACCIDENT,NON_EVENT"</x:formula1>
    </x:dataValidation>
    <x:dataValidation type="list" sqref="E510">
      <x:formula1>"SETUJU_USULAN,KOREKSI,TUNDA"</x:formula1>
    </x:dataValidation>
    <x:dataValidation type="list" sqref="F510">
      <x:formula1>"FLOOD,EARTHQUAKE,FIRE,ACCIDENT,NON_EVENT"</x:formula1>
    </x:dataValidation>
    <x:dataValidation type="list" sqref="E511">
      <x:formula1>"SETUJU_USULAN,KOREKSI,TUNDA"</x:formula1>
    </x:dataValidation>
    <x:dataValidation type="list" sqref="F511">
      <x:formula1>"FLOOD,EARTHQUAKE,FIRE,ACCIDENT,NON_EVENT"</x:formula1>
    </x:dataValidation>
    <x:dataValidation type="list" sqref="E512">
      <x:formula1>"SETUJU_USULAN,KOREKSI,TUNDA"</x:formula1>
    </x:dataValidation>
    <x:dataValidation type="list" sqref="F512">
      <x:formula1>"FLOOD,EARTHQUAKE,FIRE,ACCIDENT,NON_EVENT"</x:formula1>
    </x:dataValidation>
    <x:dataValidation type="list" sqref="E513">
      <x:formula1>"SETUJU_USULAN,KOREKSI,TUNDA"</x:formula1>
    </x:dataValidation>
    <x:dataValidation type="list" sqref="F513">
      <x:formula1>"FLOOD,EARTHQUAKE,FIRE,ACCIDENT,NON_EVENT"</x:formula1>
    </x:dataValidation>
    <x:dataValidation type="list" sqref="E514">
      <x:formula1>"SETUJU_USULAN,KOREKSI,TUNDA"</x:formula1>
    </x:dataValidation>
    <x:dataValidation type="list" sqref="F514">
      <x:formula1>"FLOOD,EARTHQUAKE,FIRE,ACCIDENT,NON_EVENT"</x:formula1>
    </x:dataValidation>
    <x:dataValidation type="list" sqref="E515">
      <x:formula1>"SETUJU_USULAN,KOREKSI,TUNDA"</x:formula1>
    </x:dataValidation>
    <x:dataValidation type="list" sqref="F515">
      <x:formula1>"FLOOD,EARTHQUAKE,FIRE,ACCIDENT,NON_EVENT"</x:formula1>
    </x:dataValidation>
    <x:dataValidation type="list" sqref="E516">
      <x:formula1>"SETUJU_USULAN,KOREKSI,TUNDA"</x:formula1>
    </x:dataValidation>
    <x:dataValidation type="list" sqref="F516">
      <x:formula1>"FLOOD,EARTHQUAKE,FIRE,ACCIDENT,NON_EVENT"</x:formula1>
    </x:dataValidation>
    <x:dataValidation type="list" sqref="E517">
      <x:formula1>"SETUJU_USULAN,KOREKSI,TUNDA"</x:formula1>
    </x:dataValidation>
    <x:dataValidation type="list" sqref="F517">
      <x:formula1>"FLOOD,EARTHQUAKE,FIRE,ACCIDENT,NON_EVENT"</x:formula1>
    </x:dataValidation>
    <x:dataValidation type="list" sqref="E518">
      <x:formula1>"SETUJU_USULAN,KOREKSI,TUNDA"</x:formula1>
    </x:dataValidation>
    <x:dataValidation type="list" sqref="F518">
      <x:formula1>"FLOOD,EARTHQUAKE,FIRE,ACCIDENT,NON_EVENT"</x:formula1>
    </x:dataValidation>
    <x:dataValidation type="list" sqref="E519">
      <x:formula1>"SETUJU_USULAN,KOREKSI,TUNDA"</x:formula1>
    </x:dataValidation>
    <x:dataValidation type="list" sqref="F519">
      <x:formula1>"FLOOD,EARTHQUAKE,FIRE,ACCIDENT,NON_EVENT"</x:formula1>
    </x:dataValidation>
    <x:dataValidation type="list" sqref="E520">
      <x:formula1>"SETUJU_USULAN,KOREKSI,TUNDA"</x:formula1>
    </x:dataValidation>
    <x:dataValidation type="list" sqref="F520">
      <x:formula1>"FLOOD,EARTHQUAKE,FIRE,ACCIDENT,NON_EVENT"</x:formula1>
    </x:dataValidation>
    <x:dataValidation type="list" sqref="E521">
      <x:formula1>"SETUJU_USULAN,KOREKSI,TUNDA"</x:formula1>
    </x:dataValidation>
    <x:dataValidation type="list" sqref="F521">
      <x:formula1>"FLOOD,EARTHQUAKE,FIRE,ACCIDENT,NON_EVENT"</x:formula1>
    </x:dataValidation>
    <x:dataValidation type="list" sqref="E522">
      <x:formula1>"SETUJU_USULAN,KOREKSI,TUNDA"</x:formula1>
    </x:dataValidation>
    <x:dataValidation type="list" sqref="F522">
      <x:formula1>"FLOOD,EARTHQUAKE,FIRE,ACCIDENT,NON_EVENT"</x:formula1>
    </x:dataValidation>
    <x:dataValidation type="list" sqref="E523">
      <x:formula1>"SETUJU_USULAN,KOREKSI,TUNDA"</x:formula1>
    </x:dataValidation>
    <x:dataValidation type="list" sqref="F523">
      <x:formula1>"FLOOD,EARTHQUAKE,FIRE,ACCIDENT,NON_EVENT"</x:formula1>
    </x:dataValidation>
    <x:dataValidation type="list" sqref="E524">
      <x:formula1>"SETUJU_USULAN,KOREKSI,TUNDA"</x:formula1>
    </x:dataValidation>
    <x:dataValidation type="list" sqref="F524">
      <x:formula1>"FLOOD,EARTHQUAKE,FIRE,ACCIDENT,NON_EVENT"</x:formula1>
    </x:dataValidation>
    <x:dataValidation type="list" sqref="E525">
      <x:formula1>"SETUJU_USULAN,KOREKSI,TUNDA"</x:formula1>
    </x:dataValidation>
    <x:dataValidation type="list" sqref="F525">
      <x:formula1>"FLOOD,EARTHQUAKE,FIRE,ACCIDENT,NON_EVENT"</x:formula1>
    </x:dataValidation>
    <x:dataValidation type="list" sqref="E526">
      <x:formula1>"SETUJU_USULAN,KOREKSI,TUNDA"</x:formula1>
    </x:dataValidation>
    <x:dataValidation type="list" sqref="F526">
      <x:formula1>"FLOOD,EARTHQUAKE,FIRE,ACCIDENT,NON_EVENT"</x:formula1>
    </x:dataValidation>
    <x:dataValidation type="list" sqref="E527">
      <x:formula1>"SETUJU_USULAN,KOREKSI,TUNDA"</x:formula1>
    </x:dataValidation>
    <x:dataValidation type="list" sqref="F527">
      <x:formula1>"FLOOD,EARTHQUAKE,FIRE,ACCIDENT,NON_EVENT"</x:formula1>
    </x:dataValidation>
    <x:dataValidation type="list" sqref="E528">
      <x:formula1>"SETUJU_USULAN,KOREKSI,TUNDA"</x:formula1>
    </x:dataValidation>
    <x:dataValidation type="list" sqref="F528">
      <x:formula1>"FLOOD,EARTHQUAKE,FIRE,ACCIDENT,NON_EVENT"</x:formula1>
    </x:dataValidation>
    <x:dataValidation type="list" sqref="E529">
      <x:formula1>"SETUJU_USULAN,KOREKSI,TUNDA"</x:formula1>
    </x:dataValidation>
    <x:dataValidation type="list" sqref="F529">
      <x:formula1>"FLOOD,EARTHQUAKE,FIRE,ACCIDENT,NON_EVENT"</x:formula1>
    </x:dataValidation>
    <x:dataValidation type="list" sqref="E530">
      <x:formula1>"SETUJU_USULAN,KOREKSI,TUNDA"</x:formula1>
    </x:dataValidation>
    <x:dataValidation type="list" sqref="F530">
      <x:formula1>"FLOOD,EARTHQUAKE,FIRE,ACCIDENT,NON_EVENT"</x:formula1>
    </x:dataValidation>
    <x:dataValidation type="list" sqref="E531">
      <x:formula1>"SETUJU_USULAN,KOREKSI,TUNDA"</x:formula1>
    </x:dataValidation>
    <x:dataValidation type="list" sqref="F531">
      <x:formula1>"FLOOD,EARTHQUAKE,FIRE,ACCIDENT,NON_EVENT"</x:formula1>
    </x:dataValidation>
    <x:dataValidation type="list" sqref="E532">
      <x:formula1>"SETUJU_USULAN,KOREKSI,TUNDA"</x:formula1>
    </x:dataValidation>
    <x:dataValidation type="list" sqref="F532">
      <x:formula1>"FLOOD,EARTHQUAKE,FIRE,ACCIDENT,NON_EVENT"</x:formula1>
    </x:dataValidation>
    <x:dataValidation type="list" sqref="E533">
      <x:formula1>"SETUJU_USULAN,KOREKSI,TUNDA"</x:formula1>
    </x:dataValidation>
    <x:dataValidation type="list" sqref="F533">
      <x:formula1>"FLOOD,EARTHQUAKE,FIRE,ACCIDENT,NON_EVENT"</x:formula1>
    </x:dataValidation>
    <x:dataValidation type="list" sqref="E534">
      <x:formula1>"SETUJU_USULAN,KOREKSI,TUNDA"</x:formula1>
    </x:dataValidation>
    <x:dataValidation type="list" sqref="F534">
      <x:formula1>"FLOOD,EARTHQUAKE,FIRE,ACCIDENT,NON_EVENT"</x:formula1>
    </x:dataValidation>
    <x:dataValidation type="list" sqref="E535">
      <x:formula1>"SETUJU_USULAN,KOREKSI,TUNDA"</x:formula1>
    </x:dataValidation>
    <x:dataValidation type="list" sqref="F535">
      <x:formula1>"FLOOD,EARTHQUAKE,FIRE,ACCIDENT,NON_EVENT"</x:formula1>
    </x:dataValidation>
    <x:dataValidation type="list" sqref="E536">
      <x:formula1>"SETUJU_USULAN,KOREKSI,TUNDA"</x:formula1>
    </x:dataValidation>
    <x:dataValidation type="list" sqref="F536">
      <x:formula1>"FLOOD,EARTHQUAKE,FIRE,ACCIDENT,NON_EVENT"</x:formula1>
    </x:dataValidation>
    <x:dataValidation type="list" sqref="E537">
      <x:formula1>"SETUJU_USULAN,KOREKSI,TUNDA"</x:formula1>
    </x:dataValidation>
    <x:dataValidation type="list" sqref="F537">
      <x:formula1>"FLOOD,EARTHQUAKE,FIRE,ACCIDENT,NON_EVENT"</x:formula1>
    </x:dataValidation>
    <x:dataValidation type="list" sqref="E538">
      <x:formula1>"SETUJU_USULAN,KOREKSI,TUNDA"</x:formula1>
    </x:dataValidation>
    <x:dataValidation type="list" sqref="F538">
      <x:formula1>"FLOOD,EARTHQUAKE,FIRE,ACCIDENT,NON_EVENT"</x:formula1>
    </x:dataValidation>
    <x:dataValidation type="list" sqref="E539">
      <x:formula1>"SETUJU_USULAN,KOREKSI,TUNDA"</x:formula1>
    </x:dataValidation>
    <x:dataValidation type="list" sqref="F539">
      <x:formula1>"FLOOD,EARTHQUAKE,FIRE,ACCIDENT,NON_EVENT"</x:formula1>
    </x:dataValidation>
    <x:dataValidation type="list" sqref="E540">
      <x:formula1>"SETUJU_USULAN,KOREKSI,TUNDA"</x:formula1>
    </x:dataValidation>
    <x:dataValidation type="list" sqref="F540">
      <x:formula1>"FLOOD,EARTHQUAKE,FIRE,ACCIDENT,NON_EVENT"</x:formula1>
    </x:dataValidation>
    <x:dataValidation type="list" sqref="E541">
      <x:formula1>"SETUJU_USULAN,KOREKSI,TUNDA"</x:formula1>
    </x:dataValidation>
    <x:dataValidation type="list" sqref="F541">
      <x:formula1>"FLOOD,EARTHQUAKE,FIRE,ACCIDENT,NON_EVENT"</x:formula1>
    </x:dataValidation>
    <x:dataValidation type="list" sqref="E542">
      <x:formula1>"SETUJU_USULAN,KOREKSI,TUNDA"</x:formula1>
    </x:dataValidation>
    <x:dataValidation type="list" sqref="F542">
      <x:formula1>"FLOOD,EARTHQUAKE,FIRE,ACCIDENT,NON_EVENT"</x:formula1>
    </x:dataValidation>
    <x:dataValidation type="list" sqref="E543">
      <x:formula1>"SETUJU_USULAN,KOREKSI,TUNDA"</x:formula1>
    </x:dataValidation>
    <x:dataValidation type="list" sqref="F543">
      <x:formula1>"FLOOD,EARTHQUAKE,FIRE,ACCIDENT,NON_EVENT"</x:formula1>
    </x:dataValidation>
    <x:dataValidation type="list" sqref="E544">
      <x:formula1>"SETUJU_USULAN,KOREKSI,TUNDA"</x:formula1>
    </x:dataValidation>
    <x:dataValidation type="list" sqref="F544">
      <x:formula1>"FLOOD,EARTHQUAKE,FIRE,ACCIDENT,NON_EVENT"</x:formula1>
    </x:dataValidation>
    <x:dataValidation type="list" sqref="E545">
      <x:formula1>"SETUJU_USULAN,KOREKSI,TUNDA"</x:formula1>
    </x:dataValidation>
    <x:dataValidation type="list" sqref="F545">
      <x:formula1>"FLOOD,EARTHQUAKE,FIRE,ACCIDENT,NON_EVENT"</x:formula1>
    </x:dataValidation>
    <x:dataValidation type="list" sqref="E546">
      <x:formula1>"SETUJU_USULAN,KOREKSI,TUNDA"</x:formula1>
    </x:dataValidation>
    <x:dataValidation type="list" sqref="F546">
      <x:formula1>"FLOOD,EARTHQUAKE,FIRE,ACCIDENT,NON_EVENT"</x:formula1>
    </x:dataValidation>
    <x:dataValidation type="list" sqref="E547">
      <x:formula1>"SETUJU_USULAN,KOREKSI,TUNDA"</x:formula1>
    </x:dataValidation>
    <x:dataValidation type="list" sqref="F547">
      <x:formula1>"FLOOD,EARTHQUAKE,FIRE,ACCIDENT,NON_EVENT"</x:formula1>
    </x:dataValidation>
    <x:dataValidation type="list" sqref="E548">
      <x:formula1>"SETUJU_USULAN,KOREKSI,TUNDA"</x:formula1>
    </x:dataValidation>
    <x:dataValidation type="list" sqref="F548">
      <x:formula1>"FLOOD,EARTHQUAKE,FIRE,ACCIDENT,NON_EVENT"</x:formula1>
    </x:dataValidation>
    <x:dataValidation type="list" sqref="E549">
      <x:formula1>"SETUJU_USULAN,KOREKSI,TUNDA"</x:formula1>
    </x:dataValidation>
    <x:dataValidation type="list" sqref="F549">
      <x:formula1>"FLOOD,EARTHQUAKE,FIRE,ACCIDENT,NON_EVENT"</x:formula1>
    </x:dataValidation>
    <x:dataValidation type="list" sqref="E550">
      <x:formula1>"SETUJU_USULAN,KOREKSI,TUNDA"</x:formula1>
    </x:dataValidation>
    <x:dataValidation type="list" sqref="F550">
      <x:formula1>"FLOOD,EARTHQUAKE,FIRE,ACCIDENT,NON_EVENT"</x:formula1>
    </x:dataValidation>
    <x:dataValidation type="list" sqref="E551">
      <x:formula1>"SETUJU_USULAN,KOREKSI,TUNDA"</x:formula1>
    </x:dataValidation>
    <x:dataValidation type="list" sqref="F551">
      <x:formula1>"FLOOD,EARTHQUAKE,FIRE,ACCIDENT,NON_EVENT"</x:formula1>
    </x:dataValidation>
    <x:dataValidation type="list" sqref="E552">
      <x:formula1>"SETUJU_USULAN,KOREKSI,TUNDA"</x:formula1>
    </x:dataValidation>
    <x:dataValidation type="list" sqref="F552">
      <x:formula1>"FLOOD,EARTHQUAKE,FIRE,ACCIDENT,NON_EVENT"</x:formula1>
    </x:dataValidation>
    <x:dataValidation type="list" sqref="E553">
      <x:formula1>"SETUJU_USULAN,KOREKSI,TUNDA"</x:formula1>
    </x:dataValidation>
    <x:dataValidation type="list" sqref="F553">
      <x:formula1>"FLOOD,EARTHQUAKE,FIRE,ACCIDENT,NON_EVENT"</x:formula1>
    </x:dataValidation>
    <x:dataValidation type="list" sqref="E554">
      <x:formula1>"SETUJU_USULAN,KOREKSI,TUNDA"</x:formula1>
    </x:dataValidation>
    <x:dataValidation type="list" sqref="F554">
      <x:formula1>"FLOOD,EARTHQUAKE,FIRE,ACCIDENT,NON_EVENT"</x:formula1>
    </x:dataValidation>
    <x:dataValidation type="list" sqref="E555">
      <x:formula1>"SETUJU_USULAN,KOREKSI,TUNDA"</x:formula1>
    </x:dataValidation>
    <x:dataValidation type="list" sqref="F555">
      <x:formula1>"FLOOD,EARTHQUAKE,FIRE,ACCIDENT,NON_EVENT"</x:formula1>
    </x:dataValidation>
    <x:dataValidation type="list" sqref="E556">
      <x:formula1>"SETUJU_USULAN,KOREKSI,TUNDA"</x:formula1>
    </x:dataValidation>
    <x:dataValidation type="list" sqref="F556">
      <x:formula1>"FLOOD,EARTHQUAKE,FIRE,ACCIDENT,NON_EVENT"</x:formula1>
    </x:dataValidation>
    <x:dataValidation type="list" sqref="E557">
      <x:formula1>"SETUJU_USULAN,KOREKSI,TUNDA"</x:formula1>
    </x:dataValidation>
    <x:dataValidation type="list" sqref="F557">
      <x:formula1>"FLOOD,EARTHQUAKE,FIRE,ACCIDENT,NON_EVENT"</x:formula1>
    </x:dataValidation>
    <x:dataValidation type="list" sqref="E558">
      <x:formula1>"SETUJU_USULAN,KOREKSI,TUNDA"</x:formula1>
    </x:dataValidation>
    <x:dataValidation type="list" sqref="F558">
      <x:formula1>"FLOOD,EARTHQUAKE,FIRE,ACCIDENT,NON_EVENT"</x:formula1>
    </x:dataValidation>
    <x:dataValidation type="list" sqref="E559">
      <x:formula1>"SETUJU_USULAN,KOREKSI,TUNDA"</x:formula1>
    </x:dataValidation>
    <x:dataValidation type="list" sqref="F559">
      <x:formula1>"FLOOD,EARTHQUAKE,FIRE,ACCIDENT,NON_EVENT"</x:formula1>
    </x:dataValidation>
  </x:dataValidations>
  <x:pageMargins left="0.7" right="0.7" top="0.75" bottom="0.75" header="0.3" footer="0.3"/>
  <x:tableParts count="1">
    <x:tablePart xmlns:r="http://schemas.openxmlformats.org/officeDocument/2006/relationships" r:id="R8738d3db3b3b42e2"/>
  </x:tableParts>
</x:worksheet>
</file>