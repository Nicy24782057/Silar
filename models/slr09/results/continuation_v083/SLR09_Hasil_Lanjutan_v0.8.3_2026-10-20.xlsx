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0726654e394b22" /></Relationships>
</file>

<file path=xl/workbook.xml><?xml version="1.0" encoding="utf-8"?>
<x:workbook xmlns:x="http://schemas.openxmlformats.org/spreadsheetml/2006/main">
  <x:sheets>
    <x:sheet xmlns:r="http://schemas.openxmlformats.org/officeDocument/2006/relationships" name="Hasil" sheetId="1" r:id="Rdf7641cd1005413d"/>
    <x:sheet xmlns:r="http://schemas.openxmlformats.org/officeDocument/2006/relationships" name="Putaran" sheetId="2" r:id="R2385f36ad6814631"/>
    <x:sheet xmlns:r="http://schemas.openxmlformats.org/officeDocument/2006/relationships" name="Kesalahan" sheetId="3" r:id="Rf40c8e1fb00a4f5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sz val="10"/>
      <x:color rgb="FF173044"/>
      <x:name val="Arial"/>
    </x:font>
    <x:font>
      <x:b/>
      <x:sz val="15"/>
      <x:color rgb="FF173044"/>
      <x:name val="Arial"/>
    </x:font>
    <x:font>
      <x:i/>
      <x:sz val="10"/>
      <x:color rgb="FF526575"/>
      <x:name val="Arial"/>
    </x:font>
    <x:font>
      <x:b/>
      <x:sz val="10"/>
      <x:color rgb="FFFFFFFF"/>
      <x:name val="Arial"/>
    </x:font>
  </x:fonts>
  <x:fills count="4">
    <x:fill>
      <x:patternFill patternType="none"/>
    </x:fill>
    <x:fill>
      <x:patternFill patternType="gray125"/>
    </x:fill>
    <x:fill>
      <x:patternFill patternType="solid">
        <x:fgColor rgb="FFFFF1CE"/>
      </x:patternFill>
    </x:fill>
    <x:fill>
      <x:patternFill patternType="solid">
        <x:fgColor rgb="FF203F57"/>
      </x:patternFill>
    </x:fill>
  </x:fills>
  <x:borders count="2">
    <x:border>
      <x:left/>
      <x:right/>
      <x:top/>
      <x:bottom/>
      <x:diagonal/>
    </x:border>
    <x:border>
      <x:left/>
      <x:right/>
      <x:top/>
      <x:bottom style="thin">
        <x:color rgb="FFAABCC9"/>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cellXfs>
  <x:cellStyles count="1">
    <x:cellStyle name="Normal" xfId="0"/>
  </x:cellStyles>
  <x:dxfs count="3">
    <x:dxf>
      <x:font>
        <x:b/>
        <x:color rgb="FF9A2424"/>
      </x:font>
      <x:fill>
        <x:patternFill patternType="solid">
          <x:bgColor rgb="FFFCE6E6"/>
        </x:patternFill>
      </x:fill>
    </x:dxf>
    <x:dxf>
      <x:font>
        <x:b/>
        <x:color rgb="FF9A2424"/>
      </x:font>
      <x:fill>
        <x:patternFill patternType="solid">
          <x:bgColor rgb="FFFCE6E6"/>
        </x:patternFill>
      </x:fill>
    </x:dxf>
    <x:dxf>
      <x:font>
        <x:b/>
        <x:color rgb="FF9A2424"/>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89f538f77543fc" /><Relationship Type="http://schemas.openxmlformats.org/officeDocument/2006/relationships/theme" Target="/xl/theme/theme1.xml" Id="R4a29640392a641e7" /><Relationship Type="http://schemas.openxmlformats.org/officeDocument/2006/relationships/sharedStrings" Target="/xl/sharedStrings.xml" Id="R4cfd801d07d74bed" /><Relationship Type="http://schemas.openxmlformats.org/officeDocument/2006/relationships/worksheet" Target="/xl/worksheets/sheet1.xml" Id="Rdf7641cd1005413d" /><Relationship Type="http://schemas.openxmlformats.org/officeDocument/2006/relationships/worksheet" Target="/xl/worksheets/sheet2.xml" Id="R2385f36ad6814631" /><Relationship Type="http://schemas.openxmlformats.org/officeDocument/2006/relationships/worksheet" Target="/xl/worksheets/sheet3.xml" Id="Rf40c8e1fb00a4f56" /></Relationships>
</file>

<file path=xl/tables/table1.xml><?xml version="1.0" encoding="utf-8"?>
<x:table xmlns:x="http://schemas.openxmlformats.org/spreadsheetml/2006/main" id="1" name="TrainingStagesV083" displayName="TrainingStagesV083" ref="A5:K41" headerRowCount="1" totalsRowCount="0" totalsRowShown="0">
  <x:tableColumns count="11">
    <x:tableColumn id="1" name="Tahap"/>
    <x:tableColumn id="2" name="Kelompok data"/>
    <x:tableColumn id="3" name="Macro F1"/>
    <x:tableColumn id="4" name="NE benar"/>
    <x:tableColumn id="5" name="NE total"/>
    <x:tableColumn id="6" name="Recall NON_EVENT"/>
    <x:tableColumn id="7" name="Recall kejadian min"/>
    <x:tableColumn id="8" name="Akurasi"/>
    <x:tableColumn id="9" name="Kontras salah"/>
    <x:tableColumn id="10" name="Target angka"/>
    <x:tableColumn id="11" name="Semua syarat kelompok"/>
  </x:tableColumns>
  <x:tableStyleInfo name="TableStyleMedium2" showFirstColumn="0" showLastColumn="0" showRowStripes="1" showColumnStripes="0"/>
</x:table>
</file>

<file path=xl/tables/table2.xml><?xml version="1.0" encoding="utf-8"?>
<x:table xmlns:x="http://schemas.openxmlformats.org/spreadsheetml/2006/main" id="2" name="SelectedCheckpointErrorsV083" displayName="SelectedCheckpointErrorsV083" ref="A5:H42" headerRowCount="1" totalsRowCount="0" totalsRowShown="0">
  <x:tableColumns count="8">
    <x:tableColumn id="1" name="Kelompok"/>
    <x:tableColumn id="2" name="ID"/>
    <x:tableColumn id="3" name="Narasi"/>
    <x:tableColumn id="4" name="Acuan kelas"/>
    <x:tableColumn id="5" name="Prediksi SENA"/>
    <x:tableColumn id="6" name="Confidence"/>
    <x:tableColumn id="7" name="Flag &lt;0,95"/>
    <x:tableColumn id="8" name="Asal/acua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085b60c7614d1c" /></Relationships>
</file>

<file path=xl/worksheets/_rels/sheet3.xml.rels>&#65279;<?xml version="1.0" encoding="utf-8"?><Relationships xmlns="http://schemas.openxmlformats.org/package/2006/relationships"><Relationship Type="http://schemas.openxmlformats.org/officeDocument/2006/relationships/table" Target="/xl/tables/table2.xml" Id="R549dcebcfe264382" /></Relationships>
</file>

<file path=xl/worksheets/sheet1.xml><?xml version="1.0" encoding="utf-8"?>
<x:worksheet xmlns:x="http://schemas.openxmlformats.org/spreadsheetml/2006/main">
  <x:sheetPr>
    <x:tabColor rgb="FF203F57"/>
  </x:sheetPr>
  <x:sheetViews>
    <x:sheetView showGridLines="0" workbookViewId="0"/>
  </x:sheetViews>
  <x:sheetFormatPr defaultRowHeight="15"/>
  <x:cols>
    <x:col min="1" max="1" width="29" hidden="0" customWidth="1"/>
    <x:col min="2" max="2" width="11" hidden="0" customWidth="1"/>
    <x:col min="3" max="3" width="15" hidden="0" customWidth="1"/>
    <x:col min="4" max="4" width="17" hidden="0" customWidth="1"/>
    <x:col min="5" max="5" width="17" hidden="0" customWidth="1"/>
    <x:col min="6" max="6" width="20" hidden="0" customWidth="1"/>
    <x:col min="7" max="7" width="12" hidden="0" customWidth="1"/>
    <x:col min="8" max="8" width="12" hidden="0" customWidth="1"/>
    <x:col min="9" max="9" width="16" hidden="0" customWidth="1"/>
    <x:col min="10" max="10" width="15" hidden="0" customWidth="1"/>
    <x:col min="11" max="11" width="19" hidden="0" customWidth="1"/>
    <x:col min="12" max="12" width="17" hidden="0" customWidth="1"/>
    <x:col min="13" max="13" width="24" hidden="0" customWidth="1"/>
  </x:cols>
  <x:sheetData>
    <x:row r="1" ht="25" customHeight="1">
      <x:c r="A1" s="2"/>
      <x:c r="B1" s="2"/>
      <x:c r="C1" s="2"/>
      <x:c r="D1" s="2"/>
      <x:c r="E1" s="2"/>
      <x:c r="F1" s="2"/>
      <x:c r="G1" s="2"/>
      <x:c r="H1" s="2"/>
      <x:c r="I1" s="2"/>
      <x:c r="J1" s="2"/>
      <x:c r="K1" s="2"/>
      <x:c r="L1" s="2"/>
      <x:c r="M1" s="2"/>
    </x:row>
    <x:row r="2" ht="25" customHeight="1">
      <x:c r="A2" s="4" t="str">
        <x:v>SILAR: hasil pelatihan SENA v0.8.3</x:v>
      </x:c>
      <x:c r="B2" s="5"/>
      <x:c r="C2" s="5"/>
      <x:c r="D2" s="5"/>
      <x:c r="E2" s="5"/>
      <x:c r="F2" s="5"/>
      <x:c r="G2" s="5"/>
      <x:c r="H2" s="5"/>
      <x:c r="I2" s="5"/>
      <x:c r="J2" s="5"/>
      <x:c r="K2" s="5"/>
      <x:c r="L2" s="5"/>
      <x:c r="M2" s="5"/>
    </x:row>
    <x:row r="3" ht="25" customHeight="1">
      <x:c r="A3" s="2"/>
      <x:c r="B3" s="2"/>
      <x:c r="C3" s="2"/>
      <x:c r="D3" s="2"/>
      <x:c r="E3" s="2"/>
      <x:c r="F3" s="2"/>
      <x:c r="G3" s="2"/>
      <x:c r="H3" s="2"/>
      <x:c r="I3" s="2"/>
      <x:c r="J3" s="2"/>
      <x:c r="K3" s="2"/>
      <x:c r="L3" s="2"/>
      <x:c r="M3" s="2"/>
    </x:row>
    <x:row r="4" ht="25" customHeight="1">
      <x:c r="A4" s="2" t="str">
        <x:v>Status SLR_09</x:v>
      </x:c>
      <x:c r="B4" s="6" t="str">
        <x:v>IN REVIEW</x:v>
      </x:c>
      <x:c r="C4" s="2"/>
      <x:c r="D4" s="2"/>
      <x:c r="E4" s="2"/>
      <x:c r="F4" s="2"/>
      <x:c r="G4" s="2"/>
      <x:c r="H4" s="2"/>
      <x:c r="I4" s="2"/>
      <x:c r="J4" s="2"/>
      <x:c r="K4" s="2"/>
      <x:c r="L4" s="2"/>
      <x:c r="M4" s="2"/>
    </x:row>
    <x:row r="5" ht="25" customHeight="1">
      <x:c r="A5" s="2" t="str">
        <x:v>Putaran diagnostik terpilih</x:v>
      </x:c>
      <x:c r="B5" s="2" t="n">
        <x:v>3</x:v>
      </x:c>
      <x:c r="C5" s="2"/>
      <x:c r="D5" s="2"/>
      <x:c r="E5" s="2"/>
      <x:c r="F5" s="2"/>
      <x:c r="G5" s="2"/>
      <x:c r="H5" s="2"/>
      <x:c r="I5" s="2"/>
      <x:c r="J5" s="2"/>
      <x:c r="K5" s="2"/>
      <x:c r="L5" s="2"/>
      <x:c r="M5" s="2"/>
    </x:row>
    <x:row r="6" ht="25" customHeight="1">
      <x:c r="A6" s="2" t="str">
        <x:v>Status regresi</x:v>
      </x:c>
      <x:c r="B6" s="2" t="str">
        <x:f>IF(COUNTIFS(M13:M21,"Belum")=0,"Memenuhi","Belum")</x:f>
        <x:v>Belum</x:v>
      </x:c>
      <x:c r="C6" s="2"/>
      <x:c r="D6" s="2"/>
      <x:c r="E6" s="2"/>
      <x:c r="F6" s="2"/>
      <x:c r="G6" s="2"/>
      <x:c r="H6" s="2"/>
      <x:c r="I6" s="2"/>
      <x:c r="J6" s="2"/>
      <x:c r="K6" s="2"/>
      <x:c r="L6" s="2"/>
      <x:c r="M6" s="2"/>
    </x:row>
    <x:row r="7" ht="25" customHeight="1">
      <x:c r="A7" s="2"/>
      <x:c r="B7" s="2"/>
      <x:c r="C7" s="2"/>
      <x:c r="D7" s="2"/>
      <x:c r="E7" s="2"/>
      <x:c r="F7" s="2"/>
      <x:c r="G7" s="2"/>
      <x:c r="H7" s="2"/>
      <x:c r="I7" s="2"/>
      <x:c r="J7" s="2"/>
      <x:c r="K7" s="2"/>
      <x:c r="L7" s="2"/>
      <x:c r="M7" s="2"/>
    </x:row>
    <x:row r="8" ht="25" customHeight="1">
      <x:c r="A8" s="2" t="str">
        <x:v>Target: macro F1 &gt;=85%, recall NON_EVENT &gt;=90%, recall tiap kejadian &gt;=80%.</x:v>
      </x:c>
      <x:c r="B8" s="2"/>
      <x:c r="C8" s="2"/>
      <x:c r="D8" s="2"/>
      <x:c r="E8" s="2"/>
      <x:c r="F8" s="2"/>
      <x:c r="G8" s="2"/>
      <x:c r="H8" s="2"/>
      <x:c r="I8" s="2"/>
      <x:c r="J8" s="2"/>
      <x:c r="K8" s="2"/>
      <x:c r="L8" s="2"/>
      <x:c r="M8" s="2"/>
    </x:row>
    <x:row r="9" ht="25" customHeight="1">
      <x:c r="A9" s="7" t="str">
        <x:v>Seluruh data di bawah sudah dipakai untuk training atau pemilihan. Ini hasil pengembangan.</x:v>
      </x:c>
      <x:c r="B9" s="2"/>
      <x:c r="C9" s="2"/>
      <x:c r="D9" s="2"/>
      <x:c r="E9" s="2"/>
      <x:c r="F9" s="2"/>
      <x:c r="G9" s="2"/>
      <x:c r="H9" s="2"/>
      <x:c r="I9" s="2"/>
      <x:c r="J9" s="2"/>
      <x:c r="K9" s="2"/>
      <x:c r="L9" s="2"/>
      <x:c r="M9" s="2"/>
    </x:row>
    <x:row r="10" ht="25" customHeight="1">
      <x:c r="A10" s="7" t="str">
        <x:v>Kolom terpilih mengikuti pemilihan diagnostik; tidak menyatakan penerimaan model produksi.</x:v>
      </x:c>
      <x:c r="B10" s="2"/>
      <x:c r="C10" s="2"/>
      <x:c r="D10" s="2"/>
      <x:c r="E10" s="2"/>
      <x:c r="F10" s="2"/>
      <x:c r="G10" s="2"/>
      <x:c r="H10" s="2"/>
      <x:c r="I10" s="2"/>
      <x:c r="J10" s="2"/>
      <x:c r="K10" s="2"/>
      <x:c r="L10" s="2"/>
      <x:c r="M10" s="2"/>
    </x:row>
    <x:row r="11" ht="25" customHeight="1">
      <x:c r="A11" s="2"/>
      <x:c r="B11" s="2"/>
      <x:c r="C11" s="2"/>
      <x:c r="D11" s="2"/>
      <x:c r="E11" s="2"/>
      <x:c r="F11" s="2"/>
      <x:c r="G11" s="2"/>
      <x:c r="H11" s="2"/>
      <x:c r="I11" s="2"/>
      <x:c r="J11" s="2"/>
      <x:c r="K11" s="2"/>
      <x:c r="L11" s="2"/>
      <x:c r="M11" s="2"/>
    </x:row>
    <x:row r="12" ht="36" customHeight="1">
      <x:c r="A12" s="11" t="str">
        <x:v>Kelompok data</x:v>
      </x:c>
      <x:c r="B12" s="11" t="str">
        <x:v>Narasi</x:v>
      </x:c>
      <x:c r="C12" s="11" t="str">
        <x:v>F1 awal</x:v>
      </x:c>
      <x:c r="D12" s="11" t="str">
        <x:v>F1 terpilih</x:v>
      </x:c>
      <x:c r="E12" s="11" t="str">
        <x:v>Recall NON_EVENT</x:v>
      </x:c>
      <x:c r="F12" s="11" t="str">
        <x:v>Recall kejadian min</x:v>
      </x:c>
      <x:c r="G12" s="11" t="str">
        <x:v>NE benar</x:v>
      </x:c>
      <x:c r="H12" s="11" t="str">
        <x:v>NE total</x:v>
      </x:c>
      <x:c r="I12" s="11" t="str">
        <x:v>Kontras salah</x:v>
      </x:c>
      <x:c r="J12" s="11" t="str">
        <x:v>Akurasi</x:v>
      </x:c>
      <x:c r="K12" s="11" t="str">
        <x:v>Target angka</x:v>
      </x:c>
      <x:c r="L12" s="11" t="str">
        <x:v>Kontras</x:v>
      </x:c>
      <x:c r="M12" s="11" t="str">
        <x:v>Status kelompok</x:v>
      </x:c>
    </x:row>
    <x:row r="13" ht="25" customHeight="1">
      <x:c r="A13" s="2" t="str">
        <x:v>Manusia 130</x:v>
      </x:c>
      <x:c r="B13" s="13" t="n">
        <x:v>130</x:v>
      </x:c>
      <x:c r="C13" s="12" t="n">
        <x:v>0.9787875882785286</x:v>
      </x:c>
      <x:c r="D13" s="12" t="n">
        <x:v>0.9685660455328936</x:v>
      </x:c>
      <x:c r="E13" s="12" t="n">
        <x:f>IF(H13=0,"n.a.",G13/H13)</x:f>
        <x:v>0.8571428571428571</x:v>
      </x:c>
      <x:c r="F13" s="12" t="n">
        <x:v>1</x:v>
      </x:c>
      <x:c r="G13" s="13" t="n">
        <x:v>24</x:v>
      </x:c>
      <x:c r="H13" s="13" t="n">
        <x:v>28</x:v>
      </x:c>
      <x:c r="I13" s="13" t="n">
        <x:v>0</x:v>
      </x:c>
      <x:c r="J13" s="12" t="n">
        <x:v>0.9692307692307692</x:v>
      </x:c>
      <x:c r="K13" s="14" t="str">
        <x:f>IF(AND(D13&gt;=0.85,E13&gt;=0.9,F13&gt;=0.8),"Lulus","Belum")</x:f>
        <x:v>Belum</x:v>
      </x:c>
      <x:c r="L13" s="14" t="str">
        <x:f>IF(I13=0,"Lulus","Belum")</x:f>
        <x:v>Lulus</x:v>
      </x:c>
      <x:c r="M13" s="14" t="str">
        <x:f>IF(AND(K13="Lulus",L13="Lulus"),"Lulus","Belum")</x:f>
        <x:v>Belum</x:v>
      </x:c>
    </x:row>
    <x:row r="14" ht="25" customHeight="1">
      <x:c r="A14" s="2" t="str">
        <x:v>Label sumber 146</x:v>
      </x:c>
      <x:c r="B14" s="13" t="n">
        <x:v>146</x:v>
      </x:c>
      <x:c r="C14" s="12" t="n">
        <x:v>0.9361228262441184</x:v>
      </x:c>
      <x:c r="D14" s="12" t="n">
        <x:v>0.9261932194906193</x:v>
      </x:c>
      <x:c r="E14" s="12" t="n">
        <x:f>IF(H14=0,"n.a.",G14/H14)</x:f>
        <x:v>0.7741935483870968</x:v>
      </x:c>
      <x:c r="F14" s="12" t="n">
        <x:v>0.90625</x:v>
      </x:c>
      <x:c r="G14" s="13" t="n">
        <x:v>24</x:v>
      </x:c>
      <x:c r="H14" s="13" t="n">
        <x:v>31</x:v>
      </x:c>
      <x:c r="I14" s="13" t="n">
        <x:v>0</x:v>
      </x:c>
      <x:c r="J14" s="12" t="n">
        <x:v>0.9246575342465754</x:v>
      </x:c>
      <x:c r="K14" s="14" t="str">
        <x:f>IF(AND(D14&gt;=0.85,E14&gt;=0.9,F14&gt;=0.8),"Lulus","Belum")</x:f>
        <x:v>Belum</x:v>
      </x:c>
      <x:c r="L14" s="14" t="str">
        <x:f>IF(I14=0,"Lulus","Belum")</x:f>
        <x:v>Lulus</x:v>
      </x:c>
      <x:c r="M14" s="14" t="str">
        <x:f>IF(AND(K14="Lulus",L14="Lulus"),"Lulus","Belum")</x:f>
        <x:v>Belum</x:v>
      </x:c>
    </x:row>
    <x:row r="15" ht="25" customHeight="1">
      <x:c r="A15" s="2" t="str">
        <x:v>Adjudikasi 145</x:v>
      </x:c>
      <x:c r="B15" s="13" t="n">
        <x:v>145</x:v>
      </x:c>
      <x:c r="C15" s="12" t="n">
        <x:v>0.9482049376810686</x:v>
      </x:c>
      <x:c r="D15" s="12" t="n">
        <x:v>0.938638326173014</x:v>
      </x:c>
      <x:c r="E15" s="12" t="n">
        <x:f>IF(H15=0,"n.a.",G15/H15)</x:f>
        <x:v>0.78125</x:v>
      </x:c>
      <x:c r="F15" s="12" t="n">
        <x:v>0.9666666666666667</x:v>
      </x:c>
      <x:c r="G15" s="13" t="n">
        <x:v>25</x:v>
      </x:c>
      <x:c r="H15" s="13" t="n">
        <x:v>32</x:v>
      </x:c>
      <x:c r="I15" s="13" t="n">
        <x:v>0</x:v>
      </x:c>
      <x:c r="J15" s="12" t="n">
        <x:v>0.9379310344827586</x:v>
      </x:c>
      <x:c r="K15" s="14" t="str">
        <x:f>IF(AND(D15&gt;=0.85,E15&gt;=0.9,F15&gt;=0.8),"Lulus","Belum")</x:f>
        <x:v>Belum</x:v>
      </x:c>
      <x:c r="L15" s="14" t="str">
        <x:f>IF(I15=0,"Lulus","Belum")</x:f>
        <x:v>Lulus</x:v>
      </x:c>
      <x:c r="M15" s="14" t="str">
        <x:f>IF(AND(K15="Lulus",L15="Lulus"),"Lulus","Belum")</x:f>
        <x:v>Belum</x:v>
      </x:c>
    </x:row>
    <x:row r="16" ht="25" customHeight="1">
      <x:c r="A16" s="2" t="str">
        <x:v>Usulan v0.6: 50</x:v>
      </x:c>
      <x:c r="B16" s="13" t="n">
        <x:v>50</x:v>
      </x:c>
      <x:c r="C16" s="12" t="n">
        <x:v>0.923391812865497</x:v>
      </x:c>
      <x:c r="D16" s="12" t="n">
        <x:v>1</x:v>
      </x:c>
      <x:c r="E16" s="12" t="n">
        <x:f>IF(H16=0,"n.a.",G16/H16)</x:f>
        <x:v>1</x:v>
      </x:c>
      <x:c r="F16" s="12" t="n">
        <x:v>1</x:v>
      </x:c>
      <x:c r="G16" s="13" t="n">
        <x:v>10</x:v>
      </x:c>
      <x:c r="H16" s="13" t="n">
        <x:v>10</x:v>
      </x:c>
      <x:c r="I16" s="13" t="n">
        <x:v>0</x:v>
      </x:c>
      <x:c r="J16" s="12" t="n">
        <x:v>1</x:v>
      </x:c>
      <x:c r="K16" s="14" t="str">
        <x:f>IF(AND(D16&gt;=0.85,E16&gt;=0.9,F16&gt;=0.8),"Lulus","Belum")</x:f>
        <x:v>Lulus</x:v>
      </x:c>
      <x:c r="L16" s="14" t="str">
        <x:f>IF(I16=0,"Lulus","Belum")</x:f>
        <x:v>Lulus</x:v>
      </x:c>
      <x:c r="M16" s="14" t="str">
        <x:f>IF(AND(K16="Lulus",L16="Lulus"),"Lulus","Belum")</x:f>
        <x:v>Lulus</x:v>
      </x:c>
    </x:row>
    <x:row r="17" ht="25" customHeight="1">
      <x:c r="A17" s="2" t="str">
        <x:v>Usulan v0.7: 50</x:v>
      </x:c>
      <x:c r="B17" s="13" t="n">
        <x:v>50</x:v>
      </x:c>
      <x:c r="C17" s="12" t="n">
        <x:v>0.9595959595959596</x:v>
      </x:c>
      <x:c r="D17" s="12" t="n">
        <x:v>0.9799498746867167</x:v>
      </x:c>
      <x:c r="E17" s="12" t="n">
        <x:f>IF(H17=0,"n.a.",G17/H17)</x:f>
        <x:v>0.9</x:v>
      </x:c>
      <x:c r="F17" s="12" t="n">
        <x:v>1</x:v>
      </x:c>
      <x:c r="G17" s="13" t="n">
        <x:v>9</x:v>
      </x:c>
      <x:c r="H17" s="13" t="n">
        <x:v>10</x:v>
      </x:c>
      <x:c r="I17" s="13" t="n">
        <x:v>1</x:v>
      </x:c>
      <x:c r="J17" s="12" t="n">
        <x:v>0.98</x:v>
      </x:c>
      <x:c r="K17" s="14" t="str">
        <x:f>IF(AND(D17&gt;=0.85,E17&gt;=0.9,F17&gt;=0.8),"Lulus","Belum")</x:f>
        <x:v>Lulus</x:v>
      </x:c>
      <x:c r="L17" s="14" t="str">
        <x:f>IF(I17=0,"Lulus","Belum")</x:f>
        <x:v>Belum</x:v>
      </x:c>
      <x:c r="M17" s="14" t="str">
        <x:f>IF(AND(K17="Lulus",L17="Lulus"),"Lulus","Belum")</x:f>
        <x:v>Belum</x:v>
      </x:c>
    </x:row>
    <x:row r="18" ht="25" customHeight="1">
      <x:c r="A18" s="2" t="str">
        <x:v>Regresi manusia: 50</x:v>
      </x:c>
      <x:c r="B18" s="13" t="n">
        <x:v>50</x:v>
      </x:c>
      <x:c r="C18" s="12" t="n">
        <x:v>1</x:v>
      </x:c>
      <x:c r="D18" s="12" t="n">
        <x:v>1</x:v>
      </x:c>
      <x:c r="E18" s="12" t="n">
        <x:f>IF(H18=0,"n.a.",G18/H18)</x:f>
        <x:v>1</x:v>
      </x:c>
      <x:c r="F18" s="12" t="n">
        <x:v>1</x:v>
      </x:c>
      <x:c r="G18" s="13" t="n">
        <x:v>10</x:v>
      </x:c>
      <x:c r="H18" s="13" t="n">
        <x:v>10</x:v>
      </x:c>
      <x:c r="I18" s="13" t="n">
        <x:v>0</x:v>
      </x:c>
      <x:c r="J18" s="12" t="n">
        <x:v>1</x:v>
      </x:c>
      <x:c r="K18" s="14" t="str">
        <x:f>IF(AND(D18&gt;=0.85,E18&gt;=0.9,F18&gt;=0.8),"Lulus","Belum")</x:f>
        <x:v>Lulus</x:v>
      </x:c>
      <x:c r="L18" s="14" t="str">
        <x:f>IF(I18=0,"Lulus","Belum")</x:f>
        <x:v>Lulus</x:v>
      </x:c>
      <x:c r="M18" s="14" t="str">
        <x:f>IF(AND(K18="Lulus",L18="Lulus"),"Lulus","Belum")</x:f>
        <x:v>Lulus</x:v>
      </x:c>
    </x:row>
    <x:row r="19" ht="25" customHeight="1">
      <x:c r="A19" s="2" t="str">
        <x:v>FINAL081</x:v>
      </x:c>
      <x:c r="B19" s="13" t="n">
        <x:v>50</x:v>
      </x:c>
      <x:c r="C19" s="12" t="n">
        <x:v>1</x:v>
      </x:c>
      <x:c r="D19" s="12" t="n">
        <x:v>0.9799498746867167</x:v>
      </x:c>
      <x:c r="E19" s="12" t="n">
        <x:f>IF(H19=0,"n.a.",G19/H19)</x:f>
        <x:v>0.9</x:v>
      </x:c>
      <x:c r="F19" s="12" t="n">
        <x:v>1</x:v>
      </x:c>
      <x:c r="G19" s="13" t="n">
        <x:v>9</x:v>
      </x:c>
      <x:c r="H19" s="13" t="n">
        <x:v>10</x:v>
      </x:c>
      <x:c r="I19" s="13" t="n">
        <x:v>0</x:v>
      </x:c>
      <x:c r="J19" s="12" t="n">
        <x:v>0.98</x:v>
      </x:c>
      <x:c r="K19" s="14" t="str">
        <x:f>IF(AND(D19&gt;=0.85,E19&gt;=0.9,F19&gt;=0.8),"Lulus","Belum")</x:f>
        <x:v>Lulus</x:v>
      </x:c>
      <x:c r="L19" s="14" t="str">
        <x:f>IF(I19=0,"Lulus","Belum")</x:f>
        <x:v>Lulus</x:v>
      </x:c>
      <x:c r="M19" s="14" t="str">
        <x:f>IF(AND(K19="Lulus",L19="Lulus"),"Lulus","Belum")</x:f>
        <x:v>Lulus</x:v>
      </x:c>
    </x:row>
    <x:row r="20" ht="25" customHeight="1">
      <x:c r="A20" s="2" t="str">
        <x:v>FINAL082</x:v>
      </x:c>
      <x:c r="B20" s="13" t="n">
        <x:v>50</x:v>
      </x:c>
      <x:c r="C20" s="12" t="n">
        <x:v>0.9799498746867167</x:v>
      </x:c>
      <x:c r="D20" s="12" t="n">
        <x:v>0.9799498746867167</x:v>
      </x:c>
      <x:c r="E20" s="12" t="n">
        <x:f>IF(H20=0,"n.a.",G20/H20)</x:f>
        <x:v>0.9</x:v>
      </x:c>
      <x:c r="F20" s="12" t="n">
        <x:v>1</x:v>
      </x:c>
      <x:c r="G20" s="13" t="n">
        <x:v>9</x:v>
      </x:c>
      <x:c r="H20" s="13" t="n">
        <x:v>10</x:v>
      </x:c>
      <x:c r="I20" s="13" t="n">
        <x:v>1</x:v>
      </x:c>
      <x:c r="J20" s="12" t="n">
        <x:v>0.98</x:v>
      </x:c>
      <x:c r="K20" s="14" t="str">
        <x:f>IF(AND(D20&gt;=0.85,E20&gt;=0.9,F20&gt;=0.8),"Lulus","Belum")</x:f>
        <x:v>Lulus</x:v>
      </x:c>
      <x:c r="L20" s="14" t="str">
        <x:f>IF(I20=0,"Lulus","Belum")</x:f>
        <x:v>Belum</x:v>
      </x:c>
      <x:c r="M20" s="14" t="str">
        <x:f>IF(AND(K20="Lulus",L20="Lulus"),"Lulus","Belum")</x:f>
        <x:v>Belum</x:v>
      </x:c>
    </x:row>
    <x:row r="21" ht="25" customHeight="1">
      <x:c r="A21" s="2" t="str">
        <x:v>Konteks tambahan: 40</x:v>
      </x:c>
      <x:c r="B21" s="13" t="n">
        <x:v>40</x:v>
      </x:c>
      <x:c r="C21" s="12" t="n">
        <x:v>0.6296037296037296</x:v>
      </x:c>
      <x:c r="D21" s="12" t="n">
        <x:v>0.7706959706959706</x:v>
      </x:c>
      <x:c r="E21" s="12" t="n">
        <x:f>IF(H21=0,"n.a.",G21/H21)</x:f>
        <x:v>1</x:v>
      </x:c>
      <x:c r="F21" s="12" t="n">
        <x:v>0.5</x:v>
      </x:c>
      <x:c r="G21" s="13" t="n">
        <x:v>8</x:v>
      </x:c>
      <x:c r="H21" s="13" t="n">
        <x:v>8</x:v>
      </x:c>
      <x:c r="I21" s="13" t="n">
        <x:v>0</x:v>
      </x:c>
      <x:c r="J21" s="12" t="n">
        <x:v>0.75</x:v>
      </x:c>
      <x:c r="K21" s="14" t="str">
        <x:f>IF(AND(D21&gt;=0.85,E21&gt;=0.9,F21&gt;=0.8),"Lulus","Belum")</x:f>
        <x:v>Belum</x:v>
      </x:c>
      <x:c r="L21" s="14" t="str">
        <x:f>IF(I21=0,"Lulus","Belum")</x:f>
        <x:v>Lulus</x:v>
      </x:c>
      <x:c r="M21" s="14" t="str">
        <x:f>IF(AND(K21="Lulus",L21="Lulus",J21=1),"Lulus","Belum")</x:f>
        <x:v>Belum</x:v>
      </x:c>
    </x:row>
    <x:row r="22" ht="25" customHeight="1">
      <x:c r="A22" s="2"/>
      <x:c r="B22" s="2"/>
      <x:c r="C22" s="2"/>
      <x:c r="D22" s="2"/>
      <x:c r="E22" s="2"/>
      <x:c r="F22" s="2"/>
      <x:c r="G22" s="2"/>
      <x:c r="H22" s="2"/>
      <x:c r="I22" s="2"/>
      <x:c r="J22" s="2"/>
      <x:c r="K22" s="2"/>
      <x:c r="L22" s="2"/>
      <x:c r="M22" s="2"/>
    </x:row>
    <x:row r="23" ht="25" customHeight="1">
      <x:c r="A23" s="2"/>
      <x:c r="B23" s="2"/>
      <x:c r="C23" s="2"/>
      <x:c r="D23" s="2"/>
      <x:c r="E23" s="2"/>
      <x:c r="F23" s="2"/>
      <x:c r="G23" s="2"/>
      <x:c r="H23" s="2"/>
      <x:c r="I23" s="2"/>
      <x:c r="J23" s="2"/>
      <x:c r="K23" s="2"/>
      <x:c r="L23" s="2"/>
      <x:c r="M23" s="2"/>
    </x:row>
    <x:row r="24" ht="25" customHeight="1">
      <x:c r="A24" s="7" t="str">
        <x:v>Konteks tambahan harus benar 40/40, di samping target angka dan seluruh kontras pada data lain.</x:v>
      </x:c>
      <x:c r="B24" s="2"/>
      <x:c r="C24" s="2"/>
      <x:c r="D24" s="2"/>
      <x:c r="E24" s="2"/>
      <x:c r="F24" s="2"/>
      <x:c r="G24" s="2"/>
      <x:c r="H24" s="2"/>
      <x:c r="I24" s="2"/>
      <x:c r="J24" s="2"/>
      <x:c r="K24" s="2"/>
      <x:c r="L24" s="2"/>
      <x:c r="M24" s="2"/>
    </x:row>
    <x:row r="25" ht="25" customHeight="1">
      <x:c r="A25" s="7" t="str">
        <x:v>Kelompok data saling beririsan. Jumlah kesalahan antarkelompok tidak dijumlahkan sebagai narasi unik.</x:v>
      </x:c>
      <x:c r="B25" s="2"/>
      <x:c r="C25" s="2"/>
      <x:c r="D25" s="2"/>
      <x:c r="E25" s="2"/>
      <x:c r="F25" s="2"/>
      <x:c r="G25" s="2"/>
      <x:c r="H25" s="2"/>
      <x:c r="I25" s="2"/>
      <x:c r="J25" s="2"/>
      <x:c r="K25" s="2"/>
      <x:c r="L25" s="2"/>
      <x:c r="M25" s="2"/>
    </x:row>
    <x:row r="26" ht="25" customHeight="1">
      <x:c r="A26" s="7" t="str">
        <x:v>NARA tidak dilatih ulang. Cutoff confidence tetap 0,95. Uji penerimaan baru belum dijalankan.</x:v>
      </x:c>
      <x:c r="B26" s="2"/>
      <x:c r="C26" s="2"/>
      <x:c r="D26" s="2"/>
      <x:c r="E26" s="2"/>
      <x:c r="F26" s="2"/>
      <x:c r="G26" s="2"/>
      <x:c r="H26" s="2"/>
      <x:c r="I26" s="2"/>
      <x:c r="J26" s="2"/>
      <x:c r="K26" s="2"/>
      <x:c r="L26" s="2"/>
      <x:c r="M26" s="2"/>
    </x:row>
    <x:row r="27" ht="25" customHeight="1">
      <x:c r="A27" s="2"/>
      <x:c r="B27" s="2"/>
      <x:c r="C27" s="2"/>
      <x:c r="D27" s="2"/>
      <x:c r="E27" s="2"/>
      <x:c r="F27" s="2"/>
      <x:c r="G27" s="2"/>
      <x:c r="H27" s="2"/>
      <x:c r="I27" s="2"/>
      <x:c r="J27" s="2"/>
      <x:c r="K27" s="2"/>
      <x:c r="L27" s="2"/>
      <x:c r="M27" s="2"/>
    </x:row>
    <x:row r="28" ht="25" customHeight="1">
      <x:c r="A28" s="2"/>
      <x:c r="B28" s="2"/>
      <x:c r="C28" s="2"/>
      <x:c r="D28" s="2"/>
      <x:c r="E28" s="2"/>
      <x:c r="F28" s="2"/>
      <x:c r="G28" s="2"/>
      <x:c r="H28" s="2"/>
      <x:c r="I28" s="2"/>
      <x:c r="J28" s="2"/>
      <x:c r="K28" s="2"/>
      <x:c r="L28" s="2"/>
      <x:c r="M28" s="2"/>
    </x:row>
  </x:sheetData>
  <x:conditionalFormatting sqref="K13:M21">
    <x:cfRule type="containsText" dxfId="0" priority="1" operator="containsText" text="Belum"/>
  </x:conditionalFormatting>
  <x:conditionalFormatting sqref="B6:B6">
    <x:cfRule type="containsText" dxfId="1" priority="2" operator="containsText" text="Belum"/>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9" hidden="0" customWidth="1"/>
    <x:col min="3" max="3" width="17" hidden="0" customWidth="1"/>
    <x:col min="4" max="4" width="13" hidden="0" customWidth="1"/>
    <x:col min="5" max="5" width="13" hidden="0" customWidth="1"/>
    <x:col min="6" max="6" width="18" hidden="0" customWidth="1"/>
    <x:col min="7" max="7" width="21" hidden="0" customWidth="1"/>
    <x:col min="8" max="8" width="17" hidden="0" customWidth="1"/>
    <x:col min="9" max="9" width="16" hidden="0" customWidth="1"/>
    <x:col min="10" max="10" width="20" hidden="0" customWidth="1"/>
    <x:col min="11" max="11" width="24" hidden="0" customWidth="1"/>
  </x:cols>
  <x:sheetData>
    <x:row r="1" ht="25" customHeight="1">
      <x:c r="A1" s="2"/>
      <x:c r="B1" s="2"/>
      <x:c r="C1" s="2"/>
      <x:c r="D1" s="2"/>
      <x:c r="E1" s="2"/>
      <x:c r="F1" s="2"/>
      <x:c r="G1" s="2"/>
      <x:c r="H1" s="2"/>
      <x:c r="I1" s="2"/>
      <x:c r="J1" s="2"/>
      <x:c r="K1" s="2"/>
    </x:row>
    <x:row r="2" ht="25" customHeight="1">
      <x:c r="A2" s="4" t="str">
        <x:v>Perkembangan tiap putaran</x:v>
      </x:c>
      <x:c r="B2" s="5"/>
      <x:c r="C2" s="5"/>
      <x:c r="D2" s="5"/>
      <x:c r="E2" s="5"/>
      <x:c r="F2" s="5"/>
      <x:c r="G2" s="5"/>
      <x:c r="H2" s="5"/>
      <x:c r="I2" s="5"/>
      <x:c r="J2" s="5"/>
      <x:c r="K2" s="5"/>
    </x:row>
    <x:row r="3" ht="25" customHeight="1">
      <x:c r="A3" s="7" t="str">
        <x:v>Sumber: baseline_evaluation.json dan training_history.json dari eksekusi aktual notebook 26.</x:v>
      </x:c>
      <x:c r="B3" s="2"/>
      <x:c r="C3" s="2"/>
      <x:c r="D3" s="2"/>
      <x:c r="E3" s="2"/>
      <x:c r="F3" s="2"/>
      <x:c r="G3" s="2"/>
      <x:c r="H3" s="2"/>
      <x:c r="I3" s="2"/>
      <x:c r="J3" s="2"/>
      <x:c r="K3" s="2"/>
    </x:row>
    <x:row r="4" ht="25" customHeight="1">
      <x:c r="A4" s="7" t="str">
        <x:v>Label sumber lama tetap dipertahankan; semua kelompok ini sudah dilihat oleh proses pelatihan atau seleksi.</x:v>
      </x:c>
      <x:c r="B4" s="2"/>
      <x:c r="C4" s="2"/>
      <x:c r="D4" s="2"/>
      <x:c r="E4" s="2"/>
      <x:c r="F4" s="2"/>
      <x:c r="G4" s="2"/>
      <x:c r="H4" s="2"/>
      <x:c r="I4" s="2"/>
      <x:c r="J4" s="2"/>
      <x:c r="K4" s="2"/>
    </x:row>
    <x:row r="5" ht="36" customHeight="1">
      <x:c r="A5" s="11" t="str">
        <x:v>Tahap</x:v>
      </x:c>
      <x:c r="B5" s="11" t="str">
        <x:v>Kelompok data</x:v>
      </x:c>
      <x:c r="C5" s="11" t="str">
        <x:v>Macro F1</x:v>
      </x:c>
      <x:c r="D5" s="11" t="str">
        <x:v>NE benar</x:v>
      </x:c>
      <x:c r="E5" s="11" t="str">
        <x:v>NE total</x:v>
      </x:c>
      <x:c r="F5" s="11" t="str">
        <x:v>Recall NON_EVENT</x:v>
      </x:c>
      <x:c r="G5" s="11" t="str">
        <x:v>Recall kejadian min</x:v>
      </x:c>
      <x:c r="H5" s="11" t="str">
        <x:v>Akurasi</x:v>
      </x:c>
      <x:c r="I5" s="11" t="str">
        <x:v>Kontras salah</x:v>
      </x:c>
      <x:c r="J5" s="11" t="str">
        <x:v>Target angka</x:v>
      </x:c>
      <x:c r="K5" s="11" t="str">
        <x:v>Semua syarat kelompok</x:v>
      </x:c>
    </x:row>
    <x:row r="6" ht="25" customHeight="1">
      <x:c r="A6" s="2" t="str">
        <x:v>Awal</x:v>
      </x:c>
      <x:c r="B6" s="2" t="str">
        <x:v>Manusia 130</x:v>
      </x:c>
      <x:c r="C6" s="12" t="n">
        <x:v>0.9787875882785286</x:v>
      </x:c>
      <x:c r="D6" s="2" t="n">
        <x:v>27</x:v>
      </x:c>
      <x:c r="E6" s="2" t="n">
        <x:v>28</x:v>
      </x:c>
      <x:c r="F6" s="12" t="n">
        <x:f>IF(E6=0,"n.a.",D6/E6)</x:f>
        <x:v>0.9642857142857143</x:v>
      </x:c>
      <x:c r="G6" s="12" t="n">
        <x:v>0.9629629629629629</x:v>
      </x:c>
      <x:c r="H6" s="12" t="n">
        <x:v>0.9769230769230769</x:v>
      </x:c>
      <x:c r="I6" s="2" t="n">
        <x:v>0</x:v>
      </x:c>
      <x:c r="J6" s="14" t="str">
        <x:f>IF(AND(C6&gt;=0.85,F6&gt;=0.9,G6&gt;=0.8),"Lulus","Belum")</x:f>
        <x:v>Lulus</x:v>
      </x:c>
      <x:c r="K6" s="14" t="str">
        <x:f>IF(AND(J6="Lulus",I6=0),"Lulus","Belum")</x:f>
        <x:v>Lulus</x:v>
      </x:c>
    </x:row>
    <x:row r="7" ht="25" customHeight="1">
      <x:c r="A7" s="2" t="str">
        <x:v>Awal</x:v>
      </x:c>
      <x:c r="B7" s="2" t="str">
        <x:v>Label sumber 146</x:v>
      </x:c>
      <x:c r="C7" s="12" t="n">
        <x:v>0.9361228262441184</x:v>
      </x:c>
      <x:c r="D7" s="2" t="n">
        <x:v>28</x:v>
      </x:c>
      <x:c r="E7" s="2" t="n">
        <x:v>31</x:v>
      </x:c>
      <x:c r="F7" s="12" t="n">
        <x:f>IF(E7=0,"n.a.",D7/E7)</x:f>
        <x:v>0.9032258064516129</x:v>
      </x:c>
      <x:c r="G7" s="12" t="n">
        <x:v>0.875</x:v>
      </x:c>
      <x:c r="H7" s="12" t="n">
        <x:v>0.9315068493150684</x:v>
      </x:c>
      <x:c r="I7" s="2" t="n">
        <x:v>0</x:v>
      </x:c>
      <x:c r="J7" s="14" t="str">
        <x:f>IF(AND(C7&gt;=0.85,F7&gt;=0.9,G7&gt;=0.8),"Lulus","Belum")</x:f>
        <x:v>Lulus</x:v>
      </x:c>
      <x:c r="K7" s="14" t="str">
        <x:f>IF(AND(J7="Lulus",I7=0),"Lulus","Belum")</x:f>
        <x:v>Lulus</x:v>
      </x:c>
    </x:row>
    <x:row r="8" ht="25" customHeight="1">
      <x:c r="A8" s="2" t="str">
        <x:v>Awal</x:v>
      </x:c>
      <x:c r="B8" s="2" t="str">
        <x:v>Adjudikasi 145</x:v>
      </x:c>
      <x:c r="C8" s="12" t="n">
        <x:v>0.9482049376810686</x:v>
      </x:c>
      <x:c r="D8" s="2" t="n">
        <x:v>29</x:v>
      </x:c>
      <x:c r="E8" s="2" t="n">
        <x:v>32</x:v>
      </x:c>
      <x:c r="F8" s="12" t="n">
        <x:f>IF(E8=0,"n.a.",D8/E8)</x:f>
        <x:v>0.90625</x:v>
      </x:c>
      <x:c r="G8" s="12" t="n">
        <x:v>0.9333333333333333</x:v>
      </x:c>
      <x:c r="H8" s="12" t="n">
        <x:v>0.9448275862068966</x:v>
      </x:c>
      <x:c r="I8" s="2" t="n">
        <x:v>0</x:v>
      </x:c>
      <x:c r="J8" s="14" t="str">
        <x:f>IF(AND(C8&gt;=0.85,F8&gt;=0.9,G8&gt;=0.8),"Lulus","Belum")</x:f>
        <x:v>Lulus</x:v>
      </x:c>
      <x:c r="K8" s="14" t="str">
        <x:f>IF(AND(J8="Lulus",I8=0),"Lulus","Belum")</x:f>
        <x:v>Lulus</x:v>
      </x:c>
    </x:row>
    <x:row r="9" ht="25" customHeight="1">
      <x:c r="A9" s="2" t="str">
        <x:v>Awal</x:v>
      </x:c>
      <x:c r="B9" s="2" t="str">
        <x:v>Usulan v0.6: 50</x:v>
      </x:c>
      <x:c r="C9" s="12" t="n">
        <x:v>0.923391812865497</x:v>
      </x:c>
      <x:c r="D9" s="2" t="n">
        <x:v>10</x:v>
      </x:c>
      <x:c r="E9" s="2" t="n">
        <x:v>10</x:v>
      </x:c>
      <x:c r="F9" s="12" t="n">
        <x:f>IF(E9=0,"n.a.",D9/E9)</x:f>
        <x:v>1</x:v>
      </x:c>
      <x:c r="G9" s="12" t="n">
        <x:v>0.8</x:v>
      </x:c>
      <x:c r="H9" s="12" t="n">
        <x:v>0.92</x:v>
      </x:c>
      <x:c r="I9" s="2" t="n">
        <x:v>0</x:v>
      </x:c>
      <x:c r="J9" s="14" t="str">
        <x:f>IF(AND(C9&gt;=0.85,F9&gt;=0.9,G9&gt;=0.8),"Lulus","Belum")</x:f>
        <x:v>Lulus</x:v>
      </x:c>
      <x:c r="K9" s="14" t="str">
        <x:f>IF(AND(J9="Lulus",I9=0),"Lulus","Belum")</x:f>
        <x:v>Lulus</x:v>
      </x:c>
    </x:row>
    <x:row r="10" ht="25" customHeight="1">
      <x:c r="A10" s="2" t="str">
        <x:v>Awal</x:v>
      </x:c>
      <x:c r="B10" s="2" t="str">
        <x:v>Usulan v0.7: 50</x:v>
      </x:c>
      <x:c r="C10" s="12" t="n">
        <x:v>0.9595959595959596</x:v>
      </x:c>
      <x:c r="D10" s="2" t="n">
        <x:v>10</x:v>
      </x:c>
      <x:c r="E10" s="2" t="n">
        <x:v>10</x:v>
      </x:c>
      <x:c r="F10" s="12" t="n">
        <x:f>IF(E10=0,"n.a.",D10/E10)</x:f>
        <x:v>1</x:v>
      </x:c>
      <x:c r="G10" s="12" t="n">
        <x:v>0.8</x:v>
      </x:c>
      <x:c r="H10" s="12" t="n">
        <x:v>0.96</x:v>
      </x:c>
      <x:c r="I10" s="2" t="n">
        <x:v>0</x:v>
      </x:c>
      <x:c r="J10" s="14" t="str">
        <x:f>IF(AND(C10&gt;=0.85,F10&gt;=0.9,G10&gt;=0.8),"Lulus","Belum")</x:f>
        <x:v>Lulus</x:v>
      </x:c>
      <x:c r="K10" s="14" t="str">
        <x:f>IF(AND(J10="Lulus",I10=0),"Lulus","Belum")</x:f>
        <x:v>Lulus</x:v>
      </x:c>
    </x:row>
    <x:row r="11" ht="25" customHeight="1">
      <x:c r="A11" s="2" t="str">
        <x:v>Awal</x:v>
      </x:c>
      <x:c r="B11" s="2" t="str">
        <x:v>Regresi manusia: 50</x:v>
      </x:c>
      <x:c r="C11" s="12" t="n">
        <x:v>1</x:v>
      </x:c>
      <x:c r="D11" s="2" t="n">
        <x:v>10</x:v>
      </x:c>
      <x:c r="E11" s="2" t="n">
        <x:v>10</x:v>
      </x:c>
      <x:c r="F11" s="12" t="n">
        <x:f>IF(E11=0,"n.a.",D11/E11)</x:f>
        <x:v>1</x:v>
      </x:c>
      <x:c r="G11" s="12" t="n">
        <x:v>1</x:v>
      </x:c>
      <x:c r="H11" s="12" t="n">
        <x:v>1</x:v>
      </x:c>
      <x:c r="I11" s="2" t="n">
        <x:v>0</x:v>
      </x:c>
      <x:c r="J11" s="14" t="str">
        <x:f>IF(AND(C11&gt;=0.85,F11&gt;=0.9,G11&gt;=0.8),"Lulus","Belum")</x:f>
        <x:v>Lulus</x:v>
      </x:c>
      <x:c r="K11" s="14" t="str">
        <x:f>IF(AND(J11="Lulus",I11=0),"Lulus","Belum")</x:f>
        <x:v>Lulus</x:v>
      </x:c>
    </x:row>
    <x:row r="12" ht="25" customHeight="1">
      <x:c r="A12" s="2" t="str">
        <x:v>Awal</x:v>
      </x:c>
      <x:c r="B12" s="2" t="str">
        <x:v>FINAL081</x:v>
      </x:c>
      <x:c r="C12" s="12" t="n">
        <x:v>1</x:v>
      </x:c>
      <x:c r="D12" s="2" t="n">
        <x:v>10</x:v>
      </x:c>
      <x:c r="E12" s="2" t="n">
        <x:v>10</x:v>
      </x:c>
      <x:c r="F12" s="12" t="n">
        <x:f>IF(E12=0,"n.a.",D12/E12)</x:f>
        <x:v>1</x:v>
      </x:c>
      <x:c r="G12" s="12" t="n">
        <x:v>1</x:v>
      </x:c>
      <x:c r="H12" s="12" t="n">
        <x:v>1</x:v>
      </x:c>
      <x:c r="I12" s="2" t="n">
        <x:v>0</x:v>
      </x:c>
      <x:c r="J12" s="14" t="str">
        <x:f>IF(AND(C12&gt;=0.85,F12&gt;=0.9,G12&gt;=0.8),"Lulus","Belum")</x:f>
        <x:v>Lulus</x:v>
      </x:c>
      <x:c r="K12" s="14" t="str">
        <x:f>IF(AND(J12="Lulus",I12=0),"Lulus","Belum")</x:f>
        <x:v>Lulus</x:v>
      </x:c>
    </x:row>
    <x:row r="13" ht="25" customHeight="1">
      <x:c r="A13" s="2" t="str">
        <x:v>Awal</x:v>
      </x:c>
      <x:c r="B13" s="2" t="str">
        <x:v>FINAL082</x:v>
      </x:c>
      <x:c r="C13" s="12" t="n">
        <x:v>0.9799498746867167</x:v>
      </x:c>
      <x:c r="D13" s="2" t="n">
        <x:v>9</x:v>
      </x:c>
      <x:c r="E13" s="2" t="n">
        <x:v>10</x:v>
      </x:c>
      <x:c r="F13" s="12" t="n">
        <x:f>IF(E13=0,"n.a.",D13/E13)</x:f>
        <x:v>0.9</x:v>
      </x:c>
      <x:c r="G13" s="12" t="n">
        <x:v>1</x:v>
      </x:c>
      <x:c r="H13" s="12" t="n">
        <x:v>0.98</x:v>
      </x:c>
      <x:c r="I13" s="2" t="n">
        <x:v>1</x:v>
      </x:c>
      <x:c r="J13" s="14" t="str">
        <x:f>IF(AND(C13&gt;=0.85,F13&gt;=0.9,G13&gt;=0.8),"Lulus","Belum")</x:f>
        <x:v>Lulus</x:v>
      </x:c>
      <x:c r="K13" s="14" t="str">
        <x:f>IF(AND(J13="Lulus",I13=0),"Lulus","Belum")</x:f>
        <x:v>Belum</x:v>
      </x:c>
    </x:row>
    <x:row r="14" ht="25" customHeight="1">
      <x:c r="A14" s="2" t="str">
        <x:v>Awal</x:v>
      </x:c>
      <x:c r="B14" s="2" t="str">
        <x:v>Konteks tambahan: 40</x:v>
      </x:c>
      <x:c r="C14" s="12" t="n">
        <x:v>0.6296037296037296</x:v>
      </x:c>
      <x:c r="D14" s="2" t="n">
        <x:v>8</x:v>
      </x:c>
      <x:c r="E14" s="2" t="n">
        <x:v>8</x:v>
      </x:c>
      <x:c r="F14" s="12" t="n">
        <x:f>IF(E14=0,"n.a.",D14/E14)</x:f>
        <x:v>1</x:v>
      </x:c>
      <x:c r="G14" s="12" t="n">
        <x:v>0.375</x:v>
      </x:c>
      <x:c r="H14" s="12" t="n">
        <x:v>0.6</x:v>
      </x:c>
      <x:c r="I14" s="2" t="n">
        <x:v>0</x:v>
      </x:c>
      <x:c r="J14" s="14" t="str">
        <x:f>IF(AND(C14&gt;=0.85,F14&gt;=0.9,G14&gt;=0.8),"Lulus","Belum")</x:f>
        <x:v>Belum</x:v>
      </x:c>
      <x:c r="K14" s="14" t="str">
        <x:f>IF(AND(J14="Lulus",I14=0,H14=1),"Lulus","Belum")</x:f>
        <x:v>Belum</x:v>
      </x:c>
    </x:row>
    <x:row r="15" ht="25" customHeight="1">
      <x:c r="A15" s="2" t="str">
        <x:v>Putaran 1</x:v>
      </x:c>
      <x:c r="B15" s="2" t="str">
        <x:v>Manusia 130</x:v>
      </x:c>
      <x:c r="C15" s="12" t="n">
        <x:v>0.9599030714800427</x:v>
      </x:c>
      <x:c r="D15" s="2" t="n">
        <x:v>23</x:v>
      </x:c>
      <x:c r="E15" s="2" t="n">
        <x:v>28</x:v>
      </x:c>
      <x:c r="F15" s="12" t="n">
        <x:f>IF(E15=0,"n.a.",D15/E15)</x:f>
        <x:v>0.8214285714285714</x:v>
      </x:c>
      <x:c r="G15" s="12" t="n">
        <x:v>1</x:v>
      </x:c>
      <x:c r="H15" s="12" t="n">
        <x:v>0.9615384615384616</x:v>
      </x:c>
      <x:c r="I15" s="2" t="n">
        <x:v>0</x:v>
      </x:c>
      <x:c r="J15" s="14" t="str">
        <x:f>IF(AND(C15&gt;=0.85,F15&gt;=0.9,G15&gt;=0.8),"Lulus","Belum")</x:f>
        <x:v>Belum</x:v>
      </x:c>
      <x:c r="K15" s="14" t="str">
        <x:f>IF(AND(J15="Lulus",I15=0),"Lulus","Belum")</x:f>
        <x:v>Belum</x:v>
      </x:c>
    </x:row>
    <x:row r="16" ht="25" customHeight="1">
      <x:c r="A16" s="2" t="str">
        <x:v>Putaran 1</x:v>
      </x:c>
      <x:c r="B16" s="2" t="str">
        <x:v>Label sumber 146</x:v>
      </x:c>
      <x:c r="C16" s="12" t="n">
        <x:v>0.9181836773920733</x:v>
      </x:c>
      <x:c r="D16" s="2" t="n">
        <x:v>23</x:v>
      </x:c>
      <x:c r="E16" s="2" t="n">
        <x:v>31</x:v>
      </x:c>
      <x:c r="F16" s="12" t="n">
        <x:f>IF(E16=0,"n.a.",D16/E16)</x:f>
        <x:v>0.7419354838709677</x:v>
      </x:c>
      <x:c r="G16" s="12" t="n">
        <x:v>0.90625</x:v>
      </x:c>
      <x:c r="H16" s="12" t="n">
        <x:v>0.9178082191780822</x:v>
      </x:c>
      <x:c r="I16" s="2" t="n">
        <x:v>0</x:v>
      </x:c>
      <x:c r="J16" s="14" t="str">
        <x:f>IF(AND(C16&gt;=0.85,F16&gt;=0.9,G16&gt;=0.8),"Lulus","Belum")</x:f>
        <x:v>Belum</x:v>
      </x:c>
      <x:c r="K16" s="14" t="str">
        <x:f>IF(AND(J16="Lulus",I16=0),"Lulus","Belum")</x:f>
        <x:v>Belum</x:v>
      </x:c>
    </x:row>
    <x:row r="17" ht="25" customHeight="1">
      <x:c r="A17" s="2" t="str">
        <x:v>Putaran 1</x:v>
      </x:c>
      <x:c r="B17" s="2" t="str">
        <x:v>Adjudikasi 145</x:v>
      </x:c>
      <x:c r="C17" s="12" t="n">
        <x:v>0.9307456747816568</x:v>
      </x:c>
      <x:c r="D17" s="2" t="n">
        <x:v>24</x:v>
      </x:c>
      <x:c r="E17" s="2" t="n">
        <x:v>32</x:v>
      </x:c>
      <x:c r="F17" s="12" t="n">
        <x:f>IF(E17=0,"n.a.",D17/E17)</x:f>
        <x:v>0.75</x:v>
      </x:c>
      <x:c r="G17" s="12" t="n">
        <x:v>0.9666666666666667</x:v>
      </x:c>
      <x:c r="H17" s="12" t="n">
        <x:v>0.9310344827586207</x:v>
      </x:c>
      <x:c r="I17" s="2" t="n">
        <x:v>0</x:v>
      </x:c>
      <x:c r="J17" s="14" t="str">
        <x:f>IF(AND(C17&gt;=0.85,F17&gt;=0.9,G17&gt;=0.8),"Lulus","Belum")</x:f>
        <x:v>Belum</x:v>
      </x:c>
      <x:c r="K17" s="14" t="str">
        <x:f>IF(AND(J17="Lulus",I17=0),"Lulus","Belum")</x:f>
        <x:v>Belum</x:v>
      </x:c>
    </x:row>
    <x:row r="18" ht="25" customHeight="1">
      <x:c r="A18" s="2" t="str">
        <x:v>Putaran 1</x:v>
      </x:c>
      <x:c r="B18" s="2" t="str">
        <x:v>Usulan v0.6: 50</x:v>
      </x:c>
      <x:c r="C18" s="12" t="n">
        <x:v>1</x:v>
      </x:c>
      <x:c r="D18" s="2" t="n">
        <x:v>10</x:v>
      </x:c>
      <x:c r="E18" s="2" t="n">
        <x:v>10</x:v>
      </x:c>
      <x:c r="F18" s="12" t="n">
        <x:f>IF(E18=0,"n.a.",D18/E18)</x:f>
        <x:v>1</x:v>
      </x:c>
      <x:c r="G18" s="12" t="n">
        <x:v>1</x:v>
      </x:c>
      <x:c r="H18" s="12" t="n">
        <x:v>1</x:v>
      </x:c>
      <x:c r="I18" s="2" t="n">
        <x:v>0</x:v>
      </x:c>
      <x:c r="J18" s="14" t="str">
        <x:f>IF(AND(C18&gt;=0.85,F18&gt;=0.9,G18&gt;=0.8),"Lulus","Belum")</x:f>
        <x:v>Lulus</x:v>
      </x:c>
      <x:c r="K18" s="14" t="str">
        <x:f>IF(AND(J18="Lulus",I18=0),"Lulus","Belum")</x:f>
        <x:v>Lulus</x:v>
      </x:c>
    </x:row>
    <x:row r="19" ht="25" customHeight="1">
      <x:c r="A19" s="2" t="str">
        <x:v>Putaran 1</x:v>
      </x:c>
      <x:c r="B19" s="2" t="str">
        <x:v>Usulan v0.7: 50</x:v>
      </x:c>
      <x:c r="C19" s="12" t="n">
        <x:v>0.9799498746867167</x:v>
      </x:c>
      <x:c r="D19" s="2" t="n">
        <x:v>9</x:v>
      </x:c>
      <x:c r="E19" s="2" t="n">
        <x:v>10</x:v>
      </x:c>
      <x:c r="F19" s="12" t="n">
        <x:f>IF(E19=0,"n.a.",D19/E19)</x:f>
        <x:v>0.9</x:v>
      </x:c>
      <x:c r="G19" s="12" t="n">
        <x:v>1</x:v>
      </x:c>
      <x:c r="H19" s="12" t="n">
        <x:v>0.98</x:v>
      </x:c>
      <x:c r="I19" s="2" t="n">
        <x:v>1</x:v>
      </x:c>
      <x:c r="J19" s="14" t="str">
        <x:f>IF(AND(C19&gt;=0.85,F19&gt;=0.9,G19&gt;=0.8),"Lulus","Belum")</x:f>
        <x:v>Lulus</x:v>
      </x:c>
      <x:c r="K19" s="14" t="str">
        <x:f>IF(AND(J19="Lulus",I19=0),"Lulus","Belum")</x:f>
        <x:v>Belum</x:v>
      </x:c>
    </x:row>
    <x:row r="20" ht="25" customHeight="1">
      <x:c r="A20" s="2" t="str">
        <x:v>Putaran 1</x:v>
      </x:c>
      <x:c r="B20" s="2" t="str">
        <x:v>Regresi manusia: 50</x:v>
      </x:c>
      <x:c r="C20" s="12" t="n">
        <x:v>1</x:v>
      </x:c>
      <x:c r="D20" s="2" t="n">
        <x:v>10</x:v>
      </x:c>
      <x:c r="E20" s="2" t="n">
        <x:v>10</x:v>
      </x:c>
      <x:c r="F20" s="12" t="n">
        <x:f>IF(E20=0,"n.a.",D20/E20)</x:f>
        <x:v>1</x:v>
      </x:c>
      <x:c r="G20" s="12" t="n">
        <x:v>1</x:v>
      </x:c>
      <x:c r="H20" s="12" t="n">
        <x:v>1</x:v>
      </x:c>
      <x:c r="I20" s="2" t="n">
        <x:v>0</x:v>
      </x:c>
      <x:c r="J20" s="14" t="str">
        <x:f>IF(AND(C20&gt;=0.85,F20&gt;=0.9,G20&gt;=0.8),"Lulus","Belum")</x:f>
        <x:v>Lulus</x:v>
      </x:c>
      <x:c r="K20" s="14" t="str">
        <x:f>IF(AND(J20="Lulus",I20=0),"Lulus","Belum")</x:f>
        <x:v>Lulus</x:v>
      </x:c>
    </x:row>
    <x:row r="21" ht="25" customHeight="1">
      <x:c r="A21" s="2" t="str">
        <x:v>Putaran 1</x:v>
      </x:c>
      <x:c r="B21" s="2" t="str">
        <x:v>FINAL081</x:v>
      </x:c>
      <x:c r="C21" s="12" t="n">
        <x:v>0.9587301587301587</x:v>
      </x:c>
      <x:c r="D21" s="2" t="n">
        <x:v>8</x:v>
      </x:c>
      <x:c r="E21" s="2" t="n">
        <x:v>10</x:v>
      </x:c>
      <x:c r="F21" s="12" t="n">
        <x:f>IF(E21=0,"n.a.",D21/E21)</x:f>
        <x:v>0.8</x:v>
      </x:c>
      <x:c r="G21" s="12" t="n">
        <x:v>1</x:v>
      </x:c>
      <x:c r="H21" s="12" t="n">
        <x:v>0.96</x:v>
      </x:c>
      <x:c r="I21" s="2" t="n">
        <x:v>1</x:v>
      </x:c>
      <x:c r="J21" s="14" t="str">
        <x:f>IF(AND(C21&gt;=0.85,F21&gt;=0.9,G21&gt;=0.8),"Lulus","Belum")</x:f>
        <x:v>Belum</x:v>
      </x:c>
      <x:c r="K21" s="14" t="str">
        <x:f>IF(AND(J21="Lulus",I21=0),"Lulus","Belum")</x:f>
        <x:v>Belum</x:v>
      </x:c>
    </x:row>
    <x:row r="22" ht="25" customHeight="1">
      <x:c r="A22" s="2" t="str">
        <x:v>Putaran 1</x:v>
      </x:c>
      <x:c r="B22" s="2" t="str">
        <x:v>FINAL082</x:v>
      </x:c>
      <x:c r="C22" s="12" t="n">
        <x:v>0.9799498746867167</x:v>
      </x:c>
      <x:c r="D22" s="2" t="n">
        <x:v>9</x:v>
      </x:c>
      <x:c r="E22" s="2" t="n">
        <x:v>10</x:v>
      </x:c>
      <x:c r="F22" s="12" t="n">
        <x:f>IF(E22=0,"n.a.",D22/E22)</x:f>
        <x:v>0.9</x:v>
      </x:c>
      <x:c r="G22" s="12" t="n">
        <x:v>1</x:v>
      </x:c>
      <x:c r="H22" s="12" t="n">
        <x:v>0.98</x:v>
      </x:c>
      <x:c r="I22" s="2" t="n">
        <x:v>1</x:v>
      </x:c>
      <x:c r="J22" s="14" t="str">
        <x:f>IF(AND(C22&gt;=0.85,F22&gt;=0.9,G22&gt;=0.8),"Lulus","Belum")</x:f>
        <x:v>Lulus</x:v>
      </x:c>
      <x:c r="K22" s="14" t="str">
        <x:f>IF(AND(J22="Lulus",I22=0),"Lulus","Belum")</x:f>
        <x:v>Belum</x:v>
      </x:c>
    </x:row>
    <x:row r="23" ht="25" customHeight="1">
      <x:c r="A23" s="2" t="str">
        <x:v>Putaran 1</x:v>
      </x:c>
      <x:c r="B23" s="2" t="str">
        <x:v>Konteks tambahan: 40</x:v>
      </x:c>
      <x:c r="C23" s="12" t="n">
        <x:v>0.7267399267399267</x:v>
      </x:c>
      <x:c r="D23" s="2" t="n">
        <x:v>8</x:v>
      </x:c>
      <x:c r="E23" s="2" t="n">
        <x:v>8</x:v>
      </x:c>
      <x:c r="F23" s="12" t="n">
        <x:f>IF(E23=0,"n.a.",D23/E23)</x:f>
        <x:v>1</x:v>
      </x:c>
      <x:c r="G23" s="12" t="n">
        <x:v>0.5</x:v>
      </x:c>
      <x:c r="H23" s="12" t="n">
        <x:v>0.7</x:v>
      </x:c>
      <x:c r="I23" s="2" t="n">
        <x:v>0</x:v>
      </x:c>
      <x:c r="J23" s="14" t="str">
        <x:f>IF(AND(C23&gt;=0.85,F23&gt;=0.9,G23&gt;=0.8),"Lulus","Belum")</x:f>
        <x:v>Belum</x:v>
      </x:c>
      <x:c r="K23" s="14" t="str">
        <x:f>IF(AND(J23="Lulus",I23=0,H23=1),"Lulus","Belum")</x:f>
        <x:v>Belum</x:v>
      </x:c>
    </x:row>
    <x:row r="24" ht="25" customHeight="1">
      <x:c r="A24" s="2" t="str">
        <x:v>Putaran 2</x:v>
      </x:c>
      <x:c r="B24" s="2" t="str">
        <x:v>Manusia 130</x:v>
      </x:c>
      <x:c r="C24" s="12" t="n">
        <x:v>0.9685660455328936</x:v>
      </x:c>
      <x:c r="D24" s="2" t="n">
        <x:v>24</x:v>
      </x:c>
      <x:c r="E24" s="2" t="n">
        <x:v>28</x:v>
      </x:c>
      <x:c r="F24" s="12" t="n">
        <x:f>IF(E24=0,"n.a.",D24/E24)</x:f>
        <x:v>0.8571428571428571</x:v>
      </x:c>
      <x:c r="G24" s="12" t="n">
        <x:v>1</x:v>
      </x:c>
      <x:c r="H24" s="12" t="n">
        <x:v>0.9692307692307692</x:v>
      </x:c>
      <x:c r="I24" s="2" t="n">
        <x:v>0</x:v>
      </x:c>
      <x:c r="J24" s="14" t="str">
        <x:f>IF(AND(C24&gt;=0.85,F24&gt;=0.9,G24&gt;=0.8),"Lulus","Belum")</x:f>
        <x:v>Belum</x:v>
      </x:c>
      <x:c r="K24" s="14" t="str">
        <x:f>IF(AND(J24="Lulus",I24=0),"Lulus","Belum")</x:f>
        <x:v>Belum</x:v>
      </x:c>
    </x:row>
    <x:row r="25" ht="25" customHeight="1">
      <x:c r="A25" s="2" t="str">
        <x:v>Putaran 2</x:v>
      </x:c>
      <x:c r="B25" s="2" t="str">
        <x:v>Label sumber 146</x:v>
      </x:c>
      <x:c r="C25" s="12" t="n">
        <x:v>0.9261932194906193</x:v>
      </x:c>
      <x:c r="D25" s="2" t="n">
        <x:v>24</x:v>
      </x:c>
      <x:c r="E25" s="2" t="n">
        <x:v>31</x:v>
      </x:c>
      <x:c r="F25" s="12" t="n">
        <x:f>IF(E25=0,"n.a.",D25/E25)</x:f>
        <x:v>0.7741935483870968</x:v>
      </x:c>
      <x:c r="G25" s="12" t="n">
        <x:v>0.90625</x:v>
      </x:c>
      <x:c r="H25" s="12" t="n">
        <x:v>0.9246575342465754</x:v>
      </x:c>
      <x:c r="I25" s="2" t="n">
        <x:v>0</x:v>
      </x:c>
      <x:c r="J25" s="14" t="str">
        <x:f>IF(AND(C25&gt;=0.85,F25&gt;=0.9,G25&gt;=0.8),"Lulus","Belum")</x:f>
        <x:v>Belum</x:v>
      </x:c>
      <x:c r="K25" s="14" t="str">
        <x:f>IF(AND(J25="Lulus",I25=0),"Lulus","Belum")</x:f>
        <x:v>Belum</x:v>
      </x:c>
    </x:row>
    <x:row r="26" ht="25" customHeight="1">
      <x:c r="A26" s="2" t="str">
        <x:v>Putaran 2</x:v>
      </x:c>
      <x:c r="B26" s="2" t="str">
        <x:v>Adjudikasi 145</x:v>
      </x:c>
      <x:c r="C26" s="12" t="n">
        <x:v>0.938638326173014</x:v>
      </x:c>
      <x:c r="D26" s="2" t="n">
        <x:v>25</x:v>
      </x:c>
      <x:c r="E26" s="2" t="n">
        <x:v>32</x:v>
      </x:c>
      <x:c r="F26" s="12" t="n">
        <x:f>IF(E26=0,"n.a.",D26/E26)</x:f>
        <x:v>0.78125</x:v>
      </x:c>
      <x:c r="G26" s="12" t="n">
        <x:v>0.9666666666666667</x:v>
      </x:c>
      <x:c r="H26" s="12" t="n">
        <x:v>0.9379310344827586</x:v>
      </x:c>
      <x:c r="I26" s="2" t="n">
        <x:v>0</x:v>
      </x:c>
      <x:c r="J26" s="14" t="str">
        <x:f>IF(AND(C26&gt;=0.85,F26&gt;=0.9,G26&gt;=0.8),"Lulus","Belum")</x:f>
        <x:v>Belum</x:v>
      </x:c>
      <x:c r="K26" s="14" t="str">
        <x:f>IF(AND(J26="Lulus",I26=0),"Lulus","Belum")</x:f>
        <x:v>Belum</x:v>
      </x:c>
    </x:row>
    <x:row r="27" ht="25" customHeight="1">
      <x:c r="A27" s="2" t="str">
        <x:v>Putaran 2</x:v>
      </x:c>
      <x:c r="B27" s="2" t="str">
        <x:v>Usulan v0.6: 50</x:v>
      </x:c>
      <x:c r="C27" s="12" t="n">
        <x:v>1</x:v>
      </x:c>
      <x:c r="D27" s="2" t="n">
        <x:v>10</x:v>
      </x:c>
      <x:c r="E27" s="2" t="n">
        <x:v>10</x:v>
      </x:c>
      <x:c r="F27" s="12" t="n">
        <x:f>IF(E27=0,"n.a.",D27/E27)</x:f>
        <x:v>1</x:v>
      </x:c>
      <x:c r="G27" s="12" t="n">
        <x:v>1</x:v>
      </x:c>
      <x:c r="H27" s="12" t="n">
        <x:v>1</x:v>
      </x:c>
      <x:c r="I27" s="2" t="n">
        <x:v>0</x:v>
      </x:c>
      <x:c r="J27" s="14" t="str">
        <x:f>IF(AND(C27&gt;=0.85,F27&gt;=0.9,G27&gt;=0.8),"Lulus","Belum")</x:f>
        <x:v>Lulus</x:v>
      </x:c>
      <x:c r="K27" s="14" t="str">
        <x:f>IF(AND(J27="Lulus",I27=0),"Lulus","Belum")</x:f>
        <x:v>Lulus</x:v>
      </x:c>
    </x:row>
    <x:row r="28" ht="25" customHeight="1">
      <x:c r="A28" s="2" t="str">
        <x:v>Putaran 2</x:v>
      </x:c>
      <x:c r="B28" s="2" t="str">
        <x:v>Usulan v0.7: 50</x:v>
      </x:c>
      <x:c r="C28" s="12" t="n">
        <x:v>0.9799498746867167</x:v>
      </x:c>
      <x:c r="D28" s="2" t="n">
        <x:v>9</x:v>
      </x:c>
      <x:c r="E28" s="2" t="n">
        <x:v>10</x:v>
      </x:c>
      <x:c r="F28" s="12" t="n">
        <x:f>IF(E28=0,"n.a.",D28/E28)</x:f>
        <x:v>0.9</x:v>
      </x:c>
      <x:c r="G28" s="12" t="n">
        <x:v>1</x:v>
      </x:c>
      <x:c r="H28" s="12" t="n">
        <x:v>0.98</x:v>
      </x:c>
      <x:c r="I28" s="2" t="n">
        <x:v>1</x:v>
      </x:c>
      <x:c r="J28" s="14" t="str">
        <x:f>IF(AND(C28&gt;=0.85,F28&gt;=0.9,G28&gt;=0.8),"Lulus","Belum")</x:f>
        <x:v>Lulus</x:v>
      </x:c>
      <x:c r="K28" s="14" t="str">
        <x:f>IF(AND(J28="Lulus",I28=0),"Lulus","Belum")</x:f>
        <x:v>Belum</x:v>
      </x:c>
    </x:row>
    <x:row r="29" ht="25" customHeight="1">
      <x:c r="A29" s="2" t="str">
        <x:v>Putaran 2</x:v>
      </x:c>
      <x:c r="B29" s="2" t="str">
        <x:v>Regresi manusia: 50</x:v>
      </x:c>
      <x:c r="C29" s="12" t="n">
        <x:v>1</x:v>
      </x:c>
      <x:c r="D29" s="2" t="n">
        <x:v>10</x:v>
      </x:c>
      <x:c r="E29" s="2" t="n">
        <x:v>10</x:v>
      </x:c>
      <x:c r="F29" s="12" t="n">
        <x:f>IF(E29=0,"n.a.",D29/E29)</x:f>
        <x:v>1</x:v>
      </x:c>
      <x:c r="G29" s="12" t="n">
        <x:v>1</x:v>
      </x:c>
      <x:c r="H29" s="12" t="n">
        <x:v>1</x:v>
      </x:c>
      <x:c r="I29" s="2" t="n">
        <x:v>0</x:v>
      </x:c>
      <x:c r="J29" s="14" t="str">
        <x:f>IF(AND(C29&gt;=0.85,F29&gt;=0.9,G29&gt;=0.8),"Lulus","Belum")</x:f>
        <x:v>Lulus</x:v>
      </x:c>
      <x:c r="K29" s="14" t="str">
        <x:f>IF(AND(J29="Lulus",I29=0),"Lulus","Belum")</x:f>
        <x:v>Lulus</x:v>
      </x:c>
    </x:row>
    <x:row r="30" ht="25" customHeight="1">
      <x:c r="A30" s="2" t="str">
        <x:v>Putaran 2</x:v>
      </x:c>
      <x:c r="B30" s="2" t="str">
        <x:v>FINAL081</x:v>
      </x:c>
      <x:c r="C30" s="12" t="n">
        <x:v>0.9799498746867167</x:v>
      </x:c>
      <x:c r="D30" s="2" t="n">
        <x:v>9</x:v>
      </x:c>
      <x:c r="E30" s="2" t="n">
        <x:v>10</x:v>
      </x:c>
      <x:c r="F30" s="12" t="n">
        <x:f>IF(E30=0,"n.a.",D30/E30)</x:f>
        <x:v>0.9</x:v>
      </x:c>
      <x:c r="G30" s="12" t="n">
        <x:v>1</x:v>
      </x:c>
      <x:c r="H30" s="12" t="n">
        <x:v>0.98</x:v>
      </x:c>
      <x:c r="I30" s="2" t="n">
        <x:v>0</x:v>
      </x:c>
      <x:c r="J30" s="14" t="str">
        <x:f>IF(AND(C30&gt;=0.85,F30&gt;=0.9,G30&gt;=0.8),"Lulus","Belum")</x:f>
        <x:v>Lulus</x:v>
      </x:c>
      <x:c r="K30" s="14" t="str">
        <x:f>IF(AND(J30="Lulus",I30=0),"Lulus","Belum")</x:f>
        <x:v>Lulus</x:v>
      </x:c>
    </x:row>
    <x:row r="31" ht="25" customHeight="1">
      <x:c r="A31" s="2" t="str">
        <x:v>Putaran 2</x:v>
      </x:c>
      <x:c r="B31" s="2" t="str">
        <x:v>FINAL082</x:v>
      </x:c>
      <x:c r="C31" s="12" t="n">
        <x:v>0.9799498746867167</x:v>
      </x:c>
      <x:c r="D31" s="2" t="n">
        <x:v>9</x:v>
      </x:c>
      <x:c r="E31" s="2" t="n">
        <x:v>10</x:v>
      </x:c>
      <x:c r="F31" s="12" t="n">
        <x:f>IF(E31=0,"n.a.",D31/E31)</x:f>
        <x:v>0.9</x:v>
      </x:c>
      <x:c r="G31" s="12" t="n">
        <x:v>1</x:v>
      </x:c>
      <x:c r="H31" s="12" t="n">
        <x:v>0.98</x:v>
      </x:c>
      <x:c r="I31" s="2" t="n">
        <x:v>1</x:v>
      </x:c>
      <x:c r="J31" s="14" t="str">
        <x:f>IF(AND(C31&gt;=0.85,F31&gt;=0.9,G31&gt;=0.8),"Lulus","Belum")</x:f>
        <x:v>Lulus</x:v>
      </x:c>
      <x:c r="K31" s="14" t="str">
        <x:f>IF(AND(J31="Lulus",I31=0),"Lulus","Belum")</x:f>
        <x:v>Belum</x:v>
      </x:c>
    </x:row>
    <x:row r="32" ht="25" customHeight="1">
      <x:c r="A32" s="2" t="str">
        <x:v>Putaran 2</x:v>
      </x:c>
      <x:c r="B32" s="2" t="str">
        <x:v>Konteks tambahan: 40</x:v>
      </x:c>
      <x:c r="C32" s="12" t="n">
        <x:v>0.7267399267399267</x:v>
      </x:c>
      <x:c r="D32" s="2" t="n">
        <x:v>8</x:v>
      </x:c>
      <x:c r="E32" s="2" t="n">
        <x:v>8</x:v>
      </x:c>
      <x:c r="F32" s="12" t="n">
        <x:f>IF(E32=0,"n.a.",D32/E32)</x:f>
        <x:v>1</x:v>
      </x:c>
      <x:c r="G32" s="12" t="n">
        <x:v>0.5</x:v>
      </x:c>
      <x:c r="H32" s="12" t="n">
        <x:v>0.7</x:v>
      </x:c>
      <x:c r="I32" s="2" t="n">
        <x:v>0</x:v>
      </x:c>
      <x:c r="J32" s="14" t="str">
        <x:f>IF(AND(C32&gt;=0.85,F32&gt;=0.9,G32&gt;=0.8),"Lulus","Belum")</x:f>
        <x:v>Belum</x:v>
      </x:c>
      <x:c r="K32" s="14" t="str">
        <x:f>IF(AND(J32="Lulus",I32=0,H32=1),"Lulus","Belum")</x:f>
        <x:v>Belum</x:v>
      </x:c>
    </x:row>
    <x:row r="33" ht="25" customHeight="1">
      <x:c r="A33" s="2" t="str">
        <x:v>Putaran 3</x:v>
      </x:c>
      <x:c r="B33" s="2" t="str">
        <x:v>Manusia 130</x:v>
      </x:c>
      <x:c r="C33" s="12" t="n">
        <x:v>0.9685660455328936</x:v>
      </x:c>
      <x:c r="D33" s="2" t="n">
        <x:v>24</x:v>
      </x:c>
      <x:c r="E33" s="2" t="n">
        <x:v>28</x:v>
      </x:c>
      <x:c r="F33" s="12" t="n">
        <x:f>IF(E33=0,"n.a.",D33/E33)</x:f>
        <x:v>0.8571428571428571</x:v>
      </x:c>
      <x:c r="G33" s="12" t="n">
        <x:v>1</x:v>
      </x:c>
      <x:c r="H33" s="12" t="n">
        <x:v>0.9692307692307692</x:v>
      </x:c>
      <x:c r="I33" s="2" t="n">
        <x:v>0</x:v>
      </x:c>
      <x:c r="J33" s="14" t="str">
        <x:f>IF(AND(C33&gt;=0.85,F33&gt;=0.9,G33&gt;=0.8),"Lulus","Belum")</x:f>
        <x:v>Belum</x:v>
      </x:c>
      <x:c r="K33" s="14" t="str">
        <x:f>IF(AND(J33="Lulus",I33=0),"Lulus","Belum")</x:f>
        <x:v>Belum</x:v>
      </x:c>
    </x:row>
    <x:row r="34" ht="25" customHeight="1">
      <x:c r="A34" s="2" t="str">
        <x:v>Putaran 3</x:v>
      </x:c>
      <x:c r="B34" s="2" t="str">
        <x:v>Label sumber 146</x:v>
      </x:c>
      <x:c r="C34" s="12" t="n">
        <x:v>0.9261932194906193</x:v>
      </x:c>
      <x:c r="D34" s="2" t="n">
        <x:v>24</x:v>
      </x:c>
      <x:c r="E34" s="2" t="n">
        <x:v>31</x:v>
      </x:c>
      <x:c r="F34" s="12" t="n">
        <x:f>IF(E34=0,"n.a.",D34/E34)</x:f>
        <x:v>0.7741935483870968</x:v>
      </x:c>
      <x:c r="G34" s="12" t="n">
        <x:v>0.90625</x:v>
      </x:c>
      <x:c r="H34" s="12" t="n">
        <x:v>0.9246575342465754</x:v>
      </x:c>
      <x:c r="I34" s="2" t="n">
        <x:v>0</x:v>
      </x:c>
      <x:c r="J34" s="14" t="str">
        <x:f>IF(AND(C34&gt;=0.85,F34&gt;=0.9,G34&gt;=0.8),"Lulus","Belum")</x:f>
        <x:v>Belum</x:v>
      </x:c>
      <x:c r="K34" s="14" t="str">
        <x:f>IF(AND(J34="Lulus",I34=0),"Lulus","Belum")</x:f>
        <x:v>Belum</x:v>
      </x:c>
    </x:row>
    <x:row r="35" ht="25" customHeight="1">
      <x:c r="A35" s="2" t="str">
        <x:v>Putaran 3</x:v>
      </x:c>
      <x:c r="B35" s="2" t="str">
        <x:v>Adjudikasi 145</x:v>
      </x:c>
      <x:c r="C35" s="12" t="n">
        <x:v>0.938638326173014</x:v>
      </x:c>
      <x:c r="D35" s="2" t="n">
        <x:v>25</x:v>
      </x:c>
      <x:c r="E35" s="2" t="n">
        <x:v>32</x:v>
      </x:c>
      <x:c r="F35" s="12" t="n">
        <x:f>IF(E35=0,"n.a.",D35/E35)</x:f>
        <x:v>0.78125</x:v>
      </x:c>
      <x:c r="G35" s="12" t="n">
        <x:v>0.9666666666666667</x:v>
      </x:c>
      <x:c r="H35" s="12" t="n">
        <x:v>0.9379310344827586</x:v>
      </x:c>
      <x:c r="I35" s="2" t="n">
        <x:v>0</x:v>
      </x:c>
      <x:c r="J35" s="14" t="str">
        <x:f>IF(AND(C35&gt;=0.85,F35&gt;=0.9,G35&gt;=0.8),"Lulus","Belum")</x:f>
        <x:v>Belum</x:v>
      </x:c>
      <x:c r="K35" s="14" t="str">
        <x:f>IF(AND(J35="Lulus",I35=0),"Lulus","Belum")</x:f>
        <x:v>Belum</x:v>
      </x:c>
    </x:row>
    <x:row r="36" ht="25" customHeight="1">
      <x:c r="A36" s="2" t="str">
        <x:v>Putaran 3</x:v>
      </x:c>
      <x:c r="B36" s="2" t="str">
        <x:v>Usulan v0.6: 50</x:v>
      </x:c>
      <x:c r="C36" s="12" t="n">
        <x:v>1</x:v>
      </x:c>
      <x:c r="D36" s="2" t="n">
        <x:v>10</x:v>
      </x:c>
      <x:c r="E36" s="2" t="n">
        <x:v>10</x:v>
      </x:c>
      <x:c r="F36" s="12" t="n">
        <x:f>IF(E36=0,"n.a.",D36/E36)</x:f>
        <x:v>1</x:v>
      </x:c>
      <x:c r="G36" s="12" t="n">
        <x:v>1</x:v>
      </x:c>
      <x:c r="H36" s="12" t="n">
        <x:v>1</x:v>
      </x:c>
      <x:c r="I36" s="2" t="n">
        <x:v>0</x:v>
      </x:c>
      <x:c r="J36" s="14" t="str">
        <x:f>IF(AND(C36&gt;=0.85,F36&gt;=0.9,G36&gt;=0.8),"Lulus","Belum")</x:f>
        <x:v>Lulus</x:v>
      </x:c>
      <x:c r="K36" s="14" t="str">
        <x:f>IF(AND(J36="Lulus",I36=0),"Lulus","Belum")</x:f>
        <x:v>Lulus</x:v>
      </x:c>
    </x:row>
    <x:row r="37" ht="25" customHeight="1">
      <x:c r="A37" s="2" t="str">
        <x:v>Putaran 3</x:v>
      </x:c>
      <x:c r="B37" s="2" t="str">
        <x:v>Usulan v0.7: 50</x:v>
      </x:c>
      <x:c r="C37" s="12" t="n">
        <x:v>0.9799498746867167</x:v>
      </x:c>
      <x:c r="D37" s="2" t="n">
        <x:v>9</x:v>
      </x:c>
      <x:c r="E37" s="2" t="n">
        <x:v>10</x:v>
      </x:c>
      <x:c r="F37" s="12" t="n">
        <x:f>IF(E37=0,"n.a.",D37/E37)</x:f>
        <x:v>0.9</x:v>
      </x:c>
      <x:c r="G37" s="12" t="n">
        <x:v>1</x:v>
      </x:c>
      <x:c r="H37" s="12" t="n">
        <x:v>0.98</x:v>
      </x:c>
      <x:c r="I37" s="2" t="n">
        <x:v>1</x:v>
      </x:c>
      <x:c r="J37" s="14" t="str">
        <x:f>IF(AND(C37&gt;=0.85,F37&gt;=0.9,G37&gt;=0.8),"Lulus","Belum")</x:f>
        <x:v>Lulus</x:v>
      </x:c>
      <x:c r="K37" s="14" t="str">
        <x:f>IF(AND(J37="Lulus",I37=0),"Lulus","Belum")</x:f>
        <x:v>Belum</x:v>
      </x:c>
    </x:row>
    <x:row r="38" ht="25" customHeight="1">
      <x:c r="A38" s="2" t="str">
        <x:v>Putaran 3</x:v>
      </x:c>
      <x:c r="B38" s="2" t="str">
        <x:v>Regresi manusia: 50</x:v>
      </x:c>
      <x:c r="C38" s="12" t="n">
        <x:v>1</x:v>
      </x:c>
      <x:c r="D38" s="2" t="n">
        <x:v>10</x:v>
      </x:c>
      <x:c r="E38" s="2" t="n">
        <x:v>10</x:v>
      </x:c>
      <x:c r="F38" s="12" t="n">
        <x:f>IF(E38=0,"n.a.",D38/E38)</x:f>
        <x:v>1</x:v>
      </x:c>
      <x:c r="G38" s="12" t="n">
        <x:v>1</x:v>
      </x:c>
      <x:c r="H38" s="12" t="n">
        <x:v>1</x:v>
      </x:c>
      <x:c r="I38" s="2" t="n">
        <x:v>0</x:v>
      </x:c>
      <x:c r="J38" s="14" t="str">
        <x:f>IF(AND(C38&gt;=0.85,F38&gt;=0.9,G38&gt;=0.8),"Lulus","Belum")</x:f>
        <x:v>Lulus</x:v>
      </x:c>
      <x:c r="K38" s="14" t="str">
        <x:f>IF(AND(J38="Lulus",I38=0),"Lulus","Belum")</x:f>
        <x:v>Lulus</x:v>
      </x:c>
    </x:row>
    <x:row r="39" ht="25" customHeight="1">
      <x:c r="A39" s="2" t="str">
        <x:v>Putaran 3</x:v>
      </x:c>
      <x:c r="B39" s="2" t="str">
        <x:v>FINAL081</x:v>
      </x:c>
      <x:c r="C39" s="12" t="n">
        <x:v>0.9799498746867167</x:v>
      </x:c>
      <x:c r="D39" s="2" t="n">
        <x:v>9</x:v>
      </x:c>
      <x:c r="E39" s="2" t="n">
        <x:v>10</x:v>
      </x:c>
      <x:c r="F39" s="12" t="n">
        <x:f>IF(E39=0,"n.a.",D39/E39)</x:f>
        <x:v>0.9</x:v>
      </x:c>
      <x:c r="G39" s="12" t="n">
        <x:v>1</x:v>
      </x:c>
      <x:c r="H39" s="12" t="n">
        <x:v>0.98</x:v>
      </x:c>
      <x:c r="I39" s="2" t="n">
        <x:v>0</x:v>
      </x:c>
      <x:c r="J39" s="14" t="str">
        <x:f>IF(AND(C39&gt;=0.85,F39&gt;=0.9,G39&gt;=0.8),"Lulus","Belum")</x:f>
        <x:v>Lulus</x:v>
      </x:c>
      <x:c r="K39" s="14" t="str">
        <x:f>IF(AND(J39="Lulus",I39=0),"Lulus","Belum")</x:f>
        <x:v>Lulus</x:v>
      </x:c>
    </x:row>
    <x:row r="40" ht="25" customHeight="1">
      <x:c r="A40" s="2" t="str">
        <x:v>Putaran 3</x:v>
      </x:c>
      <x:c r="B40" s="2" t="str">
        <x:v>FINAL082</x:v>
      </x:c>
      <x:c r="C40" s="12" t="n">
        <x:v>0.9799498746867167</x:v>
      </x:c>
      <x:c r="D40" s="2" t="n">
        <x:v>9</x:v>
      </x:c>
      <x:c r="E40" s="2" t="n">
        <x:v>10</x:v>
      </x:c>
      <x:c r="F40" s="12" t="n">
        <x:f>IF(E40=0,"n.a.",D40/E40)</x:f>
        <x:v>0.9</x:v>
      </x:c>
      <x:c r="G40" s="12" t="n">
        <x:v>1</x:v>
      </x:c>
      <x:c r="H40" s="12" t="n">
        <x:v>0.98</x:v>
      </x:c>
      <x:c r="I40" s="2" t="n">
        <x:v>1</x:v>
      </x:c>
      <x:c r="J40" s="14" t="str">
        <x:f>IF(AND(C40&gt;=0.85,F40&gt;=0.9,G40&gt;=0.8),"Lulus","Belum")</x:f>
        <x:v>Lulus</x:v>
      </x:c>
      <x:c r="K40" s="14" t="str">
        <x:f>IF(AND(J40="Lulus",I40=0),"Lulus","Belum")</x:f>
        <x:v>Belum</x:v>
      </x:c>
    </x:row>
    <x:row r="41" ht="25" customHeight="1">
      <x:c r="A41" s="2" t="str">
        <x:v>Putaran 3</x:v>
      </x:c>
      <x:c r="B41" s="2" t="str">
        <x:v>Konteks tambahan: 40</x:v>
      </x:c>
      <x:c r="C41" s="12" t="n">
        <x:v>0.7706959706959706</x:v>
      </x:c>
      <x:c r="D41" s="2" t="n">
        <x:v>8</x:v>
      </x:c>
      <x:c r="E41" s="2" t="n">
        <x:v>8</x:v>
      </x:c>
      <x:c r="F41" s="12" t="n">
        <x:f>IF(E41=0,"n.a.",D41/E41)</x:f>
        <x:v>1</x:v>
      </x:c>
      <x:c r="G41" s="12" t="n">
        <x:v>0.5</x:v>
      </x:c>
      <x:c r="H41" s="12" t="n">
        <x:v>0.75</x:v>
      </x:c>
      <x:c r="I41" s="2" t="n">
        <x:v>0</x:v>
      </x:c>
      <x:c r="J41" s="14" t="str">
        <x:f>IF(AND(C41&gt;=0.85,F41&gt;=0.9,G41&gt;=0.8),"Lulus","Belum")</x:f>
        <x:v>Belum</x:v>
      </x:c>
      <x:c r="K41" s="14" t="str">
        <x:f>IF(AND(J41="Lulus",I41=0,H41=1),"Lulus","Belum")</x:f>
        <x:v>Belum</x:v>
      </x:c>
    </x:row>
  </x:sheetData>
  <x:conditionalFormatting sqref="J6:K41">
    <x:cfRule type="containsText" dxfId="2" priority="1" operator="containsText" text="Belum"/>
  </x:conditionalFormatting>
  <x:pageMargins left="0.7" right="0.7" top="0.75" bottom="0.75" header="0.3" footer="0.3"/>
  <x:tableParts count="1">
    <x:tablePart xmlns:r="http://schemas.openxmlformats.org/officeDocument/2006/relationships" r:id="Rbe085b60c7614d1c"/>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8" hidden="0" customWidth="1"/>
    <x:col min="2" max="2" width="32" hidden="0" customWidth="1"/>
    <x:col min="3" max="3" width="84" hidden="0" customWidth="1"/>
    <x:col min="4" max="4" width="19" hidden="0" customWidth="1"/>
    <x:col min="5" max="5" width="19" hidden="0" customWidth="1"/>
    <x:col min="6" max="6" width="17" hidden="0" customWidth="1"/>
    <x:col min="7" max="7" width="17" hidden="0" customWidth="1"/>
    <x:col min="8" max="8" width="35" hidden="0" customWidth="1"/>
  </x:cols>
  <x:sheetData>
    <x:row r="1" ht="25" customHeight="1">
      <x:c r="A1" s="2"/>
      <x:c r="B1" s="2"/>
      <x:c r="C1" s="2"/>
      <x:c r="D1" s="2"/>
      <x:c r="E1" s="2"/>
      <x:c r="F1" s="2"/>
      <x:c r="G1" s="2"/>
      <x:c r="H1" s="2"/>
    </x:row>
    <x:row r="2" ht="25" customHeight="1">
      <x:c r="A2" s="4" t="str">
        <x:v>Kesalahan pada checkpoint diagnostik terpilih</x:v>
      </x:c>
      <x:c r="B2" s="5"/>
      <x:c r="C2" s="5"/>
      <x:c r="D2" s="5"/>
      <x:c r="E2" s="5"/>
      <x:c r="F2" s="5"/>
      <x:c r="G2" s="5"/>
      <x:c r="H2" s="5"/>
    </x:row>
    <x:row r="3" ht="25" customHeight="1">
      <x:c r="A3" s="7" t="str">
        <x:v>Probabilitas berasal dari keluaran model aktual. Semua kesalahan tetap ditampilkan.</x:v>
      </x:c>
      <x:c r="B3" s="2"/>
      <x:c r="C3" s="2"/>
      <x:c r="D3" s="2"/>
      <x:c r="E3" s="2"/>
      <x:c r="F3" s="2"/>
      <x:c r="G3" s="2"/>
      <x:c r="H3" s="2"/>
    </x:row>
    <x:row r="4" ht="25" customHeight="1">
      <x:c r="A4" s="7" t="str">
        <x:v>Kelompok dapat memuat narasi yang sama; angka pada tab ini bukan jumlah narasi unik.</x:v>
      </x:c>
      <x:c r="B4" s="2"/>
      <x:c r="C4" s="2"/>
      <x:c r="D4" s="2"/>
      <x:c r="E4" s="2"/>
      <x:c r="F4" s="2"/>
      <x:c r="G4" s="2"/>
      <x:c r="H4" s="2"/>
    </x:row>
    <x:row r="5" ht="36" customHeight="1">
      <x:c r="A5" s="11" t="str">
        <x:v>Kelompok</x:v>
      </x:c>
      <x:c r="B5" s="11" t="str">
        <x:v>ID</x:v>
      </x:c>
      <x:c r="C5" s="11" t="str">
        <x:v>Narasi</x:v>
      </x:c>
      <x:c r="D5" s="11" t="str">
        <x:v>Acuan kelas</x:v>
      </x:c>
      <x:c r="E5" s="11" t="str">
        <x:v>Prediksi SENA</x:v>
      </x:c>
      <x:c r="F5" s="11" t="str">
        <x:v>Confidence</x:v>
      </x:c>
      <x:c r="G5" s="11" t="str">
        <x:v>Flag &lt;0,95</x:v>
      </x:c>
      <x:c r="H5" s="11" t="str">
        <x:v>Asal/acuan</x:v>
      </x:c>
    </x:row>
    <x:row r="6" ht="68" customHeight="1">
      <x:c r="A6" s="2" t="str">
        <x:v>Manusia 130</x:v>
      </x:c>
      <x:c r="B6" s="2" t="str">
        <x:v>KEC-01450</x:v>
      </x:c>
      <x:c r="C6" s="15" t="str">
        <x:v>dalam 1 pekan ini telah terjadi 3 kecelakaan kapal penyebrangan warning bagi pemerintah untuk segera mengevaluasi bagaimana pengawasan transportasi penyebrangan di lapangan</x:v>
      </x:c>
      <x:c r="D6" s="2" t="str">
        <x:v>NON_EVENT</x:v>
      </x:c>
      <x:c r="E6" s="2" t="str">
        <x:v>ACCIDENT</x:v>
      </x:c>
      <x:c r="F6" s="12" t="n">
        <x:v>0.5350504517555237</x:v>
      </x:c>
      <x:c r="G6" s="14" t="str">
        <x:v>Ya</x:v>
      </x:c>
      <x:c r="H6" s="15" t="str">
        <x:v>Acuan lama, dipakai training/seleksi</x:v>
      </x:c>
    </x:row>
    <x:row r="7" ht="68" customHeight="1">
      <x:c r="A7" s="2" t="str">
        <x:v>Manusia 130</x:v>
      </x:c>
      <x:c r="B7" s="2" t="str">
        <x:v>BAN-01512</x:v>
      </x:c>
      <x:c r="C7" s="15" t="str">
        <x:v>hari ini bu risma melakukan kunjungan ke beberapa lokasi kunjungan ini terkait cara pemkot mengatasi banjir di surabaya di titik ujung timur dan barat surabaya</x:v>
      </x:c>
      <x:c r="D7" s="2" t="str">
        <x:v>NON_EVENT</x:v>
      </x:c>
      <x:c r="E7" s="2" t="str">
        <x:v>FLOOD</x:v>
      </x:c>
      <x:c r="F7" s="12" t="n">
        <x:v>0.9750535488128662</x:v>
      </x:c>
      <x:c r="G7" s="14" t="str">
        <x:v>Tidak</x:v>
      </x:c>
      <x:c r="H7" s="15" t="str">
        <x:v>Acuan lama, dipakai training/seleksi</x:v>
      </x:c>
    </x:row>
    <x:row r="8" ht="68" customHeight="1">
      <x:c r="A8" s="2" t="str">
        <x:v>Manusia 130</x:v>
      </x:c>
      <x:c r="B8" s="2" t="str">
        <x:v>BAN-01925</x:v>
      </x:c>
      <x:c r="C8" s="15" t="str">
        <x:v>banjir dikit menyalahkan pemerintah kalo kau masih buang puntung rokok sama bungkus permen di jalan enggak usah menyalahkan orang lain karena banjir ! !</x:v>
      </x:c>
      <x:c r="D8" s="2" t="str">
        <x:v>NON_EVENT</x:v>
      </x:c>
      <x:c r="E8" s="2" t="str">
        <x:v>FLOOD</x:v>
      </x:c>
      <x:c r="F8" s="12" t="n">
        <x:v>0.7946829199790955</x:v>
      </x:c>
      <x:c r="G8" s="14" t="str">
        <x:v>Ya</x:v>
      </x:c>
      <x:c r="H8" s="15" t="str">
        <x:v>Acuan lama, dipakai training/seleksi</x:v>
      </x:c>
    </x:row>
    <x:row r="9" ht="68" customHeight="1">
      <x:c r="A9" s="2" t="str">
        <x:v>Manusia 130</x:v>
      </x:c>
      <x:c r="B9" s="2" t="str">
        <x:v>GEM-01441</x:v>
      </x:c>
      <x:c r="C9" s="15" t="str">
        <x:v>kabtegal - jateng ( 5/12 ) sama n 1 slawi bersama bpbd dan pmi kabtegal adakan simulasi penanganan bencana gempa bumi di lingkungan sekolah</x:v>
      </x:c>
      <x:c r="D9" s="2" t="str">
        <x:v>NON_EVENT</x:v>
      </x:c>
      <x:c r="E9" s="2" t="str">
        <x:v>EARTHQUAKE</x:v>
      </x:c>
      <x:c r="F9" s="12" t="n">
        <x:v>0.6319692730903625</x:v>
      </x:c>
      <x:c r="G9" s="14" t="str">
        <x:v>Ya</x:v>
      </x:c>
      <x:c r="H9" s="15" t="str">
        <x:v>Acuan lama, dipakai training/seleksi</x:v>
      </x:c>
    </x:row>
    <x:row r="10" ht="68" customHeight="1">
      <x:c r="A10" s="2" t="str">
        <x:v>Label sumber 146</x:v>
      </x:c>
      <x:c r="B10" s="2" t="str">
        <x:v>BAN-01186</x:v>
      </x:c>
      <x:c r="C10" s="15" t="str">
        <x:v>banjir di aceh peneliti zaiyana putri : sekolah &amp; ; outdoor &amp; ; juga menarik</x:v>
      </x:c>
      <x:c r="D10" s="2" t="str">
        <x:v>FLOOD</x:v>
      </x:c>
      <x:c r="E10" s="2" t="str">
        <x:v>NON_EVENT</x:v>
      </x:c>
      <x:c r="F10" s="12" t="n">
        <x:v>0.9371019005775452</x:v>
      </x:c>
      <x:c r="G10" s="14" t="str">
        <x:v>Ya</x:v>
      </x:c>
      <x:c r="H10" s="15" t="str">
        <x:v>Acuan lama, dipakai training/seleksi</x:v>
      </x:c>
    </x:row>
    <x:row r="11" ht="68" customHeight="1">
      <x:c r="A11" s="2" t="str">
        <x:v>Label sumber 146</x:v>
      </x:c>
      <x:c r="B11" s="2" t="str">
        <x:v>BAN-01703</x:v>
      </x:c>
      <x:c r="C11" s="15" t="str">
        <x:v>abang tolongin ini muti mau plng dari acara tadi dari metmall hujan deras banget mana banjir tolonginnnnn haha angkot nya lama nih mana masih jauh rumah mutiabang pokoknya sih you ya di event selanjutnya</x:v>
      </x:c>
      <x:c r="D11" s="2" t="str">
        <x:v>FLOOD</x:v>
      </x:c>
      <x:c r="E11" s="2" t="str">
        <x:v>NON_EVENT</x:v>
      </x:c>
      <x:c r="F11" s="12" t="n">
        <x:v>0.9973475933074951</x:v>
      </x:c>
      <x:c r="G11" s="14" t="str">
        <x:v>Tidak</x:v>
      </x:c>
      <x:c r="H11" s="15" t="str">
        <x:v>Acuan lama, dipakai training/seleksi</x:v>
      </x:c>
    </x:row>
    <x:row r="12" ht="68" customHeight="1">
      <x:c r="A12" s="2" t="str">
        <x:v>Label sumber 146</x:v>
      </x:c>
      <x:c r="B12" s="2" t="str">
        <x:v>BAN-01984</x:v>
      </x:c>
      <x:c r="C12" s="15" t="str">
        <x:v>asli ngeri-ngeri sedap naf eug beberapa kali bikin kegiatan sosial open donasi dari banjir 2014 kelud sinabung bencana asap dan ada beberapa kegiatan sosial lainnya wajib banget share dana yang masuk &amp; keluar sampai terakir bikin lpj itu kalo di komunitas</x:v>
      </x:c>
      <x:c r="D12" s="2" t="str">
        <x:v>FLOOD</x:v>
      </x:c>
      <x:c r="E12" s="2" t="str">
        <x:v>NON_EVENT</x:v>
      </x:c>
      <x:c r="F12" s="12" t="n">
        <x:v>0.999849796295166</x:v>
      </x:c>
      <x:c r="G12" s="14" t="str">
        <x:v>Tidak</x:v>
      </x:c>
      <x:c r="H12" s="15" t="str">
        <x:v>Acuan lama, dipakai training/seleksi</x:v>
      </x:c>
    </x:row>
    <x:row r="13" ht="68" customHeight="1">
      <x:c r="A13" s="2" t="str">
        <x:v>Label sumber 146</x:v>
      </x:c>
      <x:c r="B13" s="2" t="str">
        <x:v>KEB-00264</x:v>
      </x:c>
      <x:c r="C13" s="15" t="str">
        <x:v>1 . kebakaran hutan dan lahan ( ) saat ini sudah mulai dilakukan penanggulangan dan pencegahan nya oleh tim manggala agni klhk , tni dan polri di daerah riau . via</x:v>
      </x:c>
      <x:c r="D13" s="2" t="str">
        <x:v>FIRE</x:v>
      </x:c>
      <x:c r="E13" s="2" t="str">
        <x:v>NON_EVENT</x:v>
      </x:c>
      <x:c r="F13" s="12" t="n">
        <x:v>0.7060673236846924</x:v>
      </x:c>
      <x:c r="G13" s="14" t="str">
        <x:v>Ya</x:v>
      </x:c>
      <x:c r="H13" s="15" t="str">
        <x:v>Acuan lama, dipakai training/seleksi</x:v>
      </x:c>
    </x:row>
    <x:row r="14" ht="68" customHeight="1">
      <x:c r="A14" s="2" t="str">
        <x:v>Label sumber 146</x:v>
      </x:c>
      <x:c r="B14" s="2" t="str">
        <x:v>BAN-01692</x:v>
      </x:c>
      <x:c r="C14" s="15" t="str">
        <x:v>banjir dukungan di injury time</x:v>
      </x:c>
      <x:c r="D14" s="2" t="str">
        <x:v>NON_EVENT</x:v>
      </x:c>
      <x:c r="E14" s="2" t="str">
        <x:v>FLOOD</x:v>
      </x:c>
      <x:c r="F14" s="12" t="n">
        <x:v>0.8981279730796814</x:v>
      </x:c>
      <x:c r="G14" s="14" t="str">
        <x:v>Ya</x:v>
      </x:c>
      <x:c r="H14" s="15" t="str">
        <x:v>Acuan lama, dipakai training/seleksi</x:v>
      </x:c>
    </x:row>
    <x:row r="15" ht="68" customHeight="1">
      <x:c r="A15" s="2" t="str">
        <x:v>Label sumber 146</x:v>
      </x:c>
      <x:c r="B15" s="2" t="str">
        <x:v>KEC-01450</x:v>
      </x:c>
      <x:c r="C15" s="15" t="str">
        <x:v>dalam 1 pekan ini telah terjadi 3 kecelakaan kapal penyebrangan warning bagi pemerintah untuk segera mengevaluasi bagaimana pengawasan transportasi penyebrangan di lapangan</x:v>
      </x:c>
      <x:c r="D15" s="2" t="str">
        <x:v>NON_EVENT</x:v>
      </x:c>
      <x:c r="E15" s="2" t="str">
        <x:v>ACCIDENT</x:v>
      </x:c>
      <x:c r="F15" s="12" t="n">
        <x:v>0.5350504517555237</x:v>
      </x:c>
      <x:c r="G15" s="14" t="str">
        <x:v>Ya</x:v>
      </x:c>
      <x:c r="H15" s="15" t="str">
        <x:v>Acuan lama, dipakai training/seleksi</x:v>
      </x:c>
    </x:row>
    <x:row r="16" ht="68" customHeight="1">
      <x:c r="A16" s="2" t="str">
        <x:v>Label sumber 146</x:v>
      </x:c>
      <x:c r="B16" s="2" t="str">
        <x:v>BAN-01763</x:v>
      </x:c>
      <x:c r="C16" s="15"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D16" s="2" t="str">
        <x:v>NON_EVENT</x:v>
      </x:c>
      <x:c r="E16" s="2" t="str">
        <x:v>FLOOD</x:v>
      </x:c>
      <x:c r="F16" s="12" t="n">
        <x:v>0.8534691333770752</x:v>
      </x:c>
      <x:c r="G16" s="14" t="str">
        <x:v>Ya</x:v>
      </x:c>
      <x:c r="H16" s="15" t="str">
        <x:v>Acuan lama, dipakai training/seleksi</x:v>
      </x:c>
    </x:row>
    <x:row r="17" ht="68" customHeight="1">
      <x:c r="A17" s="2" t="str">
        <x:v>Label sumber 146</x:v>
      </x:c>
      <x:c r="B17" s="2" t="str">
        <x:v>BAN-01512</x:v>
      </x:c>
      <x:c r="C17" s="15" t="str">
        <x:v>hari ini bu risma melakukan kunjungan ke beberapa lokasi kunjungan ini terkait cara pemkot mengatasi banjir di surabaya di titik ujung timur dan barat surabaya</x:v>
      </x:c>
      <x:c r="D17" s="2" t="str">
        <x:v>NON_EVENT</x:v>
      </x:c>
      <x:c r="E17" s="2" t="str">
        <x:v>FLOOD</x:v>
      </x:c>
      <x:c r="F17" s="12" t="n">
        <x:v>0.9750535488128662</x:v>
      </x:c>
      <x:c r="G17" s="14" t="str">
        <x:v>Tidak</x:v>
      </x:c>
      <x:c r="H17" s="15" t="str">
        <x:v>Acuan lama, dipakai training/seleksi</x:v>
      </x:c>
    </x:row>
    <x:row r="18" ht="68" customHeight="1">
      <x:c r="A18" s="2" t="str">
        <x:v>Label sumber 146</x:v>
      </x:c>
      <x:c r="B18" s="2" t="str">
        <x:v>BAN-01925</x:v>
      </x:c>
      <x:c r="C18" s="15" t="str">
        <x:v>banjir dikit menyalahkan pemerintah kalo kau masih buang puntung rokok sama bungkus permen di jalan enggak usah menyalahkan orang lain karena banjir ! !</x:v>
      </x:c>
      <x:c r="D18" s="2" t="str">
        <x:v>NON_EVENT</x:v>
      </x:c>
      <x:c r="E18" s="2" t="str">
        <x:v>FLOOD</x:v>
      </x:c>
      <x:c r="F18" s="12" t="n">
        <x:v>0.7946829199790955</x:v>
      </x:c>
      <x:c r="G18" s="14" t="str">
        <x:v>Ya</x:v>
      </x:c>
      <x:c r="H18" s="15" t="str">
        <x:v>Acuan lama, dipakai training/seleksi</x:v>
      </x:c>
    </x:row>
    <x:row r="19" ht="68" customHeight="1">
      <x:c r="A19" s="2" t="str">
        <x:v>Label sumber 146</x:v>
      </x:c>
      <x:c r="B19" s="2" t="str">
        <x:v>KEC-01006</x:v>
      </x:c>
      <x:c r="C19" s="15" t="str">
        <x:v>4 kecelakaan maut dan mengerikan di dunia karena hal sepele</x:v>
      </x:c>
      <x:c r="D19" s="2" t="str">
        <x:v>NON_EVENT</x:v>
      </x:c>
      <x:c r="E19" s="2" t="str">
        <x:v>ACCIDENT</x:v>
      </x:c>
      <x:c r="F19" s="12" t="n">
        <x:v>0.9142454862594604</x:v>
      </x:c>
      <x:c r="G19" s="14" t="str">
        <x:v>Ya</x:v>
      </x:c>
      <x:c r="H19" s="15" t="str">
        <x:v>Acuan lama, dipakai training/seleksi</x:v>
      </x:c>
    </x:row>
    <x:row r="20" ht="68" customHeight="1">
      <x:c r="A20" s="2" t="str">
        <x:v>Label sumber 146</x:v>
      </x:c>
      <x:c r="B20" s="2" t="str">
        <x:v>GEM-01441</x:v>
      </x:c>
      <x:c r="C20" s="15" t="str">
        <x:v>kabtegal - jateng ( 5/12 ) sama n 1 slawi bersama bpbd dan pmi kabtegal adakan simulasi penanganan bencana gempa bumi di lingkungan sekolah</x:v>
      </x:c>
      <x:c r="D20" s="2" t="str">
        <x:v>NON_EVENT</x:v>
      </x:c>
      <x:c r="E20" s="2" t="str">
        <x:v>EARTHQUAKE</x:v>
      </x:c>
      <x:c r="F20" s="12" t="n">
        <x:v>0.6319692730903625</x:v>
      </x:c>
      <x:c r="G20" s="14" t="str">
        <x:v>Ya</x:v>
      </x:c>
      <x:c r="H20" s="15" t="str">
        <x:v>Acuan lama, dipakai training/seleksi</x:v>
      </x:c>
    </x:row>
    <x:row r="21" ht="68" customHeight="1">
      <x:c r="A21" s="2" t="str">
        <x:v>Adjudikasi 145</x:v>
      </x:c>
      <x:c r="B21" s="2" t="str">
        <x:v>BAN-01703</x:v>
      </x:c>
      <x:c r="C21" s="15" t="str">
        <x:v>abang tolongin ini muti mau plng dari acara tadi dari metmall hujan deras banget mana banjir tolonginnnnn haha angkot nya lama nih mana masih jauh rumah mutiabang pokoknya sih you ya di event selanjutnya</x:v>
      </x:c>
      <x:c r="D21" s="2" t="str">
        <x:v>FLOOD</x:v>
      </x:c>
      <x:c r="E21" s="2" t="str">
        <x:v>NON_EVENT</x:v>
      </x:c>
      <x:c r="F21" s="12" t="n">
        <x:v>0.9973475933074951</x:v>
      </x:c>
      <x:c r="G21" s="14" t="str">
        <x:v>Tidak</x:v>
      </x:c>
      <x:c r="H21" s="15" t="str">
        <x:v>Acuan lama, dipakai training/seleksi</x:v>
      </x:c>
    </x:row>
    <x:row r="22" ht="68" customHeight="1">
      <x:c r="A22" s="2" t="str">
        <x:v>Adjudikasi 145</x:v>
      </x:c>
      <x:c r="B22" s="2" t="str">
        <x:v>KEB-00264</x:v>
      </x:c>
      <x:c r="C22" s="15" t="str">
        <x:v>1 . kebakaran hutan dan lahan ( ) saat ini sudah mulai dilakukan penanggulangan dan pencegahan nya oleh tim manggala agni klhk , tni dan polri di daerah riau . via</x:v>
      </x:c>
      <x:c r="D22" s="2" t="str">
        <x:v>FIRE</x:v>
      </x:c>
      <x:c r="E22" s="2" t="str">
        <x:v>NON_EVENT</x:v>
      </x:c>
      <x:c r="F22" s="12" t="n">
        <x:v>0.7060673236846924</x:v>
      </x:c>
      <x:c r="G22" s="14" t="str">
        <x:v>Ya</x:v>
      </x:c>
      <x:c r="H22" s="15" t="str">
        <x:v>Acuan lama, dipakai training/seleksi</x:v>
      </x:c>
    </x:row>
    <x:row r="23" ht="68" customHeight="1">
      <x:c r="A23" s="2" t="str">
        <x:v>Adjudikasi 145</x:v>
      </x:c>
      <x:c r="B23" s="2" t="str">
        <x:v>BAN-01692</x:v>
      </x:c>
      <x:c r="C23" s="15" t="str">
        <x:v>banjir dukungan di injury time</x:v>
      </x:c>
      <x:c r="D23" s="2" t="str">
        <x:v>NON_EVENT</x:v>
      </x:c>
      <x:c r="E23" s="2" t="str">
        <x:v>FLOOD</x:v>
      </x:c>
      <x:c r="F23" s="12" t="n">
        <x:v>0.8981279730796814</x:v>
      </x:c>
      <x:c r="G23" s="14" t="str">
        <x:v>Ya</x:v>
      </x:c>
      <x:c r="H23" s="15" t="str">
        <x:v>Acuan lama, dipakai training/seleksi</x:v>
      </x:c>
    </x:row>
    <x:row r="24" ht="68" customHeight="1">
      <x:c r="A24" s="2" t="str">
        <x:v>Adjudikasi 145</x:v>
      </x:c>
      <x:c r="B24" s="2" t="str">
        <x:v>KEC-01450</x:v>
      </x:c>
      <x:c r="C24" s="15" t="str">
        <x:v>dalam 1 pekan ini telah terjadi 3 kecelakaan kapal penyebrangan warning bagi pemerintah untuk segera mengevaluasi bagaimana pengawasan transportasi penyebrangan di lapangan</x:v>
      </x:c>
      <x:c r="D24" s="2" t="str">
        <x:v>NON_EVENT</x:v>
      </x:c>
      <x:c r="E24" s="2" t="str">
        <x:v>ACCIDENT</x:v>
      </x:c>
      <x:c r="F24" s="12" t="n">
        <x:v>0.5350504517555237</x:v>
      </x:c>
      <x:c r="G24" s="14" t="str">
        <x:v>Ya</x:v>
      </x:c>
      <x:c r="H24" s="15" t="str">
        <x:v>Acuan lama, dipakai training/seleksi</x:v>
      </x:c>
    </x:row>
    <x:row r="25" ht="68" customHeight="1">
      <x:c r="A25" s="2" t="str">
        <x:v>Adjudikasi 145</x:v>
      </x:c>
      <x:c r="B25" s="2" t="str">
        <x:v>BAN-01763</x:v>
      </x:c>
      <x:c r="C25" s="15"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D25" s="2" t="str">
        <x:v>NON_EVENT</x:v>
      </x:c>
      <x:c r="E25" s="2" t="str">
        <x:v>FLOOD</x:v>
      </x:c>
      <x:c r="F25" s="12" t="n">
        <x:v>0.8534691333770752</x:v>
      </x:c>
      <x:c r="G25" s="14" t="str">
        <x:v>Ya</x:v>
      </x:c>
      <x:c r="H25" s="15" t="str">
        <x:v>Acuan lama, dipakai training/seleksi</x:v>
      </x:c>
    </x:row>
    <x:row r="26" ht="68" customHeight="1">
      <x:c r="A26" s="2" t="str">
        <x:v>Adjudikasi 145</x:v>
      </x:c>
      <x:c r="B26" s="2" t="str">
        <x:v>BAN-01512</x:v>
      </x:c>
      <x:c r="C26" s="15" t="str">
        <x:v>hari ini bu risma melakukan kunjungan ke beberapa lokasi kunjungan ini terkait cara pemkot mengatasi banjir di surabaya di titik ujung timur dan barat surabaya</x:v>
      </x:c>
      <x:c r="D26" s="2" t="str">
        <x:v>NON_EVENT</x:v>
      </x:c>
      <x:c r="E26" s="2" t="str">
        <x:v>FLOOD</x:v>
      </x:c>
      <x:c r="F26" s="12" t="n">
        <x:v>0.9750535488128662</x:v>
      </x:c>
      <x:c r="G26" s="14" t="str">
        <x:v>Tidak</x:v>
      </x:c>
      <x:c r="H26" s="15" t="str">
        <x:v>Acuan lama, dipakai training/seleksi</x:v>
      </x:c>
    </x:row>
    <x:row r="27" ht="68" customHeight="1">
      <x:c r="A27" s="2" t="str">
        <x:v>Adjudikasi 145</x:v>
      </x:c>
      <x:c r="B27" s="2" t="str">
        <x:v>BAN-01925</x:v>
      </x:c>
      <x:c r="C27" s="15" t="str">
        <x:v>banjir dikit menyalahkan pemerintah kalo kau masih buang puntung rokok sama bungkus permen di jalan enggak usah menyalahkan orang lain karena banjir ! !</x:v>
      </x:c>
      <x:c r="D27" s="2" t="str">
        <x:v>NON_EVENT</x:v>
      </x:c>
      <x:c r="E27" s="2" t="str">
        <x:v>FLOOD</x:v>
      </x:c>
      <x:c r="F27" s="12" t="n">
        <x:v>0.7946829199790955</x:v>
      </x:c>
      <x:c r="G27" s="14" t="str">
        <x:v>Ya</x:v>
      </x:c>
      <x:c r="H27" s="15" t="str">
        <x:v>Acuan lama, dipakai training/seleksi</x:v>
      </x:c>
    </x:row>
    <x:row r="28" ht="68" customHeight="1">
      <x:c r="A28" s="2" t="str">
        <x:v>Adjudikasi 145</x:v>
      </x:c>
      <x:c r="B28" s="2" t="str">
        <x:v>KEC-01006</x:v>
      </x:c>
      <x:c r="C28" s="15" t="str">
        <x:v>4 kecelakaan maut dan mengerikan di dunia karena hal sepele</x:v>
      </x:c>
      <x:c r="D28" s="2" t="str">
        <x:v>NON_EVENT</x:v>
      </x:c>
      <x:c r="E28" s="2" t="str">
        <x:v>ACCIDENT</x:v>
      </x:c>
      <x:c r="F28" s="12" t="n">
        <x:v>0.9142454862594604</x:v>
      </x:c>
      <x:c r="G28" s="14" t="str">
        <x:v>Ya</x:v>
      </x:c>
      <x:c r="H28" s="15" t="str">
        <x:v>Acuan lama, dipakai training/seleksi</x:v>
      </x:c>
    </x:row>
    <x:row r="29" ht="68" customHeight="1">
      <x:c r="A29" s="2" t="str">
        <x:v>Adjudikasi 145</x:v>
      </x:c>
      <x:c r="B29" s="2" t="str">
        <x:v>GEM-01441</x:v>
      </x:c>
      <x:c r="C29" s="15" t="str">
        <x:v>kabtegal - jateng ( 5/12 ) sama n 1 slawi bersama bpbd dan pmi kabtegal adakan simulasi penanganan bencana gempa bumi di lingkungan sekolah</x:v>
      </x:c>
      <x:c r="D29" s="2" t="str">
        <x:v>NON_EVENT</x:v>
      </x:c>
      <x:c r="E29" s="2" t="str">
        <x:v>EARTHQUAKE</x:v>
      </x:c>
      <x:c r="F29" s="12" t="n">
        <x:v>0.6319692730903625</x:v>
      </x:c>
      <x:c r="G29" s="14" t="str">
        <x:v>Ya</x:v>
      </x:c>
      <x:c r="H29" s="15" t="str">
        <x:v>Acuan lama, dipakai training/seleksi</x:v>
      </x:c>
    </x:row>
    <x:row r="30" ht="68" customHeight="1">
      <x:c r="A30" s="2" t="str">
        <x:v>Usulan v0.7: 50</x:v>
      </x:c>
      <x:c r="B30" s="2" t="str">
        <x:v>NEW07-NON_EVENT-06</x:v>
      </x:c>
      <x:c r="C30" s="15" t="str">
        <x:v>Suara benturan dalam latihan kecelakaan berasal dari pengeras suara. Mobil rusak dan korban merupakan properti serta pemeran simulasi.</x:v>
      </x:c>
      <x:c r="D30" s="2" t="str">
        <x:v>NON_EVENT</x:v>
      </x:c>
      <x:c r="E30" s="2" t="str">
        <x:v>ACCIDENT</x:v>
      </x:c>
      <x:c r="F30" s="12" t="n">
        <x:v>0.963463306427002</x:v>
      </x:c>
      <x:c r="G30" s="14" t="str">
        <x:v>Tidak</x:v>
      </x:c>
      <x:c r="H30" s="15" t="str">
        <x:v>Acuan lama, dipakai training/seleksi</x:v>
      </x:c>
    </x:row>
    <x:row r="31" ht="68" customHeight="1">
      <x:c r="A31" s="2" t="str">
        <x:v>FINAL081</x:v>
      </x:c>
      <x:c r="B31" s="2" t="str">
        <x:v>FINAL081-NON_EVENT-06</x:v>
      </x:c>
      <x:c r="C31" s="15" t="str">
        <x:v>Tim kelurahan menyiapkan jalur evakuasi untuk mengantisipasi banjir di Kampung Manggala.</x:v>
      </x:c>
      <x:c r="D31" s="2" t="str">
        <x:v>NON_EVENT</x:v>
      </x:c>
      <x:c r="E31" s="2" t="str">
        <x:v>FLOOD</x:v>
      </x:c>
      <x:c r="F31" s="12" t="n">
        <x:v>0.5984328985214233</x:v>
      </x:c>
      <x:c r="G31" s="14" t="str">
        <x:v>Ya</x:v>
      </x:c>
      <x:c r="H31" s="15" t="str">
        <x:v>Acuan lama, dipakai training/seleksi</x:v>
      </x:c>
    </x:row>
    <x:row r="32" ht="68" customHeight="1">
      <x:c r="A32" s="2" t="str">
        <x:v>FINAL082</x:v>
      </x:c>
      <x:c r="B32" s="2" t="str">
        <x:v>FINAL082-NON_EVENT-02</x:v>
      </x:c>
      <x:c r="C32" s="15" t="str">
        <x:v>Kecelakaan dalam latihan di Balai Suryalaya sore ini memakai mobil properti, tanpa kejadian sungguhan.</x:v>
      </x:c>
      <x:c r="D32" s="2" t="str">
        <x:v>NON_EVENT</x:v>
      </x:c>
      <x:c r="E32" s="2" t="str">
        <x:v>ACCIDENT</x:v>
      </x:c>
      <x:c r="F32" s="12" t="n">
        <x:v>0.9865832924842834</x:v>
      </x:c>
      <x:c r="G32" s="14" t="str">
        <x:v>Tidak</x:v>
      </x:c>
      <x:c r="H32" s="15" t="str">
        <x:v>Acuan lama, dipakai training/seleksi</x:v>
      </x:c>
    </x:row>
    <x:row r="33" ht="68" customHeight="1">
      <x:c r="A33" s="2" t="str">
        <x:v>Konteks tambahan: 40</x:v>
      </x:c>
      <x:c r="B33" s="2" t="str">
        <x:v>DIAG083-FLOOD-04</x:v>
      </x:c>
      <x:c r="C33" s="15" t="str">
        <x:v>Informasi banjir telah diperiksa di lokasi dan ternyata benar; pesan ini bukan pengumuman latihan.</x:v>
      </x:c>
      <x:c r="D33" s="2" t="str">
        <x:v>FLOOD</x:v>
      </x:c>
      <x:c r="E33" s="2" t="str">
        <x:v>NON_EVENT</x:v>
      </x:c>
      <x:c r="F33" s="12" t="n">
        <x:v>0.9999622106552124</x:v>
      </x:c>
      <x:c r="G33" s="14" t="str">
        <x:v>Tidak</x:v>
      </x:c>
      <x:c r="H33" s="15" t="str">
        <x:v>Usulan asisten, dipakai training</x:v>
      </x:c>
    </x:row>
    <x:row r="34" ht="68" customHeight="1">
      <x:c r="A34" s="2" t="str">
        <x:v>Konteks tambahan: 40</x:v>
      </x:c>
      <x:c r="B34" s="2" t="str">
        <x:v>DIAG083-FLOOD-08</x:v>
      </x:c>
      <x:c r="C34" s="15" t="str">
        <x:v>Peristiwa banjir memang terjadi pagi ini. Kabar bahwa semuanya hanya peragaan sudah dibantah petugas.</x:v>
      </x:c>
      <x:c r="D34" s="2" t="str">
        <x:v>FLOOD</x:v>
      </x:c>
      <x:c r="E34" s="2" t="str">
        <x:v>NON_EVENT</x:v>
      </x:c>
      <x:c r="F34" s="12" t="n">
        <x:v>0.9027131199836731</x:v>
      </x:c>
      <x:c r="G34" s="14" t="str">
        <x:v>Ya</x:v>
      </x:c>
      <x:c r="H34" s="15" t="str">
        <x:v>Usulan asisten, dipakai training</x:v>
      </x:c>
    </x:row>
    <x:row r="35" ht="68" customHeight="1">
      <x:c r="A35" s="2" t="str">
        <x:v>Konteks tambahan: 40</x:v>
      </x:c>
      <x:c r="B35" s="2" t="str">
        <x:v>DIAG083-EARTHQUAKE-04</x:v>
      </x:c>
      <x:c r="C35" s="15" t="str">
        <x:v>Informasi gempa telah diperiksa di lokasi dan ternyata benar; pesan ini bukan pengumuman latihan.</x:v>
      </x:c>
      <x:c r="D35" s="2" t="str">
        <x:v>EARTHQUAKE</x:v>
      </x:c>
      <x:c r="E35" s="2" t="str">
        <x:v>NON_EVENT</x:v>
      </x:c>
      <x:c r="F35" s="12" t="n">
        <x:v>0.9998844861984253</x:v>
      </x:c>
      <x:c r="G35" s="14" t="str">
        <x:v>Tidak</x:v>
      </x:c>
      <x:c r="H35" s="15" t="str">
        <x:v>Usulan asisten, dipakai training</x:v>
      </x:c>
    </x:row>
    <x:row r="36" ht="68" customHeight="1">
      <x:c r="A36" s="2" t="str">
        <x:v>Konteks tambahan: 40</x:v>
      </x:c>
      <x:c r="B36" s="2" t="str">
        <x:v>DIAG083-EARTHQUAKE-05</x:v>
      </x:c>
      <x:c r="C36" s="15" t="str">
        <x:v>Skenario yang dibaca peserta berbeda dari gempa sungguhan yang sedang ditangani di luar gedung.</x:v>
      </x:c>
      <x:c r="D36" s="2" t="str">
        <x:v>EARTHQUAKE</x:v>
      </x:c>
      <x:c r="E36" s="2" t="str">
        <x:v>NON_EVENT</x:v>
      </x:c>
      <x:c r="F36" s="12" t="n">
        <x:v>0.7484753727912903</x:v>
      </x:c>
      <x:c r="G36" s="14" t="str">
        <x:v>Ya</x:v>
      </x:c>
      <x:c r="H36" s="15" t="str">
        <x:v>Usulan asisten, dipakai training</x:v>
      </x:c>
    </x:row>
    <x:row r="37" ht="68" customHeight="1">
      <x:c r="A37" s="2" t="str">
        <x:v>Konteks tambahan: 40</x:v>
      </x:c>
      <x:c r="B37" s="2" t="str">
        <x:v>DIAG083-EARTHQUAKE-07</x:v>
      </x:c>
      <x:c r="C37" s="15" t="str">
        <x:v>Tim yang semula mengira hanya latihan menemukan gempa nyata dan meminta bantuan segera.</x:v>
      </x:c>
      <x:c r="D37" s="2" t="str">
        <x:v>EARTHQUAKE</x:v>
      </x:c>
      <x:c r="E37" s="2" t="str">
        <x:v>NON_EVENT</x:v>
      </x:c>
      <x:c r="F37" s="12" t="n">
        <x:v>0.9204807281494141</x:v>
      </x:c>
      <x:c r="G37" s="14" t="str">
        <x:v>Ya</x:v>
      </x:c>
      <x:c r="H37" s="15" t="str">
        <x:v>Usulan asisten, dipakai training</x:v>
      </x:c>
    </x:row>
    <x:row r="38" ht="68" customHeight="1">
      <x:c r="A38" s="2" t="str">
        <x:v>Konteks tambahan: 40</x:v>
      </x:c>
      <x:c r="B38" s="2" t="str">
        <x:v>DIAG083-EARTHQUAKE-08</x:v>
      </x:c>
      <x:c r="C38" s="15" t="str">
        <x:v>Peristiwa gempa memang terjadi pagi ini. Kabar bahwa semuanya hanya peragaan sudah dibantah petugas.</x:v>
      </x:c>
      <x:c r="D38" s="2" t="str">
        <x:v>EARTHQUAKE</x:v>
      </x:c>
      <x:c r="E38" s="2" t="str">
        <x:v>NON_EVENT</x:v>
      </x:c>
      <x:c r="F38" s="12" t="n">
        <x:v>0.9555785059928894</x:v>
      </x:c>
      <x:c r="G38" s="14" t="str">
        <x:v>Tidak</x:v>
      </x:c>
      <x:c r="H38" s="15" t="str">
        <x:v>Usulan asisten, dipakai training</x:v>
      </x:c>
    </x:row>
    <x:row r="39" ht="68" customHeight="1">
      <x:c r="A39" s="2" t="str">
        <x:v>Konteks tambahan: 40</x:v>
      </x:c>
      <x:c r="B39" s="2" t="str">
        <x:v>DIAG083-FIRE-04</x:v>
      </x:c>
      <x:c r="C39" s="15" t="str">
        <x:v>Informasi kebakaran telah diperiksa di lokasi dan ternyata benar; pesan ini bukan pengumuman latihan.</x:v>
      </x:c>
      <x:c r="D39" s="2" t="str">
        <x:v>FIRE</x:v>
      </x:c>
      <x:c r="E39" s="2" t="str">
        <x:v>NON_EVENT</x:v>
      </x:c>
      <x:c r="F39" s="12" t="n">
        <x:v>0.9998639822006226</x:v>
      </x:c>
      <x:c r="G39" s="14" t="str">
        <x:v>Tidak</x:v>
      </x:c>
      <x:c r="H39" s="15" t="str">
        <x:v>Usulan asisten, dipakai training</x:v>
      </x:c>
    </x:row>
    <x:row r="40" ht="68" customHeight="1">
      <x:c r="A40" s="2" t="str">
        <x:v>Konteks tambahan: 40</x:v>
      </x:c>
      <x:c r="B40" s="2" t="str">
        <x:v>DIAG083-FIRE-07</x:v>
      </x:c>
      <x:c r="C40" s="15" t="str">
        <x:v>Tim yang semula mengira hanya latihan menemukan kebakaran nyata dan meminta bantuan segera.</x:v>
      </x:c>
      <x:c r="D40" s="2" t="str">
        <x:v>FIRE</x:v>
      </x:c>
      <x:c r="E40" s="2" t="str">
        <x:v>NON_EVENT</x:v>
      </x:c>
      <x:c r="F40" s="12" t="n">
        <x:v>0.7974708676338196</x:v>
      </x:c>
      <x:c r="G40" s="14" t="str">
        <x:v>Ya</x:v>
      </x:c>
      <x:c r="H40" s="15" t="str">
        <x:v>Usulan asisten, dipakai training</x:v>
      </x:c>
    </x:row>
    <x:row r="41" ht="68" customHeight="1">
      <x:c r="A41" s="2" t="str">
        <x:v>Konteks tambahan: 40</x:v>
      </x:c>
      <x:c r="B41" s="2" t="str">
        <x:v>DIAG083-ACCIDENT-04</x:v>
      </x:c>
      <x:c r="C41" s="15" t="str">
        <x:v>Informasi kecelakaan telah diperiksa di lokasi dan ternyata benar; pesan ini bukan pengumuman latihan.</x:v>
      </x:c>
      <x:c r="D41" s="2" t="str">
        <x:v>ACCIDENT</x:v>
      </x:c>
      <x:c r="E41" s="2" t="str">
        <x:v>NON_EVENT</x:v>
      </x:c>
      <x:c r="F41" s="12" t="n">
        <x:v>0.9998695850372314</x:v>
      </x:c>
      <x:c r="G41" s="14" t="str">
        <x:v>Tidak</x:v>
      </x:c>
      <x:c r="H41" s="15" t="str">
        <x:v>Usulan asisten, dipakai training</x:v>
      </x:c>
    </x:row>
    <x:row r="42" ht="68" customHeight="1">
      <x:c r="A42" s="2" t="str">
        <x:v>Konteks tambahan: 40</x:v>
      </x:c>
      <x:c r="B42" s="2" t="str">
        <x:v>DIAG083-ACCIDENT-07</x:v>
      </x:c>
      <x:c r="C42" s="15" t="str">
        <x:v>Tim yang semula mengira hanya latihan menemukan kecelakaan nyata dan meminta bantuan segera.</x:v>
      </x:c>
      <x:c r="D42" s="2" t="str">
        <x:v>ACCIDENT</x:v>
      </x:c>
      <x:c r="E42" s="2" t="str">
        <x:v>NON_EVENT</x:v>
      </x:c>
      <x:c r="F42" s="12" t="n">
        <x:v>0.9808727502822876</x:v>
      </x:c>
      <x:c r="G42" s="14" t="str">
        <x:v>Tidak</x:v>
      </x:c>
      <x:c r="H42" s="15" t="str">
        <x:v>Usulan asisten, dipakai training</x:v>
      </x:c>
    </x:row>
  </x:sheetData>
  <x:pageMargins left="0.7" right="0.7" top="0.75" bottom="0.75" header="0.3" footer="0.3"/>
  <x:tableParts count="1">
    <x:tablePart xmlns:r="http://schemas.openxmlformats.org/officeDocument/2006/relationships" r:id="R549dcebcfe264382"/>
  </x:tableParts>
</x:worksheet>
</file>