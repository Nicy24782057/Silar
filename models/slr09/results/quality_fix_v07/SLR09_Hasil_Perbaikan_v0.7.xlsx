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f67d8276e04a66" /></Relationships>
</file>

<file path=xl/workbook.xml><?xml version="1.0" encoding="utf-8"?>
<x:workbook xmlns:x="http://schemas.openxmlformats.org/spreadsheetml/2006/main">
  <x:sheets>
    <x:sheet xmlns:r="http://schemas.openxmlformats.org/officeDocument/2006/relationships" name="Rangkuman" sheetId="1" r:id="Ra7908f7616d949bf"/>
    <x:sheet xmlns:r="http://schemas.openxmlformats.org/officeDocument/2006/relationships" name="Kesalahan SENA" sheetId="2" r:id="R920a603caf814e29"/>
    <x:sheet xmlns:r="http://schemas.openxmlformats.org/officeDocument/2006/relationships" name="Perubahan Field" sheetId="3" r:id="R3d9646a1a3b247ee"/>
    <x:sheet xmlns:r="http://schemas.openxmlformats.org/officeDocument/2006/relationships" name="Notebook" sheetId="4" r:id="Ra82229871a734944"/>
    <x:sheet xmlns:r="http://schemas.openxmlformats.org/officeDocument/2006/relationships" name="Review Data" sheetId="5" r:id="Re90065b9081a440d"/>
    <x:sheet xmlns:r="http://schemas.openxmlformats.org/officeDocument/2006/relationships" name="Diagnostik Baru" sheetId="6" r:id="Rca3373cf8e7c4e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7">
    <x:font>
      <x:sz val="11"/>
      <x:name val="Carlito"/>
    </x:font>
    <x:font>
      <x:sz val="10"/>
      <x:color rgb="FF172B3A"/>
      <x:name val="Arial"/>
    </x:font>
    <x:font>
      <x:b/>
      <x:sz val="15"/>
      <x:color rgb="FF172B3A"/>
      <x:name val="Arial"/>
    </x:font>
    <x:font>
      <x:i/>
      <x:sz val="10"/>
      <x:color rgb="FF526372"/>
      <x:name val="Arial"/>
    </x:font>
    <x:font>
      <x:b/>
      <x:sz val="10"/>
      <x:color rgb="FFFFFFFF"/>
      <x:name val="Arial"/>
    </x:font>
    <x:font>
      <x:b/>
      <x:sz val="10"/>
      <x:color rgb="FF172B3A"/>
      <x:name val="Arial"/>
    </x:font>
    <x:font>
      <x:sz val="10"/>
      <x:color rgb="FF526372"/>
      <x:name val="Arial"/>
    </x:font>
  </x:fonts>
  <x:fills count="5">
    <x:fill>
      <x:patternFill patternType="none"/>
    </x:fill>
    <x:fill>
      <x:patternFill patternType="gray125"/>
    </x:fill>
    <x:fill>
      <x:patternFill patternType="solid">
        <x:fgColor rgb="FF18344B"/>
      </x:patternFill>
    </x:fill>
    <x:fill>
      <x:patternFill patternType="solid">
        <x:fgColor rgb="FFFFF2CC"/>
      </x:patternFill>
    </x:fill>
    <x:fill>
      <x:patternFill patternType="solid">
        <x:fgColor rgb="FF18344B"/>
      </x:patternFill>
    </x:fill>
  </x:fills>
  <x:borders count="2">
    <x:border>
      <x:left/>
      <x:right/>
      <x:top/>
      <x:bottom/>
      <x:diagonal/>
    </x:border>
    <x:border>
      <x:left/>
      <x:right/>
      <x:top/>
      <x:bottom style="thin">
        <x:color rgb="FFA9BBC9"/>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0" fillId="0" borderId="1" xfId="0" applyNumberFormat="1" applyFont="1" applyFill="1" applyBorder="1"/>
    <x:xf numFmtId="0" fontId="1" fillId="3" borderId="0"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5"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200" fontId="1" fillId="0" borderId="0" xfId="0" applyNumberFormat="1" applyFont="1" applyFill="1" applyBorder="1"/>
    <x:xf numFmtId="0" fontId="1" fillId="0" borderId="0" xfId="0" applyNumberFormat="1" applyFont="1" applyFill="1" applyBorder="1" applyAlignment="1">
      <x:alignment horizontal="center"/>
    </x:xf>
    <x:xf numFmtId="0" fontId="3" fillId="0" borderId="0" xfId="0" applyNumberFormat="1" applyFont="1" applyFill="1" applyBorder="1"/>
  </x:cellXfs>
  <x:cellStyles count="1">
    <x:cellStyle name="Normal" xfId="0"/>
  </x:cellStyles>
  <x:dxfs count="5">
    <x:dxf>
      <x:font>
        <x:b/>
        <x:color rgb="FF9A2424"/>
      </x:font>
      <x:fill>
        <x:patternFill>
          <x:bgColor rgb="FFFCE6E6"/>
        </x:patternFill>
      </x:fill>
    </x:dxf>
    <x:dxf>
      <x:font>
        <x:b/>
        <x:color rgb="FF9A2424"/>
      </x:font>
      <x:fill>
        <x:patternFill>
          <x:bgColor rgb="FFFCE6E6"/>
        </x:patternFill>
      </x:fill>
    </x:dxf>
    <x:dxf>
      <x:font>
        <x:color rgb="FF9A2424"/>
      </x:font>
      <x:fill>
        <x:patternFill>
          <x:bgColor rgb="FFFCE6E6"/>
        </x:patternFill>
      </x:fill>
    </x:dxf>
    <x:dxf>
      <x:font>
        <x:b/>
        <x:color rgb="FF9A2424"/>
      </x:font>
      <x:fill>
        <x:patternFill patternType="solid">
          <x:bgColor rgb="FFFCE6E6"/>
        </x:patternFill>
      </x:fill>
    </x:dxf>
    <x:dxf>
      <x:font>
        <x:b/>
        <x:color rgb="FF9A2424"/>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e668d46ba54836" /><Relationship Type="http://schemas.openxmlformats.org/officeDocument/2006/relationships/theme" Target="/xl/theme/theme1.xml" Id="R56615ec94a584cb7" /><Relationship Type="http://schemas.openxmlformats.org/officeDocument/2006/relationships/sharedStrings" Target="/xl/sharedStrings.xml" Id="R814dbf5d5cc44f13" /><Relationship Type="http://schemas.openxmlformats.org/officeDocument/2006/relationships/worksheet" Target="/xl/worksheets/sheet1.xml" Id="Ra7908f7616d949bf" /><Relationship Type="http://schemas.openxmlformats.org/officeDocument/2006/relationships/worksheet" Target="/xl/worksheets/sheet2.xml" Id="R920a603caf814e29" /><Relationship Type="http://schemas.openxmlformats.org/officeDocument/2006/relationships/worksheet" Target="/xl/worksheets/sheet3.xml" Id="R3d9646a1a3b247ee" /><Relationship Type="http://schemas.openxmlformats.org/officeDocument/2006/relationships/worksheet" Target="/xl/worksheets/sheet4.xml" Id="Ra82229871a734944" /><Relationship Type="http://schemas.openxmlformats.org/officeDocument/2006/relationships/worksheet" Target="/xl/worksheets/sheet5.xml" Id="Re90065b9081a440d" /><Relationship Type="http://schemas.openxmlformats.org/officeDocument/2006/relationships/worksheet" Target="/xl/worksheets/sheet6.xml" Id="Rca3373cf8e7c4e70" /></Relationships>
</file>

<file path=xl/tables/table1.xml><?xml version="1.0" encoding="utf-8"?>
<x:table xmlns:x="http://schemas.openxmlformats.org/spreadsheetml/2006/main" id="1" name="KesalahanSENATable" displayName="KesalahanSENATable" ref="A5:G25" headerRowCount="1" totalsRowCount="0" totalsRowShown="0">
  <x:tableColumns count="7">
    <x:tableColumn id="1" name="Sumber"/>
    <x:tableColumn id="2" name="ID"/>
    <x:tableColumn id="3" name="Narasi"/>
    <x:tableColumn id="4" name="Acuan"/>
    <x:tableColumn id="5" name="Prediksi"/>
    <x:tableColumn id="6" name="Confidence"/>
    <x:tableColumn id="7" name="Confidence ≥0,95"/>
  </x:tableColumns>
  <x:tableStyleInfo name="TableStyleMedium2" showFirstColumn="0" showLastColumn="0" showRowStripes="1" showColumnStripes="0"/>
</x:table>
</file>

<file path=xl/tables/table2.xml><?xml version="1.0" encoding="utf-8"?>
<x:table xmlns:x="http://schemas.openxmlformats.org/spreadsheetml/2006/main" id="2" name="PerubahanFieldTable" displayName="PerubahanFieldTable" ref="A5:F61" headerRowCount="1" totalsRowCount="0" totalsRowShown="0">
  <x:tableColumns count="6">
    <x:tableColumn id="1" name="ID"/>
    <x:tableColumn id="2" name="Field"/>
    <x:tableColumn id="3" name="Acuan manusia"/>
    <x:tableColumn id="4" name="Sebelum"/>
    <x:tableColumn id="5" name="Sesudah"/>
    <x:tableColumn id="6" name="Hasil sesudah"/>
  </x:tableColumns>
  <x:tableStyleInfo name="TableStyleMedium2" showFirstColumn="0" showLastColumn="0" showRowStripes="1" showColumnStripes="0"/>
</x:table>
</file>

<file path=xl/tables/table3.xml><?xml version="1.0" encoding="utf-8"?>
<x:table xmlns:x="http://schemas.openxmlformats.org/spreadsheetml/2006/main" id="3" name="NotebookTable" displayName="NotebookTable" ref="A5:D15" headerRowCount="1" totalsRowCount="0" totalsRowShown="0">
  <x:tableColumns count="4">
    <x:tableColumn id="1" name="Notebook"/>
    <x:tableColumn id="2" name="Kegunaan"/>
    <x:tableColumn id="3" name="Pelaksanaan"/>
    <x:tableColumn id="4" name="Batas hasil"/>
  </x:tableColumns>
  <x:tableStyleInfo name="TableStyleMedium2" showFirstColumn="0" showLastColumn="0" showRowStripes="1" showColumnStripes="0"/>
</x:table>
</file>

<file path=xl/tables/table4.xml><?xml version="1.0" encoding="utf-8"?>
<x:table xmlns:x="http://schemas.openxmlformats.org/spreadsheetml/2006/main" id="4" name="ReviewDataTable" displayName="ReviewDataTable" ref="A5:G45" headerRowCount="1" totalsRowCount="0" totalsRowShown="0">
  <x:tableColumns count="7">
    <x:tableColumn id="1" name="ID"/>
    <x:tableColumn id="2" name="Narasi"/>
    <x:tableColumn id="3" name="Label sumber"/>
    <x:tableColumn id="4" name="Kelas reviewer"/>
    <x:tableColumn id="5" name="Status"/>
    <x:tableColumn id="6" name="Catatan"/>
    <x:tableColumn id="7" name="Asal label"/>
  </x:tableColumns>
  <x:tableStyleInfo name="TableStyleMedium2" showFirstColumn="0" showLastColumn="0" showRowStripes="1" showColumnStripes="0"/>
</x:table>
</file>

<file path=xl/tables/table5.xml><?xml version="1.0" encoding="utf-8"?>
<x:table xmlns:x="http://schemas.openxmlformats.org/spreadsheetml/2006/main" id="5" name="DiagnostikBaruV07Table" displayName="DiagnostikBaruV07Table" ref="A5:G55" headerRowCount="1" totalsRowCount="0" totalsRowShown="0">
  <x:tableColumns count="7">
    <x:tableColumn id="1" name="ID"/>
    <x:tableColumn id="2" name="Narasi"/>
    <x:tableColumn id="3" name="Acuan usulan"/>
    <x:tableColumn id="4" name="Prediksi"/>
    <x:tableColumn id="5" name="Confidence"/>
    <x:tableColumn id="6" name="Perbandingan"/>
    <x:tableColumn id="7" name="Konte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ea2c4f86744bcb" /></Relationships>
</file>

<file path=xl/worksheets/_rels/sheet3.xml.rels>&#65279;<?xml version="1.0" encoding="utf-8"?><Relationships xmlns="http://schemas.openxmlformats.org/package/2006/relationships"><Relationship Type="http://schemas.openxmlformats.org/officeDocument/2006/relationships/table" Target="/xl/tables/table2.xml" Id="R80d66cff74e74f06" /></Relationships>
</file>

<file path=xl/worksheets/_rels/sheet4.xml.rels>&#65279;<?xml version="1.0" encoding="utf-8"?><Relationships xmlns="http://schemas.openxmlformats.org/package/2006/relationships"><Relationship Type="http://schemas.openxmlformats.org/officeDocument/2006/relationships/table" Target="/xl/tables/table3.xml" Id="Rb6fa1bdfb36947bf" /></Relationships>
</file>

<file path=xl/worksheets/_rels/sheet5.xml.rels>&#65279;<?xml version="1.0" encoding="utf-8"?><Relationships xmlns="http://schemas.openxmlformats.org/package/2006/relationships"><Relationship Type="http://schemas.openxmlformats.org/officeDocument/2006/relationships/table" Target="/xl/tables/table4.xml" Id="R9a0b926d00b94c5c" /></Relationships>
</file>

<file path=xl/worksheets/_rels/sheet6.xml.rels>&#65279;<?xml version="1.0" encoding="utf-8"?><Relationships xmlns="http://schemas.openxmlformats.org/package/2006/relationships"><Relationship Type="http://schemas.openxmlformats.org/officeDocument/2006/relationships/table" Target="/xl/tables/table5.xml" Id="Rd709028589b74410" /></Relationships>
</file>

<file path=xl/worksheets/sheet1.xml><?xml version="1.0" encoding="utf-8"?>
<x:worksheet xmlns:x="http://schemas.openxmlformats.org/spreadsheetml/2006/main">
  <x:sheetPr>
    <x:tabColor rgb="FF18344B"/>
  </x:sheetPr>
  <x:sheetViews>
    <x:sheetView showGridLines="0" workbookViewId="0"/>
  </x:sheetViews>
  <x:sheetFormatPr defaultRowHeight="15"/>
  <x:cols>
    <x:col min="1" max="1" width="39" hidden="0" customWidth="1"/>
    <x:col min="2" max="2" width="18" hidden="0" customWidth="1"/>
    <x:col min="3" max="3" width="18" hidden="0" customWidth="1"/>
    <x:col min="4" max="4" width="18" hidden="0" customWidth="1"/>
    <x:col min="5" max="5" width="15" hidden="0" customWidth="1"/>
    <x:col min="6" max="6" width="22" hidden="0" customWidth="1"/>
  </x:cols>
  <x:sheetData>
    <x:row r="1" ht="24" customHeight="1">
      <x:c r="A1" s="2"/>
      <x:c r="B1" s="2"/>
      <x:c r="C1" s="2"/>
      <x:c r="D1" s="2"/>
      <x:c r="E1" s="2"/>
      <x:c r="F1" s="2"/>
    </x:row>
    <x:row r="2" ht="24" customHeight="1">
      <x:c r="A2" s="4" t="str">
        <x:v>SLR_09: hasil perbaikan v0.7</x:v>
      </x:c>
      <x:c r="B2" s="5"/>
      <x:c r="C2" s="5"/>
      <x:c r="D2" s="5"/>
      <x:c r="E2" s="5"/>
      <x:c r="F2" s="5"/>
    </x:row>
    <x:row r="3" ht="24" customHeight="1">
      <x:c r="A3" s="2"/>
      <x:c r="B3" s="2"/>
      <x:c r="C3" s="2"/>
      <x:c r="D3" s="2"/>
      <x:c r="E3" s="2"/>
      <x:c r="F3" s="2"/>
    </x:row>
    <x:row r="4" ht="24" customHeight="1">
      <x:c r="A4" s="6" t="str">
        <x:v>50 narasi lama: pemeriksaan regresi setelah perbaikan, bukan uji akhir independen.</x:v>
      </x:c>
      <x:c r="B4" s="6"/>
      <x:c r="C4" s="6"/>
      <x:c r="D4" s="6"/>
      <x:c r="E4" s="6"/>
      <x:c r="F4" s="6"/>
    </x:row>
    <x:row r="5" ht="24" customHeight="1">
      <x:c r="A5" s="6" t="str">
        <x:v>Target tetap. Cutoff confidence 0,95. Hasil metrik tidak memberi persetujuan mutu otomatis.</x:v>
      </x:c>
      <x:c r="B5" s="6"/>
      <x:c r="C5" s="6"/>
      <x:c r="D5" s="6"/>
      <x:c r="E5" s="6"/>
      <x:c r="F5" s="6"/>
    </x:row>
    <x:row r="6" ht="24" customHeight="1">
      <x:c r="A6" s="2"/>
      <x:c r="B6" s="2"/>
      <x:c r="C6" s="2"/>
      <x:c r="D6" s="2"/>
      <x:c r="E6" s="2"/>
      <x:c r="F6" s="2"/>
    </x:row>
    <x:row r="7" ht="24" customHeight="1">
      <x:c r="A7" s="2"/>
      <x:c r="B7" s="2"/>
      <x:c r="C7" s="2"/>
      <x:c r="D7" s="2"/>
      <x:c r="E7" s="2"/>
      <x:c r="F7" s="2"/>
    </x:row>
    <x:row r="8" ht="30" customHeight="1">
      <x:c r="A8" s="9" t="str">
        <x:v>Penilaian</x:v>
      </x:c>
      <x:c r="B8" s="9" t="str">
        <x:v>Sebelum</x:v>
      </x:c>
      <x:c r="C8" s="9" t="str">
        <x:v>Sesudah</x:v>
      </x:c>
      <x:c r="D8" s="9" t="str">
        <x:v>Target</x:v>
      </x:c>
      <x:c r="E8" s="9" t="str">
        <x:v>Aturan</x:v>
      </x:c>
      <x:c r="F8" s="9" t="str">
        <x:v>Status metrik</x:v>
      </x:c>
    </x:row>
    <x:row r="9" ht="24" customHeight="1">
      <x:c r="A9" s="2" t="str">
        <x:v>SENA macro F1</x:v>
      </x:c>
      <x:c r="B9" s="10" t="n">
        <x:v>0.8298570994223168</x:v>
      </x:c>
      <x:c r="C9" s="10" t="n">
        <x:v>0.9587301587301587</x:v>
      </x:c>
      <x:c r="D9" s="10" t="n">
        <x:v>0.85</x:v>
      </x:c>
      <x:c r="E9" s="2" t="str">
        <x:v>&gt;=</x:v>
      </x:c>
      <x:c r="F9" s="2" t="str">
        <x:f>IF(C9&gt;=D9,"Memenuhi","Belum")</x:f>
        <x:v>Memenuhi</x:v>
      </x:c>
    </x:row>
    <x:row r="10" ht="24" customHeight="1">
      <x:c r="A10" s="2" t="str">
        <x:v>Recall NON_EVENT</x:v>
      </x:c>
      <x:c r="B10" s="10" t="n">
        <x:v>0.3</x:v>
      </x:c>
      <x:c r="C10" s="10" t="n">
        <x:v>0.8</x:v>
      </x:c>
      <x:c r="D10" s="10" t="n">
        <x:v>0.9</x:v>
      </x:c>
      <x:c r="E10" s="2" t="str">
        <x:v>&gt;=</x:v>
      </x:c>
      <x:c r="F10" s="2" t="str">
        <x:f>IF(C10&gt;=D10,"Memenuhi","Belum")</x:f>
        <x:v>Belum</x:v>
      </x:c>
    </x:row>
    <x:row r="11" ht="24" customHeight="1">
      <x:c r="A11" s="2" t="str">
        <x:v>NARA token macro F1</x:v>
      </x:c>
      <x:c r="B11" s="10" t="n">
        <x:v>0.8850632111299132</x:v>
      </x:c>
      <x:c r="C11" s="10" t="n">
        <x:v>0.8850632111299132</x:v>
      </x:c>
      <x:c r="D11" s="10" t="n">
        <x:v>0.75</x:v>
      </x:c>
      <x:c r="E11" s="2" t="str">
        <x:v>&gt;=</x:v>
      </x:c>
      <x:c r="F11" s="2" t="str">
        <x:f>IF(C11&gt;=D11,"Memenuhi","Belum")</x:f>
        <x:v>Memenuhi</x:v>
      </x:c>
    </x:row>
    <x:row r="12" ht="24" customHeight="1">
      <x:c r="A12" s="2" t="str">
        <x:v>NARA span F1</x:v>
      </x:c>
      <x:c r="B12" s="10" t="n">
        <x:v>0.8672199170124482</x:v>
      </x:c>
      <x:c r="C12" s="10" t="n">
        <x:v>0.8672199170124482</x:v>
      </x:c>
      <x:c r="D12" s="10" t="n">
        <x:v>0.6</x:v>
      </x:c>
      <x:c r="E12" s="2" t="str">
        <x:v>&gt;=</x:v>
      </x:c>
      <x:c r="F12" s="2" t="str">
        <x:f>IF(C12&gt;=D12,"Memenuhi","Belum")</x:f>
        <x:v>Memenuhi</x:v>
      </x:c>
    </x:row>
    <x:row r="13" ht="24" customHeight="1">
      <x:c r="A13" s="2" t="str">
        <x:v>Ketepatan field nonkosong</x:v>
      </x:c>
      <x:c r="B13" s="10" t="n">
        <x:v>0.7539267015706806</x:v>
      </x:c>
      <x:c r="C13" s="10" t="n">
        <x:v>0.9162303664921466</x:v>
      </x:c>
      <x:c r="D13" s="10" t="n">
        <x:v>0.8</x:v>
      </x:c>
      <x:c r="E13" s="2" t="str">
        <x:v>&gt;=</x:v>
      </x:c>
      <x:c r="F13" s="2" t="str">
        <x:f>IF(C13&gt;=D13,"Memenuhi","Belum")</x:f>
        <x:v>Memenuhi</x:v>
      </x:c>
    </x:row>
    <x:row r="14" ht="24" customHeight="1">
      <x:c r="A14" s="2" t="str">
        <x:v>Isi berlebih pada field kosong</x:v>
      </x:c>
      <x:c r="B14" s="10" t="n">
        <x:v>0.05660377358490566</x:v>
      </x:c>
      <x:c r="C14" s="10" t="n">
        <x:v>0.012578616352201259</x:v>
      </x:c>
      <x:c r="D14" s="10" t="n">
        <x:v>0.05</x:v>
      </x:c>
      <x:c r="E14" s="2" t="str">
        <x:v>&lt;=</x:v>
      </x:c>
      <x:c r="F14" s="2" t="str">
        <x:f>IF(C14&lt;=D14,"Memenuhi","Belum")</x:f>
        <x:v>Memenuhi</x:v>
      </x:c>
    </x:row>
    <x:row r="15" ht="24" customHeight="1">
      <x:c r="A15" s="2"/>
      <x:c r="B15" s="2"/>
      <x:c r="C15" s="2"/>
      <x:c r="D15" s="2"/>
      <x:c r="E15" s="2"/>
      <x:c r="F15" s="2"/>
    </x:row>
    <x:row r="16" ht="24" customHeight="1">
      <x:c r="A16" s="2"/>
      <x:c r="B16" s="2"/>
      <x:c r="C16" s="2"/>
      <x:c r="D16" s="2"/>
      <x:c r="E16" s="2"/>
      <x:c r="F16" s="2"/>
    </x:row>
    <x:row r="17" ht="24" customHeight="1">
      <x:c r="A17" s="11" t="str">
        <x:v>Validasi pengembangan: 146 narasi yang sama untuk pemilihan checkpoint</x:v>
      </x:c>
      <x:c r="B17" s="2"/>
      <x:c r="C17" s="2"/>
      <x:c r="D17" s="2"/>
      <x:c r="E17" s="2"/>
      <x:c r="F17" s="2"/>
    </x:row>
    <x:row r="18" ht="24" customHeight="1">
      <x:c r="A18" s="2"/>
      <x:c r="B18" s="2"/>
      <x:c r="C18" s="2"/>
      <x:c r="D18" s="2"/>
      <x:c r="E18" s="2"/>
      <x:c r="F18" s="2"/>
    </x:row>
    <x:row r="19" ht="30" customHeight="1">
      <x:c r="A19" s="9" t="str">
        <x:v>Pelatihan</x:v>
      </x:c>
      <x:c r="B19" s="9" t="str">
        <x:v>Macro F1</x:v>
      </x:c>
      <x:c r="C19" s="9" t="str">
        <x:v>Recall NON_EVENT</x:v>
      </x:c>
      <x:c r="D19" s="9" t="str">
        <x:v>Recall kejadian min.</x:v>
      </x:c>
      <x:c r="E19" s="9" t="str">
        <x:v>Epoch terbaik</x:v>
      </x:c>
      <x:c r="F19" s="9" t="str">
        <x:v>Target NE</x:v>
      </x:c>
    </x:row>
    <x:row r="20" ht="24" customHeight="1">
      <x:c r="A20" s="2" t="str">
        <x:v>Pelatihan 1</x:v>
      </x:c>
      <x:c r="B20" s="10" t="n">
        <x:v>0.8524114362468668</x:v>
      </x:c>
      <x:c r="C20" s="10" t="n">
        <x:v>0.5483870967741935</x:v>
      </x:c>
      <x:c r="D20" s="10" t="n">
        <x:v>0.9166666666666666</x:v>
      </x:c>
      <x:c r="E20" s="2" t="n">
        <x:v>2</x:v>
      </x:c>
      <x:c r="F20" s="10" t="n">
        <x:v>0.9</x:v>
      </x:c>
    </x:row>
    <x:row r="21" ht="24" customHeight="1">
      <x:c r="A21" s="2" t="str">
        <x:v>Pelatihan 2</x:v>
      </x:c>
      <x:c r="B21" s="10" t="n">
        <x:v>0.9080445955133785</x:v>
      </x:c>
      <x:c r="C21" s="10" t="n">
        <x:v>0.7741935483870968</x:v>
      </x:c>
      <x:c r="D21" s="10" t="n">
        <x:v>0.9142857142857143</x:v>
      </x:c>
      <x:c r="E21" s="2" t="n">
        <x:v>2</x:v>
      </x:c>
      <x:c r="F21" s="10" t="n">
        <x:v>0.9</x:v>
      </x:c>
    </x:row>
    <x:row r="22" ht="24" customHeight="1">
      <x:c r="A22" s="2" t="str">
        <x:v>Penyesuaian bias dev</x:v>
      </x:c>
      <x:c r="B22" s="10" t="n">
        <x:v>0.8988168570955457</x:v>
      </x:c>
      <x:c r="C22" s="10" t="n">
        <x:v>0.9032258064516129</x:v>
      </x:c>
      <x:c r="D22" s="10" t="n">
        <x:v>0.84375</x:v>
      </x:c>
      <x:c r="E22" s="2" t="n">
        <x:v>2</x:v>
      </x:c>
      <x:c r="F22" s="10" t="n">
        <x:v>0.9</x:v>
      </x:c>
    </x:row>
    <x:row r="23" ht="24" customHeight="1">
      <x:c r="A23" s="2" t="str">
        <x:v>Pasangan konteks v0.7</x:v>
      </x:c>
      <x:c r="B23" s="10" t="n">
        <x:v>0.9073398624817243</x:v>
      </x:c>
      <x:c r="C23" s="10" t="n">
        <x:v>0.7096774193548387</x:v>
      </x:c>
      <x:c r="D23" s="10" t="n">
        <x:v>0.9375</x:v>
      </x:c>
      <x:c r="E23" s="2" t="n">
        <x:v>1</x:v>
      </x:c>
      <x:c r="F23" s="10" t="n">
        <x:v>0.9</x:v>
      </x:c>
    </x:row>
    <x:row r="24" ht="24" customHeight="1">
      <x:c r="A24" s="6" t="str">
        <x:v>Development asisten 74 dipakai seleksi. Diagnostik baru 50 belum direview manusia.</x:v>
      </x:c>
      <x:c r="B24" s="2"/>
      <x:c r="C24" s="2"/>
      <x:c r="D24" s="2"/>
      <x:c r="E24" s="2"/>
      <x:c r="F24" s="2"/>
    </x:row>
    <x:row r="25" ht="24" customHeight="1">
      <x:c r="A25" s="2"/>
      <x:c r="B25" s="2"/>
      <x:c r="C25" s="2"/>
      <x:c r="D25" s="2"/>
      <x:c r="E25" s="2"/>
      <x:c r="F25" s="2"/>
    </x:row>
    <x:row r="26" ht="30" customHeight="1">
      <x:c r="A26" s="16" t="str">
        <x:v>Diagnostik baru v0.7</x:v>
      </x:c>
      <x:c r="B26" s="16" t="str">
        <x:v>Jumlah</x:v>
      </x:c>
      <x:c r="C26" s="16" t="str">
        <x:v>Macro F1</x:v>
      </x:c>
      <x:c r="D26" s="16" t="str">
        <x:v>Recall NON_EVENT</x:v>
      </x:c>
      <x:c r="E26" s="16" t="str">
        <x:v>Recall nyata min.</x:v>
      </x:c>
      <x:c r="F26" s="16" t="str">
        <x:v>Status target</x:v>
      </x:c>
    </x:row>
    <x:row r="27" ht="24" customHeight="1">
      <x:c r="A27" s="2" t="str">
        <x:v>Label usulan asisten</x:v>
      </x:c>
      <x:c r="B27" s="2" t="n">
        <x:v>50</x:v>
      </x:c>
      <x:c r="C27" s="10" t="n">
        <x:v>0.9599498746867168</x:v>
      </x:c>
      <x:c r="D27" s="10" t="n">
        <x:v>0.9</x:v>
      </x:c>
      <x:c r="E27" s="10" t="n">
        <x:v>0.9</x:v>
      </x:c>
      <x:c r="F27" s="19" t="str">
        <x:f>IF(AND(C27&gt;=D9,D27&gt;=D10,E27&gt;=D29),"Memenuhi","Belum")</x:f>
        <x:v>Memenuhi</x:v>
      </x:c>
    </x:row>
    <x:row r="28" ht="24" customHeight="1">
      <x:c r="A28" s="2"/>
      <x:c r="B28" s="2"/>
      <x:c r="C28" s="2"/>
      <x:c r="D28" s="2"/>
      <x:c r="E28" s="2"/>
      <x:c r="F28" s="2"/>
    </x:row>
    <x:row r="29" ht="24" customHeight="1">
      <x:c r="A29" s="2" t="str">
        <x:v>Recall kejadian terendah (baru 50)</x:v>
      </x:c>
      <x:c r="B29" s="2"/>
      <x:c r="C29" s="10" t="n">
        <x:f>E27</x:f>
        <x:v>0.9</x:v>
      </x:c>
      <x:c r="D29" s="10" t="n">
        <x:v>0.8</x:v>
      </x:c>
      <x:c r="E29" s="2"/>
      <x:c r="F29" s="2" t="str">
        <x:f>IF(C29&gt;=D29,"Memenuhi","Belum")</x:f>
        <x:v>Memenuhi</x:v>
      </x:c>
    </x:row>
    <x:row r="30" ht="24" customHeight="1">
      <x:c r="A30" s="2" t="str">
        <x:v>Pemeriksaan kontrak kode</x:v>
      </x:c>
      <x:c r="B30" s="2" t="str">
        <x:v>71/71 lulus</x:v>
      </x:c>
      <x:c r="C30" s="2"/>
      <x:c r="D30" s="2"/>
      <x:c r="E30" s="2"/>
      <x:c r="F30" s="2"/>
    </x:row>
    <x:row r="31" ht="24" customHeight="1">
      <x:c r="A31" s="2" t="str">
        <x:v>Status SLR_09</x:v>
      </x:c>
      <x:c r="B31" s="2" t="str">
        <x:v>IN REVIEW</x:v>
      </x:c>
      <x:c r="C31" s="2"/>
      <x:c r="D31" s="2"/>
      <x:c r="E31" s="2"/>
      <x:c r="F31" s="2"/>
    </x:row>
    <x:row r="32" ht="24" customHeight="1">
      <x:c r="A32" s="2"/>
      <x:c r="B32" s="2"/>
      <x:c r="C32" s="2"/>
      <x:c r="D32" s="2"/>
      <x:c r="E32" s="2"/>
      <x:c r="F32" s="2"/>
    </x:row>
    <x:row r="33" ht="24" customHeight="1">
      <x:c r="A33" s="6" t="str">
        <x:v>Review label development dan lakukan penerimaan baru dengan acuan manusia sebelum Done.</x:v>
      </x:c>
      <x:c r="B33" s="12"/>
      <x:c r="C33" s="12"/>
      <x:c r="D33" s="12"/>
      <x:c r="E33" s="12"/>
      <x:c r="F33" s="12"/>
    </x:row>
    <x:row r="34" ht="24" customHeight="1">
      <x:c r="A34" s="12" t="str">
        <x:v>Perbandingan dengan ZIP repositori sebelumnya ditunda sesuai permintaan.</x:v>
      </x:c>
      <x:c r="B34" s="12"/>
      <x:c r="C34" s="12"/>
      <x:c r="D34" s="12"/>
      <x:c r="E34" s="12"/>
      <x:c r="F34" s="12"/>
    </x:row>
    <x:row r="35" ht="24" customHeight="1">
      <x:c r="A35" s="2"/>
      <x:c r="B35" s="2"/>
      <x:c r="C35" s="2"/>
      <x:c r="D35" s="2"/>
      <x:c r="E35" s="2"/>
      <x:c r="F35" s="2"/>
    </x:row>
    <x:row r="36" ht="24" customHeight="1">
      <x:c r="A36" s="2"/>
      <x:c r="B36" s="2"/>
      <x:c r="C36" s="2"/>
      <x:c r="D36" s="2"/>
      <x:c r="E36" s="2"/>
      <x:c r="F36" s="2"/>
    </x:row>
    <x:row r="37" ht="24" customHeight="1">
      <x:c r="A37" s="6" t="str">
        <x:v>Angka field: tepat untuk acuan nonkosong; isi berlebih dihitung hanya pada acuan kosong.</x:v>
      </x:c>
      <x:c r="B37" s="2"/>
      <x:c r="C37" s="2"/>
      <x:c r="D37" s="2"/>
      <x:c r="E37" s="2"/>
      <x:c r="F37" s="2"/>
    </x:row>
    <x:row r="38" ht="24" customHeight="1">
      <x:c r="A38" s="2"/>
      <x:c r="B38" s="2"/>
      <x:c r="C38" s="2"/>
      <x:c r="D38" s="2"/>
      <x:c r="E38" s="2"/>
      <x:c r="F38" s="2"/>
    </x:row>
    <x:row r="39" ht="24" customHeight="1">
      <x:c r="A39" s="6" t="str">
        <x:v>Status target merangkum metrik label usulan. Penerimaan mutu belum diberikan.</x:v>
      </x:c>
      <x:c r="B39" s="2"/>
      <x:c r="C39" s="2"/>
      <x:c r="D39" s="2"/>
      <x:c r="E39" s="2"/>
      <x:c r="F39" s="2"/>
    </x:row>
    <x:row r="40" ht="24" customHeight="1">
      <x:c r="A40" s="1"/>
      <x:c r="B40" s="1"/>
      <x:c r="C40" s="1"/>
      <x:c r="D40" s="1"/>
      <x:c r="E40" s="1"/>
      <x:c r="F40" s="1"/>
    </x:row>
    <x:row r="41" ht="24" customHeight="1">
      <x:c r="A41" s="20" t="str">
        <x:v>Riwayat diagnostik dan development</x:v>
      </x:c>
      <x:c r="B41" s="1"/>
      <x:c r="C41" s="1"/>
      <x:c r="D41" s="1"/>
      <x:c r="E41" s="1"/>
      <x:c r="F41" s="1"/>
    </x:row>
    <x:row r="42" ht="24" customHeight="1">
      <x:c r="A42" s="1"/>
      <x:c r="B42" s="1"/>
      <x:c r="C42" s="1"/>
      <x:c r="D42" s="1"/>
      <x:c r="E42" s="1"/>
      <x:c r="F42" s="1"/>
    </x:row>
    <x:row r="43" ht="30" customHeight="1">
      <x:c r="A43" s="16" t="str">
        <x:v>Percobaan dan data</x:v>
      </x:c>
      <x:c r="B43" s="16" t="str">
        <x:v>Jumlah</x:v>
      </x:c>
      <x:c r="C43" s="16" t="str">
        <x:v>Macro F1</x:v>
      </x:c>
      <x:c r="D43" s="16" t="str">
        <x:v>Recall NON_EVENT</x:v>
      </x:c>
      <x:c r="E43" s="16" t="str">
        <x:v>Recall nyata min.</x:v>
      </x:c>
      <x:c r="F43" s="16" t="str">
        <x:v>Peran data kini</x:v>
      </x:c>
    </x:row>
    <x:row r="44" ht="24" customHeight="1">
      <x:c r="A44" s="1" t="str">
        <x:v>v0.5, 24 lama</x:v>
      </x:c>
      <x:c r="B44" s="1" t="n">
        <x:v>24</x:v>
      </x:c>
      <x:c r="C44" s="24" t="n">
        <x:v>0.8006593406593406</x:v>
      </x:c>
      <x:c r="D44" s="24" t="n">
        <x:v>0.9166666666666666</x:v>
      </x:c>
      <x:c r="E44" s="24" t="n">
        <x:v>0.3333333333333333</x:v>
      </x:c>
      <x:c r="F44" s="25" t="str">
        <x:v>Kini development</x:v>
      </x:c>
    </x:row>
    <x:row r="45" ht="24" customHeight="1">
      <x:c r="A45" s="1" t="str">
        <x:v>v0.6, 24 lama</x:v>
      </x:c>
      <x:c r="B45" s="1" t="n">
        <x:v>24</x:v>
      </x:c>
      <x:c r="C45" s="24" t="n">
        <x:v>0.9147619047619047</x:v>
      </x:c>
      <x:c r="D45" s="24" t="n">
        <x:v>0.9166666666666666</x:v>
      </x:c>
      <x:c r="E45" s="24" t="n">
        <x:v>0.6666666666666666</x:v>
      </x:c>
      <x:c r="F45" s="25" t="str">
        <x:v>Kini development</x:v>
      </x:c>
    </x:row>
    <x:row r="46" ht="24" customHeight="1">
      <x:c r="A46" s="1" t="str">
        <x:v>v0.6, 50 baru</x:v>
      </x:c>
      <x:c r="B46" s="1" t="n">
        <x:v>50</x:v>
      </x:c>
      <x:c r="C46" s="24" t="n">
        <x:v>0.7940258862165555</x:v>
      </x:c>
      <x:c r="D46" s="24" t="n">
        <x:v>0.9</x:v>
      </x:c>
      <x:c r="E46" s="24" t="n">
        <x:v>0.6</x:v>
      </x:c>
      <x:c r="F46" s="25" t="str">
        <x:v>Kini development</x:v>
      </x:c>
    </x:row>
    <x:row r="47" ht="24" customHeight="1">
      <x:c r="A47" s="1" t="str">
        <x:v>v0.7, 74 lama</x:v>
      </x:c>
      <x:c r="B47" s="1" t="n">
        <x:v>74</x:v>
      </x:c>
      <x:c r="C47" s="24" t="n">
        <x:v>0.9755016835016835</x:v>
      </x:c>
      <x:c r="D47" s="24" t="n">
        <x:v>0.9545454545454546</x:v>
      </x:c>
      <x:c r="E47" s="24" t="n">
        <x:v>0.9230769230769231</x:v>
      </x:c>
      <x:c r="F47" s="25" t="str">
        <x:v>Dipakai seleksi</x:v>
      </x:c>
    </x:row>
    <x:row r="48" ht="24" customHeight="1">
      <x:c r="A48" s="1"/>
      <x:c r="B48" s="1"/>
      <x:c r="C48" s="1"/>
      <x:c r="D48" s="1"/>
      <x:c r="E48" s="1"/>
      <x:c r="F48" s="1"/>
    </x:row>
    <x:row r="49" ht="24" customHeight="1">
      <x:c r="A49" s="26" t="str">
        <x:v>Target tidak diturunkan. Set yang dipakai memperbaiki model menjadi development.</x:v>
      </x:c>
      <x:c r="B49" s="1"/>
      <x:c r="C49" s="1"/>
      <x:c r="D49" s="1"/>
      <x:c r="E49" s="1"/>
      <x:c r="F49" s="1"/>
    </x:row>
    <x:row r="50" ht="24" customHeight="1">
      <x:c r="A50" s="1"/>
      <x:c r="B50" s="1"/>
      <x:c r="C50" s="1"/>
      <x:c r="D50" s="1"/>
      <x:c r="E50" s="1"/>
      <x:c r="F50" s="1"/>
    </x:row>
    <x:row r="51" ht="24" customHeight="1">
      <x:c r="A51" s="1" t="str">
        <x:v>Status APPROVED (dari 40)</x:v>
      </x:c>
      <x:c r="B51" s="1" t="n">
        <x:f>COUNTIF('Review Data'!E6:E45,"APPROVED")</x:f>
        <x:v>0</x:v>
      </x:c>
      <x:c r="C51" s="1"/>
      <x:c r="D51" s="1"/>
      <x:c r="E51" s="1" t="str">
        <x:v>PENDING</x:v>
      </x:c>
      <x:c r="F51" s="1" t="n">
        <x:f>COUNTIF('Review Data'!E6:E45,"PENDING")</x:f>
        <x:v>40</x:v>
      </x:c>
    </x:row>
    <x:row r="52" ht="24" customHeight="1">
      <x:c r="A52" s="1"/>
      <x:c r="B52" s="1"/>
      <x:c r="C52" s="1"/>
      <x:c r="D52" s="1"/>
      <x:c r="E52" s="1"/>
      <x:c r="F52" s="1"/>
    </x:row>
    <x:row r="53" ht="24" customHeight="1">
      <x:c r="A53" s="26" t="str">
        <x:v>Review Data tetap berisi 40 baris asli. Reviewer dan keputusan diisi oleh manusia.</x:v>
      </x:c>
      <x:c r="B53" s="1"/>
      <x:c r="C53" s="1"/>
      <x:c r="D53" s="1"/>
      <x:c r="E53" s="1"/>
      <x:c r="F53" s="1"/>
    </x:row>
    <x:row r="54" ht="24" customHeight="1">
      <x:c r="A54" s="1"/>
      <x:c r="B54" s="1"/>
      <x:c r="C54" s="1"/>
      <x:c r="D54" s="1"/>
      <x:c r="E54" s="1"/>
      <x:c r="F54" s="1"/>
    </x:row>
  </x:sheetData>
  <x:conditionalFormatting sqref="F9:F14">
    <x:cfRule type="containsText" dxfId="0" priority="1" operator="containsText" text="Belum"/>
  </x:conditionalFormatting>
  <x:conditionalFormatting sqref="F29:F29">
    <x:cfRule type="containsText" dxfId="1" priority="2" operator="containsText" text="Belum"/>
  </x:conditionalFormatting>
  <x:conditionalFormatting sqref="F27:F27">
    <x:cfRule type="containsText" dxfId="3" priority="3" operator="containsText" text="Belum"/>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20" hidden="0" customWidth="1"/>
    <x:col min="3" max="3" width="90" hidden="0" customWidth="1"/>
    <x:col min="4" max="4" width="20" hidden="0" customWidth="1"/>
    <x:col min="5" max="5" width="20" hidden="0" customWidth="1"/>
    <x:col min="6" max="6" width="15" hidden="0" customWidth="1"/>
    <x:col min="7" max="7" width="24" hidden="0" customWidth="1"/>
  </x:cols>
  <x:sheetData>
    <x:row r="1" ht="24" customHeight="1">
      <x:c r="A1" s="2"/>
      <x:c r="B1" s="2"/>
      <x:c r="C1" s="2"/>
      <x:c r="D1" s="2"/>
      <x:c r="E1" s="2"/>
      <x:c r="F1" s="2"/>
      <x:c r="G1" s="2"/>
    </x:row>
    <x:row r="2" ht="24" customHeight="1">
      <x:c r="A2" s="4" t="str">
        <x:v>Kesalahan klasifikasi yang masih terlihat</x:v>
      </x:c>
      <x:c r="B2" s="5"/>
      <x:c r="C2" s="5"/>
      <x:c r="D2" s="5"/>
      <x:c r="E2" s="5"/>
      <x:c r="F2" s="5"/>
      <x:c r="G2" s="2"/>
    </x:row>
    <x:row r="3" ht="24" customHeight="1">
      <x:c r="A3" s="2"/>
      <x:c r="B3" s="2"/>
      <x:c r="C3" s="2"/>
      <x:c r="D3" s="2"/>
      <x:c r="E3" s="2"/>
      <x:c r="F3" s="2"/>
      <x:c r="G3" s="2"/>
    </x:row>
    <x:row r="4" ht="24" customHeight="1">
      <x:c r="A4" s="2" t="str">
        <x:v>Kesalahan kandidat v0.7. Acuan tambahan asisten belum disetujui manusia.</x:v>
      </x:c>
      <x:c r="B4" s="2"/>
      <x:c r="C4" s="2"/>
      <x:c r="D4" s="2"/>
      <x:c r="E4" s="2"/>
      <x:c r="F4" s="2"/>
      <x:c r="G4" s="2"/>
    </x:row>
    <x:row r="5" ht="30" customHeight="1">
      <x:c r="A5" s="9" t="str">
        <x:v>Sumber</x:v>
      </x:c>
      <x:c r="B5" s="9" t="str">
        <x:v>ID</x:v>
      </x:c>
      <x:c r="C5" s="9" t="str">
        <x:v>Narasi</x:v>
      </x:c>
      <x:c r="D5" s="9" t="str">
        <x:v>Acuan</x:v>
      </x:c>
      <x:c r="E5" s="9" t="str">
        <x:v>Prediksi</x:v>
      </x:c>
      <x:c r="F5" s="9" t="str">
        <x:v>Confidence</x:v>
      </x:c>
      <x:c r="G5" s="9" t="str">
        <x:v>Confidence ≥0,95</x:v>
      </x:c>
    </x:row>
    <x:row r="6" ht="65" customHeight="1">
      <x:c r="A6" s="2" t="str">
        <x:v>Development manusia146</x:v>
      </x:c>
      <x:c r="B6" s="2" t="str">
        <x:v>BAN-01703</x:v>
      </x:c>
      <x:c r="C6" s="13" t="str">
        <x:v>abang tolongin ini muti mau plng dari acara tadi dari metmall hujan deras banget mana banjir tolonginnnnn haha angkot nya lama nih mana masih jauh rumah mutiabang pokoknya sih you ya di event selanjutnya</x:v>
      </x:c>
      <x:c r="D6" s="2" t="str">
        <x:v>FLOOD</x:v>
      </x:c>
      <x:c r="E6" s="2" t="str">
        <x:v>NON_EVENT</x:v>
      </x:c>
      <x:c r="F6" s="10" t="n">
        <x:v>0.8228756173740638</x:v>
      </x:c>
      <x:c r="G6" s="2" t="str">
        <x:v>Tidak</x:v>
      </x:c>
    </x:row>
    <x:row r="7" ht="65" customHeight="1">
      <x:c r="A7" s="2" t="str">
        <x:v>Development manusia146</x:v>
      </x:c>
      <x:c r="B7" s="2" t="str">
        <x:v>BAN-01984</x:v>
      </x:c>
      <x:c r="C7" s="13" t="str">
        <x:v>asli ngeri-ngeri sedap naf eug beberapa kali bikin kegiatan sosial open donasi dari banjir 2014 kelud sinabung bencana asap dan ada beberapa kegiatan sosial lainnya wajib banget share dana yang masuk &amp; keluar sampai terakir bikin lpj itu kalo di komunitas</x:v>
      </x:c>
      <x:c r="D7" s="2" t="str">
        <x:v>FLOOD</x:v>
      </x:c>
      <x:c r="E7" s="2" t="str">
        <x:v>NON_EVENT</x:v>
      </x:c>
      <x:c r="F7" s="10" t="n">
        <x:v>0.9559826741772822</x:v>
      </x:c>
      <x:c r="G7" s="2" t="str">
        <x:v>Ya</x:v>
      </x:c>
    </x:row>
    <x:row r="8" ht="65" customHeight="1">
      <x:c r="A8" s="2" t="str">
        <x:v>Development manusia146</x:v>
      </x:c>
      <x:c r="B8" s="2" t="str">
        <x:v>GEM-01323</x:v>
      </x:c>
      <x:c r="C8" s="13" t="str">
        <x:v>sebelum gempa bumi yang begitu dahsat begitu indah ya pemandang di kator inch setiap ada kegiatan apa saja pasti di tempat inich orang berkumpul tapi sayang itu semua tinggal kenangan belaka saja karena sok di hempas</x:v>
      </x:c>
      <x:c r="D8" s="2" t="str">
        <x:v>EARTHQUAKE</x:v>
      </x:c>
      <x:c r="E8" s="2" t="str">
        <x:v>NON_EVENT</x:v>
      </x:c>
      <x:c r="F8" s="10" t="n">
        <x:v>0.7498189176986368</x:v>
      </x:c>
      <x:c r="G8" s="2" t="str">
        <x:v>Tidak</x:v>
      </x:c>
    </x:row>
    <x:row r="9" ht="65" customHeight="1">
      <x:c r="A9" s="2" t="str">
        <x:v>Development manusia146</x:v>
      </x:c>
      <x:c r="B9" s="2" t="str">
        <x:v>KEB-00264</x:v>
      </x:c>
      <x:c r="C9" s="13" t="str">
        <x:v>1 . kebakaran hutan dan lahan ( ) saat ini sudah mulai dilakukan penanggulangan dan pencegahan nya oleh tim manggala agni klhk , tni dan polri di daerah riau . via</x:v>
      </x:c>
      <x:c r="D9" s="2" t="str">
        <x:v>FIRE</x:v>
      </x:c>
      <x:c r="E9" s="2" t="str">
        <x:v>NON_EVENT</x:v>
      </x:c>
      <x:c r="F9" s="10" t="n">
        <x:v>0.8399049667749339</x:v>
      </x:c>
      <x:c r="G9" s="2" t="str">
        <x:v>Tidak</x:v>
      </x:c>
    </x:row>
    <x:row r="10" ht="65" customHeight="1">
      <x:c r="A10" s="2" t="str">
        <x:v>Development manusia146</x:v>
      </x:c>
      <x:c r="B10" s="2" t="str">
        <x:v>KEB-00940</x:v>
      </x:c>
      <x:c r="C10" s="13" t="str">
        <x:v>. . . . kavling dpr di sidoarjo udah kebakaran semalem . baru tau di story ig . bener-bener bakalan banyak api mulai hari ini .</x:v>
      </x:c>
      <x:c r="D10" s="2" t="str">
        <x:v>FIRE</x:v>
      </x:c>
      <x:c r="E10" s="2" t="str">
        <x:v>NON_EVENT</x:v>
      </x:c>
      <x:c r="F10" s="10" t="n">
        <x:v>0.6588538571302196</x:v>
      </x:c>
      <x:c r="G10" s="2" t="str">
        <x:v>Tidak</x:v>
      </x:c>
    </x:row>
    <x:row r="11" ht="65" customHeight="1">
      <x:c r="A11" s="2" t="str">
        <x:v>Development manusia146</x:v>
      </x:c>
      <x:c r="B11" s="2" t="str">
        <x:v>BAN-01692</x:v>
      </x:c>
      <x:c r="C11" s="13" t="str">
        <x:v>banjir dukungan di injury time</x:v>
      </x:c>
      <x:c r="D11" s="2" t="str">
        <x:v>NON_EVENT</x:v>
      </x:c>
      <x:c r="E11" s="2" t="str">
        <x:v>FLOOD</x:v>
      </x:c>
      <x:c r="F11" s="10" t="n">
        <x:v>0.9922922889800354</x:v>
      </x:c>
      <x:c r="G11" s="2" t="str">
        <x:v>Ya</x:v>
      </x:c>
    </x:row>
    <x:row r="12" ht="65" customHeight="1">
      <x:c r="A12" s="2" t="str">
        <x:v>Development manusia146</x:v>
      </x:c>
      <x:c r="B12" s="2" t="str">
        <x:v>BAN-01221</x:v>
      </x:c>
      <x:c r="C12" s="13" t="str">
        <x:v>tahh lamun bandung banjir ieu salah sahiji mobil nu jadi sebabna ngeunah pisan di jalan bengawan parkir nyatu kacang sabari runtahna dipiceun dijalan mikirrrrr ath</x:v>
      </x:c>
      <x:c r="D12" s="2" t="str">
        <x:v>NON_EVENT</x:v>
      </x:c>
      <x:c r="E12" s="2" t="str">
        <x:v>FLOOD</x:v>
      </x:c>
      <x:c r="F12" s="10" t="n">
        <x:v>0.980073520183151</x:v>
      </x:c>
      <x:c r="G12" s="2" t="str">
        <x:v>Ya</x:v>
      </x:c>
    </x:row>
    <x:row r="13" ht="65" customHeight="1">
      <x:c r="A13" s="2" t="str">
        <x:v>Development manusia146</x:v>
      </x:c>
      <x:c r="B13" s="2" t="str">
        <x:v>BAN-01763</x:v>
      </x:c>
      <x:c r="C13" s="13"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D13" s="2" t="str">
        <x:v>NON_EVENT</x:v>
      </x:c>
      <x:c r="E13" s="2" t="str">
        <x:v>FLOOD</x:v>
      </x:c>
      <x:c r="F13" s="10" t="n">
        <x:v>0.9939034145305986</x:v>
      </x:c>
      <x:c r="G13" s="2" t="str">
        <x:v>Ya</x:v>
      </x:c>
    </x:row>
    <x:row r="14" ht="65" customHeight="1">
      <x:c r="A14" s="2" t="str">
        <x:v>Development manusia146</x:v>
      </x:c>
      <x:c r="B14" s="2" t="str">
        <x:v>BAN-01512</x:v>
      </x:c>
      <x:c r="C14" s="13" t="str">
        <x:v>hari ini bu risma melakukan kunjungan ke beberapa lokasi kunjungan ini terkait cara pemkot mengatasi banjir di surabaya di titik ujung timur dan barat surabaya</x:v>
      </x:c>
      <x:c r="D14" s="2" t="str">
        <x:v>NON_EVENT</x:v>
      </x:c>
      <x:c r="E14" s="2" t="str">
        <x:v>FLOOD</x:v>
      </x:c>
      <x:c r="F14" s="10" t="n">
        <x:v>0.997355693288901</x:v>
      </x:c>
      <x:c r="G14" s="2" t="str">
        <x:v>Ya</x:v>
      </x:c>
    </x:row>
    <x:row r="15" ht="65" customHeight="1">
      <x:c r="A15" s="2" t="str">
        <x:v>Development manusia146</x:v>
      </x:c>
      <x:c r="B15" s="2" t="str">
        <x:v>BAN-01925</x:v>
      </x:c>
      <x:c r="C15" s="13" t="str">
        <x:v>banjir dikit menyalahkan pemerintah kalo kau masih buang puntung rokok sama bungkus permen di jalan enggak usah menyalahkan orang lain karena banjir ! !</x:v>
      </x:c>
      <x:c r="D15" s="2" t="str">
        <x:v>NON_EVENT</x:v>
      </x:c>
      <x:c r="E15" s="2" t="str">
        <x:v>FLOOD</x:v>
      </x:c>
      <x:c r="F15" s="10" t="n">
        <x:v>0.9906577363332266</x:v>
      </x:c>
      <x:c r="G15" s="2" t="str">
        <x:v>Ya</x:v>
      </x:c>
    </x:row>
    <x:row r="16" ht="65" customHeight="1">
      <x:c r="A16" s="2" t="str">
        <x:v>Development manusia146</x:v>
      </x:c>
      <x:c r="B16" s="2" t="str">
        <x:v>KEC-01006</x:v>
      </x:c>
      <x:c r="C16" s="13" t="str">
        <x:v>4 kecelakaan maut dan mengerikan di dunia karena hal sepele</x:v>
      </x:c>
      <x:c r="D16" s="2" t="str">
        <x:v>NON_EVENT</x:v>
      </x:c>
      <x:c r="E16" s="2" t="str">
        <x:v>ACCIDENT</x:v>
      </x:c>
      <x:c r="F16" s="10" t="n">
        <x:v>0.973547506625955</x:v>
      </x:c>
      <x:c r="G16" s="2" t="str">
        <x:v>Ya</x:v>
      </x:c>
    </x:row>
    <x:row r="17" ht="65" customHeight="1">
      <x:c r="A17" s="2" t="str">
        <x:v>Development manusia146</x:v>
      </x:c>
      <x:c r="B17" s="2" t="str">
        <x:v>BAN-01048</x:v>
      </x:c>
      <x:c r="C17" s="13" t="str">
        <x:v>p mau pantun boleh ? boleh ya waktu semarang kaline banjir seng di sayang ratau mikir</x:v>
      </x:c>
      <x:c r="D17" s="2" t="str">
        <x:v>NON_EVENT</x:v>
      </x:c>
      <x:c r="E17" s="2" t="str">
        <x:v>FLOOD</x:v>
      </x:c>
      <x:c r="F17" s="10" t="n">
        <x:v>0.9104909200371173</x:v>
      </x:c>
      <x:c r="G17" s="2" t="str">
        <x:v>Tidak</x:v>
      </x:c>
    </x:row>
    <x:row r="18" ht="65" customHeight="1">
      <x:c r="A18" s="2" t="str">
        <x:v>Development manusia146</x:v>
      </x:c>
      <x:c r="B18" s="2" t="str">
        <x:v>GEM-01441</x:v>
      </x:c>
      <x:c r="C18" s="13" t="str">
        <x:v>kabtegal - jateng ( 5/12 ) sama n 1 slawi bersama bpbd dan pmi kabtegal adakan simulasi penanganan bencana gempa bumi di lingkungan sekolah</x:v>
      </x:c>
      <x:c r="D18" s="2" t="str">
        <x:v>NON_EVENT</x:v>
      </x:c>
      <x:c r="E18" s="2" t="str">
        <x:v>EARTHQUAKE</x:v>
      </x:c>
      <x:c r="F18" s="10" t="n">
        <x:v>0.8650606950130194</x:v>
      </x:c>
      <x:c r="G18" s="2" t="str">
        <x:v>Tidak</x:v>
      </x:c>
    </x:row>
    <x:row r="19" ht="65" customHeight="1">
      <x:c r="A19" s="2" t="str">
        <x:v>Development manusia146</x:v>
      </x:c>
      <x:c r="B19" s="2" t="str">
        <x:v>BAN-01619</x:v>
      </x:c>
      <x:c r="C19" s="13" t="str">
        <x:v>ini super kereeeeeeeeeeen banjir boneka di pertandingan piala presiden</x:v>
      </x:c>
      <x:c r="D19" s="2" t="str">
        <x:v>NON_EVENT</x:v>
      </x:c>
      <x:c r="E19" s="2" t="str">
        <x:v>FLOOD</x:v>
      </x:c>
      <x:c r="F19" s="10" t="n">
        <x:v>0.9150410269198676</x:v>
      </x:c>
      <x:c r="G19" s="2" t="str">
        <x:v>Tidak</x:v>
      </x:c>
    </x:row>
    <x:row r="20" ht="65" customHeight="1">
      <x:c r="A20" s="2" t="str">
        <x:v>Regresi manusia50 lama</x:v>
      </x:c>
      <x:c r="B20" s="2" t="str">
        <x:v>MVP-NEW-041</x:v>
      </x:c>
      <x:c r="C20" s="13" t="str">
        <x:v>Petugas mengadakan simulasi kebakaran di halaman kantor kelurahan pagi ini.</x:v>
      </x:c>
      <x:c r="D20" s="2" t="str">
        <x:v>NON_EVENT</x:v>
      </x:c>
      <x:c r="E20" s="2" t="str">
        <x:v>FIRE</x:v>
      </x:c>
      <x:c r="F20" s="10" t="n">
        <x:v>0.6802815794944763</x:v>
      </x:c>
      <x:c r="G20" s="2" t="str">
        <x:v>Tidak</x:v>
      </x:c>
    </x:row>
    <x:row r="21" ht="65" customHeight="1">
      <x:c r="A21" s="2" t="str">
        <x:v>Regresi manusia50 lama</x:v>
      </x:c>
      <x:c r="B21" s="2" t="str">
        <x:v>MVP-NEW-049</x:v>
      </x:c>
      <x:c r="C21" s="13" t="str">
        <x:v>Warga diminta bersiap menghadapi kemungkinan banjir minggu depan.</x:v>
      </x:c>
      <x:c r="D21" s="2" t="str">
        <x:v>NON_EVENT</x:v>
      </x:c>
      <x:c r="E21" s="2" t="str">
        <x:v>FLOOD</x:v>
      </x:c>
      <x:c r="F21" s="10" t="n">
        <x:v>0.8880837559700012</x:v>
      </x:c>
      <x:c r="G21" s="2" t="str">
        <x:v>Tidak</x:v>
      </x:c>
    </x:row>
    <x:row r="22" ht="65" customHeight="1">
      <x:c r="A22" s="2" t="str">
        <x:v>Development asisten74</x:v>
      </x:c>
      <x:c r="B22" s="2" t="str">
        <x:v>FRESH-05-024</x:v>
      </x:c>
      <x:c r="C22" s="13" t="str">
        <x:v>Petugas mengklarifikasi kabar kecelakaan di Jalan Kamboja: kendaraan berhenti biasa dan tidak saling menabrak.</x:v>
      </x:c>
      <x:c r="D22" s="2" t="str">
        <x:v>NON_EVENT</x:v>
      </x:c>
      <x:c r="E22" s="2" t="str">
        <x:v>ACCIDENT</x:v>
      </x:c>
      <x:c r="F22" s="10" t="n">
        <x:v>0.9953283071517944</x:v>
      </x:c>
      <x:c r="G22" s="2" t="str">
        <x:v>Ya</x:v>
      </x:c>
    </x:row>
    <x:row r="23" ht="65" customHeight="1">
      <x:c r="A23" s="2" t="str">
        <x:v>Development asisten74</x:v>
      </x:c>
      <x:c r="B23" s="2" t="str">
        <x:v>NEW06-EARTHQUAKE-09</x:v>
      </x:c>
      <x:c r="C23" s="13" t="str">
        <x:v>Kabar gempa awalnya diragukan, tetapi tim lapangan memastikan guncangan nyata dan menemukan rumah rusak.</x:v>
      </x:c>
      <x:c r="D23" s="2" t="str">
        <x:v>EARTHQUAKE</x:v>
      </x:c>
      <x:c r="E23" s="2" t="str">
        <x:v>NON_EVENT</x:v>
      </x:c>
      <x:c r="F23" s="10" t="n">
        <x:v>0.834839940071106</x:v>
      </x:c>
      <x:c r="G23" s="2" t="str">
        <x:v>Tidak</x:v>
      </x:c>
    </x:row>
    <x:row r="24" ht="65" customHeight="1">
      <x:c r="A24" s="2" t="str">
        <x:v>Diagnostik baru50 v0.7</x:v>
      </x:c>
      <x:c r="B24" s="2" t="str">
        <x:v>NEW07-FLOOD-09</x:v>
      </x:c>
      <x:c r="C24" s="13" t="str">
        <x:v>Kabar gempa di kampung kami salah. Justru banjir yang sedang terjadi, dengan jalan dan halaman rumah tergenang.</x:v>
      </x:c>
      <x:c r="D24" s="2" t="str">
        <x:v>FLOOD</x:v>
      </x:c>
      <x:c r="E24" s="2" t="str">
        <x:v>NON_EVENT</x:v>
      </x:c>
      <x:c r="F24" s="10" t="n">
        <x:v>0.6946331858634949</x:v>
      </x:c>
      <x:c r="G24" s="2" t="str">
        <x:v>Tidak</x:v>
      </x:c>
    </x:row>
    <x:row r="25" ht="65" customHeight="1">
      <x:c r="A25" s="2" t="str">
        <x:v>Diagnostik baru50 v0.7</x:v>
      </x:c>
      <x:c r="B25" s="2" t="str">
        <x:v>NEW07-NON_EVENT-06</x:v>
      </x:c>
      <x:c r="C25" s="13" t="str">
        <x:v>Suara benturan dalam latihan kecelakaan berasal dari pengeras suara. Mobil rusak dan korban merupakan properti serta pemeran simulasi.</x:v>
      </x:c>
      <x:c r="D25" s="2" t="str">
        <x:v>NON_EVENT</x:v>
      </x:c>
      <x:c r="E25" s="2" t="str">
        <x:v>ACCIDENT</x:v>
      </x:c>
      <x:c r="F25" s="10" t="n">
        <x:v>0.9035694003105164</x:v>
      </x:c>
      <x:c r="G25" s="2" t="str">
        <x:v>Tidak</x:v>
      </x:c>
    </x:row>
  </x:sheetData>
  <x:pageMargins left="0.7" right="0.7" top="0.75" bottom="0.75" header="0.3" footer="0.3"/>
  <x:tableParts count="1">
    <x:tablePart xmlns:r="http://schemas.openxmlformats.org/officeDocument/2006/relationships" r:id="R2aea2c4f86744bcb"/>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23" hidden="0" customWidth="1"/>
    <x:col min="3" max="3" width="43" hidden="0" customWidth="1"/>
    <x:col min="4" max="4" width="43" hidden="0" customWidth="1"/>
    <x:col min="5" max="5" width="43" hidden="0" customWidth="1"/>
    <x:col min="6" max="6" width="20" hidden="0" customWidth="1"/>
  </x:cols>
  <x:sheetData>
    <x:row r="1" ht="24" customHeight="1">
      <x:c r="A1" s="2"/>
      <x:c r="B1" s="2"/>
      <x:c r="C1" s="2"/>
      <x:c r="D1" s="2"/>
      <x:c r="E1" s="2"/>
      <x:c r="F1" s="2"/>
    </x:row>
    <x:row r="2" ht="24" customHeight="1">
      <x:c r="A2" s="4" t="str">
        <x:v>Field yang berbeda sebelum atau sesudah perbaikan</x:v>
      </x:c>
      <x:c r="B2" s="5"/>
      <x:c r="C2" s="5"/>
      <x:c r="D2" s="5"/>
      <x:c r="E2" s="5"/>
      <x:c r="F2" s="5"/>
    </x:row>
    <x:row r="3" ht="24" customHeight="1">
      <x:c r="A3" s="2"/>
      <x:c r="B3" s="2"/>
      <x:c r="C3" s="2"/>
      <x:c r="D3" s="2"/>
      <x:c r="E3" s="2"/>
      <x:c r="F3" s="2"/>
    </x:row>
    <x:row r="4" ht="24" customHeight="1">
      <x:c r="A4" s="2" t="str">
        <x:v>Sumber: acuan manusia 50 narasi dan hasil inferensi. [] atau null berarti kosong.</x:v>
      </x:c>
      <x:c r="B4" s="2"/>
      <x:c r="C4" s="2"/>
      <x:c r="D4" s="2"/>
      <x:c r="E4" s="2"/>
      <x:c r="F4" s="2"/>
    </x:row>
    <x:row r="5" ht="30" customHeight="1">
      <x:c r="A5" s="9" t="str">
        <x:v>ID</x:v>
      </x:c>
      <x:c r="B5" s="9" t="str">
        <x:v>Field</x:v>
      </x:c>
      <x:c r="C5" s="9" t="str">
        <x:v>Acuan manusia</x:v>
      </x:c>
      <x:c r="D5" s="9" t="str">
        <x:v>Sebelum</x:v>
      </x:c>
      <x:c r="E5" s="9" t="str">
        <x:v>Sesudah</x:v>
      </x:c>
      <x:c r="F5" s="9" t="str">
        <x:v>Hasil sesudah</x:v>
      </x:c>
    </x:row>
    <x:row r="6" ht="52" customHeight="1">
      <x:c r="A6" s="2" t="str">
        <x:v>MVP-NEW-002</x:v>
      </x:c>
      <x:c r="B6" s="2" t="str">
        <x:v>impacts</x:v>
      </x:c>
      <x:c r="C6" s="13" t="str">
        <x:v>["mengevakuasi warga"]</x:v>
      </x:c>
      <x:c r="D6" s="13" t="str">
        <x:v>["Petugas mengevakuasi warga"]</x:v>
      </x:c>
      <x:c r="E6" s="13" t="str">
        <x:v>["mengevakuasi warga"]</x:v>
      </x:c>
      <x:c r="F6" s="2" t="str">
        <x:v>Tepat</x:v>
      </x:c>
    </x:row>
    <x:row r="7" ht="52" customHeight="1">
      <x:c r="A7" s="2" t="str">
        <x:v>MVP-NEW-004</x:v>
      </x:c>
      <x:c r="B7" s="2" t="str">
        <x:v>involved_parties</x:v>
      </x:c>
      <x:c r="C7" s="13" t="str">
        <x:v>["seorang warga"]</x:v>
      </x:c>
      <x:c r="D7" s="13" t="str">
        <x:v>[]</x:v>
      </x:c>
      <x:c r="E7" s="13" t="str">
        <x:v>["seorang warga"]</x:v>
      </x:c>
      <x:c r="F7" s="2" t="str">
        <x:v>Tepat</x:v>
      </x:c>
    </x:row>
    <x:row r="8" ht="52" customHeight="1">
      <x:c r="A8" s="2" t="str">
        <x:v>MVP-NEW-004</x:v>
      </x:c>
      <x:c r="B8" s="2" t="str">
        <x:v>impacts</x:v>
      </x:c>
      <x:c r="C8" s="13" t="str">
        <x:v>["menyebabkan seorang warga terluka"]</x:v>
      </x:c>
      <x:c r="D8" s="13" t="str">
        <x:v>["menyebabkan"]</x:v>
      </x:c>
      <x:c r="E8" s="13" t="str">
        <x:v>["menyebabkan seorang warga terluka"]</x:v>
      </x:c>
      <x:c r="F8" s="2" t="str">
        <x:v>Tepat</x:v>
      </x:c>
    </x:row>
    <x:row r="9" ht="52" customHeight="1">
      <x:c r="A9" s="2" t="str">
        <x:v>MVP-NEW-004</x:v>
      </x:c>
      <x:c r="B9" s="2" t="str">
        <x:v>victims</x:v>
      </x:c>
      <x:c r="C9" s="13" t="str">
        <x:v>["seorang warga terluka"]</x:v>
      </x:c>
      <x:c r="D9" s="13" t="str">
        <x:v>["warga terluka"]</x:v>
      </x:c>
      <x:c r="E9" s="13" t="str">
        <x:v>["seorang warga terluka"]</x:v>
      </x:c>
      <x:c r="F9" s="2" t="str">
        <x:v>Tepat</x:v>
      </x:c>
    </x:row>
    <x:row r="10" ht="52" customHeight="1">
      <x:c r="A10" s="2" t="str">
        <x:v>MVP-NEW-006</x:v>
      </x:c>
      <x:c r="B10" s="2" t="str">
        <x:v>impacts</x:v>
      </x:c>
      <x:c r="C10" s="13" t="str">
        <x:v>["melanda Desa Mulyasari"]</x:v>
      </x:c>
      <x:c r="D10" s="13" t="str">
        <x:v>["tanpa korban jiwa"]</x:v>
      </x:c>
      <x:c r="E10" s="13" t="str">
        <x:v>[]</x:v>
      </x:c>
      <x:c r="F10" s="2" t="str">
        <x:v>Berbeda</x:v>
      </x:c>
    </x:row>
    <x:row r="11" ht="52" customHeight="1">
      <x:c r="A11" s="2" t="str">
        <x:v>MVP-NEW-007</x:v>
      </x:c>
      <x:c r="B11" s="2" t="str">
        <x:v>impacts</x:v>
      </x:c>
      <x:c r="C11" s="13" t="str">
        <x:v>["membersihkan lumpur"]</x:v>
      </x:c>
      <x:c r="D11" s="13" t="str">
        <x:v>["Warga membersihkan lumpur"]</x:v>
      </x:c>
      <x:c r="E11" s="13" t="str">
        <x:v>["membersihkan lumpur"]</x:v>
      </x:c>
      <x:c r="F11" s="2" t="str">
        <x:v>Tepat</x:v>
      </x:c>
    </x:row>
    <x:row r="12" ht="52" customHeight="1">
      <x:c r="A12" s="2" t="str">
        <x:v>MVP-NEW-009</x:v>
      </x:c>
      <x:c r="B12" s="2" t="str">
        <x:v>impacts</x:v>
      </x:c>
      <x:c r="C12" s="13" t="str">
        <x:v>["menutup Jalan Pahlawan"]</x:v>
      </x:c>
      <x:c r="D12" s="13" t="str">
        <x:v>["Laporan warga","menutup"]</x:v>
      </x:c>
      <x:c r="E12" s="13" t="str">
        <x:v>["menutup Jalan Pahlawan"]</x:v>
      </x:c>
      <x:c r="F12" s="2" t="str">
        <x:v>Tepat</x:v>
      </x:c>
    </x:row>
    <x:row r="13" ht="52" customHeight="1">
      <x:c r="A13" s="2" t="str">
        <x:v>MVP-NEW-009</x:v>
      </x:c>
      <x:c r="B13" s="2" t="str">
        <x:v>affected_objects</x:v>
      </x:c>
      <x:c r="C13" s="13" t="str">
        <x:v>["Jalan Pahlawan"]</x:v>
      </x:c>
      <x:c r="D13" s="13" t="str">
        <x:v>[]</x:v>
      </x:c>
      <x:c r="E13" s="13" t="str">
        <x:v>[]</x:v>
      </x:c>
      <x:c r="F13" s="2" t="str">
        <x:v>Berbeda</x:v>
      </x:c>
    </x:row>
    <x:row r="14" ht="52" customHeight="1">
      <x:c r="A14" s="2" t="str">
        <x:v>MVP-NEW-010</x:v>
      </x:c>
      <x:c r="B14" s="2" t="str">
        <x:v>time_text</x:v>
      </x:c>
      <x:c r="C14" s="13" t="str">
        <x:v>"sekarang"</x:v>
      </x:c>
      <x:c r="D14" s="13" t="str">
        <x:v>null</x:v>
      </x:c>
      <x:c r="E14" s="13" t="str">
        <x:v>"sekarang"</x:v>
      </x:c>
      <x:c r="F14" s="2" t="str">
        <x:v>Tepat</x:v>
      </x:c>
    </x:row>
    <x:row r="15" ht="52" customHeight="1">
      <x:c r="A15" s="2" t="str">
        <x:v>MVP-NEW-010</x:v>
      </x:c>
      <x:c r="B15" s="2" t="str">
        <x:v>impacts</x:v>
      </x:c>
      <x:c r="C15" s="13" t="str">
        <x:v>["masuk tiga rumah"]</x:v>
      </x:c>
      <x:c r="D15" s="13" t="str">
        <x:v>["sudah masuk tiga rumah"]</x:v>
      </x:c>
      <x:c r="E15" s="13" t="str">
        <x:v>["sudah masuk tiga rumah"]</x:v>
      </x:c>
      <x:c r="F15" s="2" t="str">
        <x:v>Berbeda</x:v>
      </x:c>
    </x:row>
    <x:row r="16" ht="52" customHeight="1">
      <x:c r="A16" s="2" t="str">
        <x:v>MVP-NEW-011</x:v>
      </x:c>
      <x:c r="B16" s="2" t="str">
        <x:v>impacts</x:v>
      </x:c>
      <x:c r="C16" s="13" t="str">
        <x:v>["mengguncang Desa Waringin"]</x:v>
      </x:c>
      <x:c r="D16" s="13" t="str">
        <x:v>[]</x:v>
      </x:c>
      <x:c r="E16" s="13" t="str">
        <x:v>[]</x:v>
      </x:c>
      <x:c r="F16" s="2" t="str">
        <x:v>Berbeda</x:v>
      </x:c>
    </x:row>
    <x:row r="17" ht="52" customHeight="1">
      <x:c r="A17" s="2" t="str">
        <x:v>MVP-NEW-013</x:v>
      </x:c>
      <x:c r="B17" s="2" t="str">
        <x:v>involved_parties</x:v>
      </x:c>
      <x:c r="C17" s="13" t="str">
        <x:v>["seorang anak"]</x:v>
      </x:c>
      <x:c r="D17" s="13" t="str">
        <x:v>[]</x:v>
      </x:c>
      <x:c r="E17" s="13" t="str">
        <x:v>["seorang anak"]</x:v>
      </x:c>
      <x:c r="F17" s="2" t="str">
        <x:v>Tepat</x:v>
      </x:c>
    </x:row>
    <x:row r="18" ht="52" customHeight="1">
      <x:c r="A18" s="2" t="str">
        <x:v>MVP-NEW-013</x:v>
      </x:c>
      <x:c r="B18" s="2" t="str">
        <x:v>impacts</x:v>
      </x:c>
      <x:c r="C18" s="13" t="str">
        <x:v>["menyebabkan seorang anak terluka"]</x:v>
      </x:c>
      <x:c r="D18" s="13" t="str">
        <x:v>["menyebabkan"]</x:v>
      </x:c>
      <x:c r="E18" s="13" t="str">
        <x:v>["menyebabkan seorang anak terluka"]</x:v>
      </x:c>
      <x:c r="F18" s="2" t="str">
        <x:v>Tepat</x:v>
      </x:c>
    </x:row>
    <x:row r="19" ht="52" customHeight="1">
      <x:c r="A19" s="2" t="str">
        <x:v>MVP-NEW-013</x:v>
      </x:c>
      <x:c r="B19" s="2" t="str">
        <x:v>victims</x:v>
      </x:c>
      <x:c r="C19" s="13" t="str">
        <x:v>["seorang anak terluka"]</x:v>
      </x:c>
      <x:c r="D19" s="13" t="str">
        <x:v>["terluka"]</x:v>
      </x:c>
      <x:c r="E19" s="13" t="str">
        <x:v>["seorang anak terluka"]</x:v>
      </x:c>
      <x:c r="F19" s="2" t="str">
        <x:v>Tepat</x:v>
      </x:c>
    </x:row>
    <x:row r="20" ht="52" customHeight="1">
      <x:c r="A20" s="2" t="str">
        <x:v>MVP-NEW-015</x:v>
      </x:c>
      <x:c r="B20" s="2" t="str">
        <x:v>impacts</x:v>
      </x:c>
      <x:c r="C20" s="13" t="str">
        <x:v>["mengevakuasi warga"]</x:v>
      </x:c>
      <x:c r="D20" s="13" t="str">
        <x:v>["Tim penyelamat mengevakuasi warga"]</x:v>
      </x:c>
      <x:c r="E20" s="13" t="str">
        <x:v>["mengevakuasi warga"]</x:v>
      </x:c>
      <x:c r="F20" s="2" t="str">
        <x:v>Tepat</x:v>
      </x:c>
    </x:row>
    <x:row r="21" ht="52" customHeight="1">
      <x:c r="A21" s="2" t="str">
        <x:v>MVP-NEW-016</x:v>
      </x:c>
      <x:c r="B21" s="2" t="str">
        <x:v>impacts</x:v>
      </x:c>
      <x:c r="C21" s="13" t="str">
        <x:v>[]</x:v>
      </x:c>
      <x:c r="D21" s="13" t="str">
        <x:v>["terasa","tanpa kerusakan bangunan"]</x:v>
      </x:c>
      <x:c r="E21" s="13" t="str">
        <x:v>["terasa"]</x:v>
      </x:c>
      <x:c r="F21" s="2" t="str">
        <x:v>Berbeda</x:v>
      </x:c>
    </x:row>
    <x:row r="22" ht="52" customHeight="1">
      <x:c r="A22" s="2" t="str">
        <x:v>MVP-NEW-016</x:v>
      </x:c>
      <x:c r="B22" s="2" t="str">
        <x:v>affected_objects</x:v>
      </x:c>
      <x:c r="C22" s="13" t="str">
        <x:v>[]</x:v>
      </x:c>
      <x:c r="D22" s="13" t="str">
        <x:v>["bangunan"]</x:v>
      </x:c>
      <x:c r="E22" s="13" t="str">
        <x:v>[]</x:v>
      </x:c>
      <x:c r="F22" s="2" t="str">
        <x:v>Tepat</x:v>
      </x:c>
    </x:row>
    <x:row r="23" ht="52" customHeight="1">
      <x:c r="A23" s="2" t="str">
        <x:v>MVP-NEW-017</x:v>
      </x:c>
      <x:c r="B23" s="2" t="str">
        <x:v>impacts</x:v>
      </x:c>
      <x:c r="C23" s="13" t="str">
        <x:v>["mengungsi","mengguncang Desa Mekarwangi"]</x:v>
      </x:c>
      <x:c r="D23" s="13" t="str">
        <x:v>["Warga mengungsi"]</x:v>
      </x:c>
      <x:c r="E23" s="13" t="str">
        <x:v>["mengungsi"]</x:v>
      </x:c>
      <x:c r="F23" s="2" t="str">
        <x:v>Berbeda</x:v>
      </x:c>
    </x:row>
    <x:row r="24" ht="52" customHeight="1">
      <x:c r="A24" s="2" t="str">
        <x:v>MVP-NEW-020</x:v>
      </x:c>
      <x:c r="B24" s="2" t="str">
        <x:v>impacts</x:v>
      </x:c>
      <x:c r="C24" s="13" t="str">
        <x:v>["berlarian keluar"]</x:v>
      </x:c>
      <x:c r="D24" s="13" t="str">
        <x:v>["kuat terasa","warga berlarian keluar"]</x:v>
      </x:c>
      <x:c r="E24" s="13" t="str">
        <x:v>["kuat terasa","berlarian keluar"]</x:v>
      </x:c>
      <x:c r="F24" s="2" t="str">
        <x:v>Berbeda</x:v>
      </x:c>
    </x:row>
    <x:row r="25" ht="52" customHeight="1">
      <x:c r="A25" s="2" t="str">
        <x:v>MVP-NEW-023</x:v>
      </x:c>
      <x:c r="B25" s="2" t="str">
        <x:v>involved_parties</x:v>
      </x:c>
      <x:c r="C25" s="13" t="str">
        <x:v>["dua pedagang"]</x:v>
      </x:c>
      <x:c r="D25" s="13" t="str">
        <x:v>[]</x:v>
      </x:c>
      <x:c r="E25" s="13" t="str">
        <x:v>["dua pedagang"]</x:v>
      </x:c>
      <x:c r="F25" s="2" t="str">
        <x:v>Tepat</x:v>
      </x:c>
    </x:row>
    <x:row r="26" ht="52" customHeight="1">
      <x:c r="A26" s="2" t="str">
        <x:v>MVP-NEW-023</x:v>
      </x:c>
      <x:c r="B26" s="2" t="str">
        <x:v>impacts</x:v>
      </x:c>
      <x:c r="C26" s="13" t="str">
        <x:v>["menyebabkan dua pedagang terluka"]</x:v>
      </x:c>
      <x:c r="D26" s="13" t="str">
        <x:v>["menyebabkan"]</x:v>
      </x:c>
      <x:c r="E26" s="13" t="str">
        <x:v>["menyebabkan dua pedagang terluka"]</x:v>
      </x:c>
      <x:c r="F26" s="2" t="str">
        <x:v>Tepat</x:v>
      </x:c>
    </x:row>
    <x:row r="27" ht="52" customHeight="1">
      <x:c r="A27" s="2" t="str">
        <x:v>MVP-NEW-023</x:v>
      </x:c>
      <x:c r="B27" s="2" t="str">
        <x:v>victims</x:v>
      </x:c>
      <x:c r="C27" s="13" t="str">
        <x:v>["dua pedagang terluka"]</x:v>
      </x:c>
      <x:c r="D27" s="13" t="str">
        <x:v>["terluka"]</x:v>
      </x:c>
      <x:c r="E27" s="13" t="str">
        <x:v>["dua pedagang terluka"]</x:v>
      </x:c>
      <x:c r="F27" s="2" t="str">
        <x:v>Tepat</x:v>
      </x:c>
    </x:row>
    <x:row r="28" ht="52" customHeight="1">
      <x:c r="A28" s="2" t="str">
        <x:v>MVP-NEW-024</x:v>
      </x:c>
      <x:c r="B28" s="2" t="str">
        <x:v>involved_parties</x:v>
      </x:c>
      <x:c r="C28" s="13" t="str">
        <x:v>["seorang penghuni"]</x:v>
      </x:c>
      <x:c r="D28" s="13" t="str">
        <x:v>[]</x:v>
      </x:c>
      <x:c r="E28" s="13" t="str">
        <x:v>["seorang penghuni"]</x:v>
      </x:c>
      <x:c r="F28" s="2" t="str">
        <x:v>Tepat</x:v>
      </x:c>
    </x:row>
    <x:row r="29" ht="52" customHeight="1">
      <x:c r="A29" s="2" t="str">
        <x:v>MVP-NEW-024</x:v>
      </x:c>
      <x:c r="B29" s="2" t="str">
        <x:v>impacts</x:v>
      </x:c>
      <x:c r="C29" s="13" t="str">
        <x:v>["mengakibatkan seorang penghuni meninggal"]</x:v>
      </x:c>
      <x:c r="D29" s="13" t="str">
        <x:v>["mengakibatkan"]</x:v>
      </x:c>
      <x:c r="E29" s="13" t="str">
        <x:v>["mengakibatkan seorang penghuni meninggal"]</x:v>
      </x:c>
      <x:c r="F29" s="2" t="str">
        <x:v>Tepat</x:v>
      </x:c>
    </x:row>
    <x:row r="30" ht="52" customHeight="1">
      <x:c r="A30" s="2" t="str">
        <x:v>MVP-NEW-024</x:v>
      </x:c>
      <x:c r="B30" s="2" t="str">
        <x:v>victims</x:v>
      </x:c>
      <x:c r="C30" s="13" t="str">
        <x:v>["seorang penghuni meninggal"]</x:v>
      </x:c>
      <x:c r="D30" s="13" t="str">
        <x:v>["meninggal"]</x:v>
      </x:c>
      <x:c r="E30" s="13" t="str">
        <x:v>["seorang penghuni meninggal"]</x:v>
      </x:c>
      <x:c r="F30" s="2" t="str">
        <x:v>Tepat</x:v>
      </x:c>
    </x:row>
    <x:row r="31" ht="52" customHeight="1">
      <x:c r="A31" s="2" t="str">
        <x:v>MVP-NEW-025</x:v>
      </x:c>
      <x:c r="B31" s="2" t="str">
        <x:v>impacts</x:v>
      </x:c>
      <x:c r="C31" s="13" t="str">
        <x:v>["memadamkan kebakaran"]</x:v>
      </x:c>
      <x:c r="D31" s="13" t="str">
        <x:v>["Pemadam memadamkan"]</x:v>
      </x:c>
      <x:c r="E31" s="13" t="str">
        <x:v>["memadamkan"]</x:v>
      </x:c>
      <x:c r="F31" s="2" t="str">
        <x:v>Berbeda</x:v>
      </x:c>
    </x:row>
    <x:row r="32" ht="52" customHeight="1">
      <x:c r="A32" s="2" t="str">
        <x:v>MVP-NEW-026</x:v>
      </x:c>
      <x:c r="B32" s="2" t="str">
        <x:v>impacts</x:v>
      </x:c>
      <x:c r="C32" s="13" t="str">
        <x:v>["melanda gudang"]</x:v>
      </x:c>
      <x:c r="D32" s="13" t="str">
        <x:v>["melanda gudang","tanpa korban luka"]</x:v>
      </x:c>
      <x:c r="E32" s="13" t="str">
        <x:v>["melanda gudang"]</x:v>
      </x:c>
      <x:c r="F32" s="2" t="str">
        <x:v>Tepat</x:v>
      </x:c>
    </x:row>
    <x:row r="33" ht="52" customHeight="1">
      <x:c r="A33" s="2" t="str">
        <x:v>MVP-NEW-026</x:v>
      </x:c>
      <x:c r="B33" s="2" t="str">
        <x:v>victims</x:v>
      </x:c>
      <x:c r="C33" s="13" t="str">
        <x:v>[]</x:v>
      </x:c>
      <x:c r="D33" s="13" t="str">
        <x:v>["korban luka"]</x:v>
      </x:c>
      <x:c r="E33" s="13" t="str">
        <x:v>[]</x:v>
      </x:c>
      <x:c r="F33" s="2" t="str">
        <x:v>Tepat</x:v>
      </x:c>
    </x:row>
    <x:row r="34" ht="52" customHeight="1">
      <x:c r="A34" s="2" t="str">
        <x:v>MVP-NEW-027</x:v>
      </x:c>
      <x:c r="B34" s="2" t="str">
        <x:v>impacts</x:v>
      </x:c>
      <x:c r="C34" s="13" t="str">
        <x:v>["menghanguskan gudang"]</x:v>
      </x:c>
      <x:c r="D34" s="13" t="str">
        <x:v>["latihan evakuasi","menghanguskan gudang"]</x:v>
      </x:c>
      <x:c r="E34" s="13" t="str">
        <x:v>["menghanguskan gudang"]</x:v>
      </x:c>
      <x:c r="F34" s="2" t="str">
        <x:v>Tepat</x:v>
      </x:c>
    </x:row>
    <x:row r="35" ht="52" customHeight="1">
      <x:c r="A35" s="2" t="str">
        <x:v>MVP-NEW-028</x:v>
      </x:c>
      <x:c r="B35" s="2" t="str">
        <x:v>impacts</x:v>
      </x:c>
      <x:c r="C35" s="13" t="str">
        <x:v>["membersihkan puing rumah"]</x:v>
      </x:c>
      <x:c r="D35" s="13" t="str">
        <x:v>["Warga membersihkan puing rumah"]</x:v>
      </x:c>
      <x:c r="E35" s="13" t="str">
        <x:v>["membersihkan puing rumah"]</x:v>
      </x:c>
      <x:c r="F35" s="2" t="str">
        <x:v>Tepat</x:v>
      </x:c>
    </x:row>
    <x:row r="36" ht="52" customHeight="1">
      <x:c r="A36" s="2" t="str">
        <x:v>MVP-NEW-030</x:v>
      </x:c>
      <x:c r="B36" s="2" t="str">
        <x:v>time_text</x:v>
      </x:c>
      <x:c r="C36" s="13" t="str">
        <x:v>"sekarang"</x:v>
      </x:c>
      <x:c r="D36" s="13" t="str">
        <x:v>null</x:v>
      </x:c>
      <x:c r="E36" s="13" t="str">
        <x:v>"sekarang"</x:v>
      </x:c>
      <x:c r="F36" s="2" t="str">
        <x:v>Tepat</x:v>
      </x:c>
    </x:row>
    <x:row r="37" ht="52" customHeight="1">
      <x:c r="A37" s="2" t="str">
        <x:v>MVP-NEW-030</x:v>
      </x:c>
      <x:c r="B37" s="2" t="str">
        <x:v>impacts</x:v>
      </x:c>
      <x:c r="C37" s="13" t="str">
        <x:v>["menghanguskan satu rumah"]</x:v>
      </x:c>
      <x:c r="D37" s="13" t="str">
        <x:v>["sudah menghanguskan satu rumah"]</x:v>
      </x:c>
      <x:c r="E37" s="13" t="str">
        <x:v>["sudah menghanguskan satu rumah"]</x:v>
      </x:c>
      <x:c r="F37" s="2" t="str">
        <x:v>Berbeda</x:v>
      </x:c>
    </x:row>
    <x:row r="38" ht="52" customHeight="1">
      <x:c r="A38" s="2" t="str">
        <x:v>MVP-NEW-031</x:v>
      </x:c>
      <x:c r="B38" s="2" t="str">
        <x:v>impacts</x:v>
      </x:c>
      <x:c r="C38" s="13" t="str">
        <x:v>["melibatkan dua motor"]</x:v>
      </x:c>
      <x:c r="D38" s="13" t="str">
        <x:v>[]</x:v>
      </x:c>
      <x:c r="E38" s="13" t="str">
        <x:v>[]</x:v>
      </x:c>
      <x:c r="F38" s="2" t="str">
        <x:v>Berbeda</x:v>
      </x:c>
    </x:row>
    <x:row r="39" ht="52" customHeight="1">
      <x:c r="A39" s="2" t="str">
        <x:v>MVP-NEW-032</x:v>
      </x:c>
      <x:c r="B39" s="2" t="str">
        <x:v>involved_parties</x:v>
      </x:c>
      <x:c r="C39" s="13" t="str">
        <x:v>["satu pengendara"]</x:v>
      </x:c>
      <x:c r="D39" s="13" t="str">
        <x:v>[]</x:v>
      </x:c>
      <x:c r="E39" s="13" t="str">
        <x:v>["satu pengendara"]</x:v>
      </x:c>
      <x:c r="F39" s="2" t="str">
        <x:v>Tepat</x:v>
      </x:c>
    </x:row>
    <x:row r="40" ht="52" customHeight="1">
      <x:c r="A40" s="2" t="str">
        <x:v>MVP-NEW-033</x:v>
      </x:c>
      <x:c r="B40" s="2" t="str">
        <x:v>impacts</x:v>
      </x:c>
      <x:c r="C40" s="13" t="str">
        <x:v>["mengakibatkan dua penumpang meninggal"]</x:v>
      </x:c>
      <x:c r="D40" s="13" t="str">
        <x:v>[]</x:v>
      </x:c>
      <x:c r="E40" s="13" t="str">
        <x:v>[]</x:v>
      </x:c>
      <x:c r="F40" s="2" t="str">
        <x:v>Berbeda</x:v>
      </x:c>
    </x:row>
    <x:row r="41" ht="52" customHeight="1">
      <x:c r="A41" s="2" t="str">
        <x:v>MVP-NEW-034</x:v>
      </x:c>
      <x:c r="B41" s="2" t="str">
        <x:v>impacts</x:v>
      </x:c>
      <x:c r="C41" s="13" t="str">
        <x:v>["mengevakuasi korban"]</x:v>
      </x:c>
      <x:c r="D41" s="13" t="str">
        <x:v>["Polisi mengevakuasi korban"]</x:v>
      </x:c>
      <x:c r="E41" s="13" t="str">
        <x:v>["mengevakuasi korban"]</x:v>
      </x:c>
      <x:c r="F41" s="2" t="str">
        <x:v>Tepat</x:v>
      </x:c>
    </x:row>
    <x:row r="42" ht="52" customHeight="1">
      <x:c r="A42" s="2" t="str">
        <x:v>MVP-NEW-036</x:v>
      </x:c>
      <x:c r="B42" s="2" t="str">
        <x:v>impacts</x:v>
      </x:c>
      <x:c r="C42" s="13" t="str">
        <x:v>["melibatkan truk"]</x:v>
      </x:c>
      <x:c r="D42" s="13" t="str">
        <x:v>["tanpa korban jiwa"]</x:v>
      </x:c>
      <x:c r="E42" s="13" t="str">
        <x:v>[]</x:v>
      </x:c>
      <x:c r="F42" s="2" t="str">
        <x:v>Berbeda</x:v>
      </x:c>
    </x:row>
    <x:row r="43" ht="52" customHeight="1">
      <x:c r="A43" s="2" t="str">
        <x:v>MVP-NEW-037</x:v>
      </x:c>
      <x:c r="B43" s="2" t="str">
        <x:v>impacts</x:v>
      </x:c>
      <x:c r="C43" s="13" t="str">
        <x:v>["membersihkan puing"]</x:v>
      </x:c>
      <x:c r="D43" s="13" t="str">
        <x:v>["Petugas membersihkan puing"]</x:v>
      </x:c>
      <x:c r="E43" s="13" t="str">
        <x:v>["membersihkan puing"]</x:v>
      </x:c>
      <x:c r="F43" s="2" t="str">
        <x:v>Tepat</x:v>
      </x:c>
    </x:row>
    <x:row r="44" ht="52" customHeight="1">
      <x:c r="A44" s="2" t="str">
        <x:v>MVP-NEW-037</x:v>
      </x:c>
      <x:c r="B44" s="2" t="str">
        <x:v>affected_objects</x:v>
      </x:c>
      <x:c r="C44" s="13" t="str">
        <x:v>["puing"]</x:v>
      </x:c>
      <x:c r="D44" s="13" t="str">
        <x:v>[]</x:v>
      </x:c>
      <x:c r="E44" s="13" t="str">
        <x:v>[]</x:v>
      </x:c>
      <x:c r="F44" s="2" t="str">
        <x:v>Berbeda</x:v>
      </x:c>
    </x:row>
    <x:row r="45" ht="52" customHeight="1">
      <x:c r="A45" s="2" t="str">
        <x:v>MVP-NEW-038</x:v>
      </x:c>
      <x:c r="B45" s="2" t="str">
        <x:v>impacts</x:v>
      </x:c>
      <x:c r="C45" s="13" t="str">
        <x:v>["merusak mobil"]</x:v>
      </x:c>
      <x:c r="D45" s="13" t="str">
        <x:v>[]</x:v>
      </x:c>
      <x:c r="E45" s="13" t="str">
        <x:v>[]</x:v>
      </x:c>
      <x:c r="F45" s="2" t="str">
        <x:v>Berbeda</x:v>
      </x:c>
    </x:row>
    <x:row r="46" ht="52" customHeight="1">
      <x:c r="A46" s="2" t="str">
        <x:v>MVP-NEW-039</x:v>
      </x:c>
      <x:c r="B46" s="2" t="str">
        <x:v>impacts</x:v>
      </x:c>
      <x:c r="C46" s="13" t="str">
        <x:v>["melibatkan angkot"]</x:v>
      </x:c>
      <x:c r="D46" s="13" t="str">
        <x:v>[]</x:v>
      </x:c>
      <x:c r="E46" s="13" t="str">
        <x:v>[]</x:v>
      </x:c>
      <x:c r="F46" s="2" t="str">
        <x:v>Berbeda</x:v>
      </x:c>
    </x:row>
    <x:row r="47" ht="52" customHeight="1">
      <x:c r="A47" s="2" t="str">
        <x:v>MVP-NEW-040</x:v>
      </x:c>
      <x:c r="B47" s="2" t="str">
        <x:v>time_text</x:v>
      </x:c>
      <x:c r="C47" s="13" t="str">
        <x:v>"sekarang"</x:v>
      </x:c>
      <x:c r="D47" s="13" t="str">
        <x:v>null</x:v>
      </x:c>
      <x:c r="E47" s="13" t="str">
        <x:v>"sekarang"</x:v>
      </x:c>
      <x:c r="F47" s="2" t="str">
        <x:v>Tepat</x:v>
      </x:c>
    </x:row>
    <x:row r="48" ht="52" customHeight="1">
      <x:c r="A48" s="2" t="str">
        <x:v>MVP-NEW-040</x:v>
      </x:c>
      <x:c r="B48" s="2" t="str">
        <x:v>involved_parties</x:v>
      </x:c>
      <x:c r="C48" s="13" t="str">
        <x:v>["seorang pejalan kaki"]</x:v>
      </x:c>
      <x:c r="D48" s="13" t="str">
        <x:v>[]</x:v>
      </x:c>
      <x:c r="E48" s="13" t="str">
        <x:v>["seorang pejalan kaki"]</x:v>
      </x:c>
      <x:c r="F48" s="2" t="str">
        <x:v>Tepat</x:v>
      </x:c>
    </x:row>
    <x:row r="49" ht="52" customHeight="1">
      <x:c r="A49" s="2" t="str">
        <x:v>MVP-NEW-040</x:v>
      </x:c>
      <x:c r="B49" s="2" t="str">
        <x:v>impacts</x:v>
      </x:c>
      <x:c r="C49" s="13" t="str">
        <x:v>["menyebabkan seorang pejalan kaki terluka"]</x:v>
      </x:c>
      <x:c r="D49" s="13" t="str">
        <x:v>["Tolong","menyebabkan"]</x:v>
      </x:c>
      <x:c r="E49" s="13" t="str">
        <x:v>["menyebabkan seorang pejalan kaki terluka"]</x:v>
      </x:c>
      <x:c r="F49" s="2" t="str">
        <x:v>Tepat</x:v>
      </x:c>
    </x:row>
    <x:row r="50" ht="52" customHeight="1">
      <x:c r="A50" s="2" t="str">
        <x:v>MVP-NEW-040</x:v>
      </x:c>
      <x:c r="B50" s="2" t="str">
        <x:v>victims</x:v>
      </x:c>
      <x:c r="C50" s="13" t="str">
        <x:v>["seorang pejalan kaki terluka"]</x:v>
      </x:c>
      <x:c r="D50" s="13" t="str">
        <x:v>["terluka"]</x:v>
      </x:c>
      <x:c r="E50" s="13" t="str">
        <x:v>["seorang pejalan kaki terluka"]</x:v>
      </x:c>
      <x:c r="F50" s="2" t="str">
        <x:v>Tepat</x:v>
      </x:c>
    </x:row>
    <x:row r="51" ht="52" customHeight="1">
      <x:c r="A51" s="2" t="str">
        <x:v>MVP-NEW-042</x:v>
      </x:c>
      <x:c r="B51" s="2" t="str">
        <x:v>location_text</x:v>
      </x:c>
      <x:c r="C51" s="13" t="str">
        <x:v>"sekolah"</x:v>
      </x:c>
      <x:c r="D51" s="13" t="str">
        <x:v>null</x:v>
      </x:c>
      <x:c r="E51" s="13" t="str">
        <x:v>null</x:v>
      </x:c>
      <x:c r="F51" s="2" t="str">
        <x:v>Berbeda</x:v>
      </x:c>
    </x:row>
    <x:row r="52" ht="52" customHeight="1">
      <x:c r="A52" s="2" t="str">
        <x:v>MVP-NEW-042</x:v>
      </x:c>
      <x:c r="B52" s="2" t="str">
        <x:v>time_text</x:v>
      </x:c>
      <x:c r="C52" s="13" t="str">
        <x:v>"hari ini"</x:v>
      </x:c>
      <x:c r="D52" s="13" t="str">
        <x:v>"ini"</x:v>
      </x:c>
      <x:c r="E52" s="13" t="str">
        <x:v>"hari ini"</x:v>
      </x:c>
      <x:c r="F52" s="2" t="str">
        <x:v>Tepat</x:v>
      </x:c>
    </x:row>
    <x:row r="53" ht="52" customHeight="1">
      <x:c r="A53" s="2" t="str">
        <x:v>MVP-NEW-043</x:v>
      </x:c>
      <x:c r="B53" s="2" t="str">
        <x:v>impacts</x:v>
      </x:c>
      <x:c r="C53" s="13" t="str">
        <x:v>[]</x:v>
      </x:c>
      <x:c r="D53" s="13" t="str">
        <x:v>["Warga mengikuti penyuluhan"]</x:v>
      </x:c>
      <x:c r="E53" s="13" t="str">
        <x:v>[]</x:v>
      </x:c>
      <x:c r="F53" s="2" t="str">
        <x:v>Tepat</x:v>
      </x:c>
    </x:row>
    <x:row r="54" ht="52" customHeight="1">
      <x:c r="A54" s="2" t="str">
        <x:v>MVP-NEW-046</x:v>
      </x:c>
      <x:c r="B54" s="2" t="str">
        <x:v>time_text</x:v>
      </x:c>
      <x:c r="C54" s="13" t="str">
        <x:v>"setiap akhir bulan"</x:v>
      </x:c>
      <x:c r="D54" s="13" t="str">
        <x:v>"akhir bulan"</x:v>
      </x:c>
      <x:c r="E54" s="13" t="str">
        <x:v>"setiap akhir bulan"</x:v>
      </x:c>
      <x:c r="F54" s="2" t="str">
        <x:v>Tepat</x:v>
      </x:c>
    </x:row>
    <x:row r="55" ht="52" customHeight="1">
      <x:c r="A55" s="2" t="str">
        <x:v>MVP-NEW-046</x:v>
      </x:c>
      <x:c r="B55" s="2" t="str">
        <x:v>involved_parties</x:v>
      </x:c>
      <x:c r="C55" s="13" t="str">
        <x:v>[]</x:v>
      </x:c>
      <x:c r="D55" s="13" t="str">
        <x:v>["dompet saya"]</x:v>
      </x:c>
      <x:c r="E55" s="13" t="str">
        <x:v>["dompet saya"]</x:v>
      </x:c>
      <x:c r="F55" s="2" t="str">
        <x:v>Berbeda</x:v>
      </x:c>
    </x:row>
    <x:row r="56" ht="52" customHeight="1">
      <x:c r="A56" s="2" t="str">
        <x:v>MVP-NEW-047</x:v>
      </x:c>
      <x:c r="B56" s="2" t="str">
        <x:v>impacts</x:v>
      </x:c>
      <x:c r="C56" s="13" t="str">
        <x:v>[]</x:v>
      </x:c>
      <x:c r="D56" s="13" t="str">
        <x:v>["Petugas memastikan"]</x:v>
      </x:c>
      <x:c r="E56" s="13" t="str">
        <x:v>[]</x:v>
      </x:c>
      <x:c r="F56" s="2" t="str">
        <x:v>Tepat</x:v>
      </x:c>
    </x:row>
    <x:row r="57" ht="52" customHeight="1">
      <x:c r="A57" s="2" t="str">
        <x:v>MVP-NEW-048</x:v>
      </x:c>
      <x:c r="B57" s="2" t="str">
        <x:v>time_text</x:v>
      </x:c>
      <x:c r="C57" s="13" t="str">
        <x:v>"selama lima tahun terakhir"</x:v>
      </x:c>
      <x:c r="D57" s="13" t="str">
        <x:v>"lima tahun terakhir"</x:v>
      </x:c>
      <x:c r="E57" s="13" t="str">
        <x:v>"selama lima tahun terakhir"</x:v>
      </x:c>
      <x:c r="F57" s="2" t="str">
        <x:v>Tepat</x:v>
      </x:c>
    </x:row>
    <x:row r="58" ht="52" customHeight="1">
      <x:c r="A58" s="2" t="str">
        <x:v>MVP-NEW-048</x:v>
      </x:c>
      <x:c r="B58" s="2" t="str">
        <x:v>impacts</x:v>
      </x:c>
      <x:c r="C58" s="13" t="str">
        <x:v>[]</x:v>
      </x:c>
      <x:c r="D58" s="13" t="str">
        <x:v>["dibahas"]</x:v>
      </x:c>
      <x:c r="E58" s="13" t="str">
        <x:v>[]</x:v>
      </x:c>
      <x:c r="F58" s="2" t="str">
        <x:v>Tepat</x:v>
      </x:c>
    </x:row>
    <x:row r="59" ht="52" customHeight="1">
      <x:c r="A59" s="2" t="str">
        <x:v>MVP-NEW-049</x:v>
      </x:c>
      <x:c r="B59" s="2" t="str">
        <x:v>impacts</x:v>
      </x:c>
      <x:c r="C59" s="13" t="str">
        <x:v>[]</x:v>
      </x:c>
      <x:c r="D59" s="13" t="str">
        <x:v>["Warga diminta bersiap menghadapi"]</x:v>
      </x:c>
      <x:c r="E59" s="13" t="str">
        <x:v>[]</x:v>
      </x:c>
      <x:c r="F59" s="2" t="str">
        <x:v>Tepat</x:v>
      </x:c>
    </x:row>
    <x:row r="60" ht="52" customHeight="1">
      <x:c r="A60" s="2" t="str">
        <x:v>MVP-NEW-050</x:v>
      </x:c>
      <x:c r="B60" s="2" t="str">
        <x:v>location_text</x:v>
      </x:c>
      <x:c r="C60" s="13" t="str">
        <x:v>"lapangan kecamatan"</x:v>
      </x:c>
      <x:c r="D60" s="13" t="str">
        <x:v>"lapangan kecamatan sore"</x:v>
      </x:c>
      <x:c r="E60" s="13" t="str">
        <x:v>"lapangan kecamatan sore"</x:v>
      </x:c>
      <x:c r="F60" s="2" t="str">
        <x:v>Berbeda</x:v>
      </x:c>
    </x:row>
    <x:row r="61" ht="52" customHeight="1">
      <x:c r="A61" s="2" t="str">
        <x:v>MVP-NEW-050</x:v>
      </x:c>
      <x:c r="B61" s="2" t="str">
        <x:v>impacts</x:v>
      </x:c>
      <x:c r="C61" s="13" t="str">
        <x:v>[]</x:v>
      </x:c>
      <x:c r="D61" s="13" t="str">
        <x:v>["Polisi menggelar simulasi penanganan"]</x:v>
      </x:c>
      <x:c r="E61" s="13" t="str">
        <x:v>[]</x:v>
      </x:c>
      <x:c r="F61" s="2" t="str">
        <x:v>Tepat</x:v>
      </x:c>
    </x:row>
  </x:sheetData>
  <x:conditionalFormatting sqref="F6:F61">
    <x:cfRule type="containsText" dxfId="2" priority="1" operator="containsText" text="Berbeda"/>
  </x:conditionalFormatting>
  <x:pageMargins left="0.7" right="0.7" top="0.75" bottom="0.75" header="0.3" footer="0.3"/>
  <x:tableParts count="1">
    <x:tablePart xmlns:r="http://schemas.openxmlformats.org/officeDocument/2006/relationships" r:id="R80d66cff74e74f06"/>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67" hidden="0" customWidth="1"/>
    <x:col min="2" max="2" width="49" hidden="0" customWidth="1"/>
    <x:col min="3" max="3" width="34" hidden="0" customWidth="1"/>
    <x:col min="4" max="4" width="77" hidden="0" customWidth="1"/>
  </x:cols>
  <x:sheetData>
    <x:row r="1" ht="24" customHeight="1">
      <x:c r="A1" s="2"/>
      <x:c r="B1" s="2"/>
      <x:c r="C1" s="2"/>
      <x:c r="D1" s="2"/>
    </x:row>
    <x:row r="2" ht="24" customHeight="1">
      <x:c r="A2" s="4" t="str">
        <x:v>Rekap notebook yang digunakan</x:v>
      </x:c>
      <x:c r="B2" s="5"/>
      <x:c r="C2" s="5"/>
      <x:c r="D2" s="5"/>
      <x:c r="E2" s="14"/>
      <x:c r="F2" s="14"/>
    </x:row>
    <x:row r="3" ht="24" customHeight="1">
      <x:c r="A3" s="2"/>
      <x:c r="B3" s="2"/>
      <x:c r="C3" s="2"/>
      <x:c r="D3" s="2"/>
    </x:row>
    <x:row r="4" ht="24" customHeight="1">
      <x:c r="A4" s="2" t="str">
        <x:v>Notebook 11–16 dijalankan di sini lewat sel CPython. Notebook 09–10 adalah bukti historis.</x:v>
      </x:c>
      <x:c r="B4" s="2"/>
      <x:c r="C4" s="2"/>
      <x:c r="D4" s="2"/>
    </x:row>
    <x:row r="5" ht="30" customHeight="1">
      <x:c r="A5" s="9" t="str">
        <x:v>Notebook</x:v>
      </x:c>
      <x:c r="B5" s="9" t="str">
        <x:v>Kegunaan</x:v>
      </x:c>
      <x:c r="C5" s="9" t="str">
        <x:v>Pelaksanaan</x:v>
      </x:c>
      <x:c r="D5" s="9" t="str">
        <x:v>Batas hasil</x:v>
      </x:c>
    </x:row>
    <x:row r="6" ht="72" customHeight="1">
      <x:c r="A6" s="13" t="str">
        <x:v>11_Perbaikan_SENA_CPU_v0.5.ipynb</x:v>
      </x:c>
      <x:c r="B6" s="13" t="str">
        <x:v>Pelatihan baru dari baseline</x:v>
      </x:c>
      <x:c r="C6" s="13" t="str">
        <x:v>Dijalankan di sini</x:v>
      </x:c>
      <x:c r="D6" s="13" t="str">
        <x:v>Split pengembangan 146, bukan test akhir</x:v>
      </x:c>
    </x:row>
    <x:row r="7" ht="72" customHeight="1">
      <x:c r="A7" s="13" t="str">
        <x:v>11b_SENA_Fokus_NON_EVENT_CPU_v0.5.ipynb</x:v>
      </x:c>
      <x:c r="B7" s="13" t="str">
        <x:v>Pelatihan lanjutan, empat layer akhir</x:v>
      </x:c>
      <x:c r="C7" s="13" t="str">
        <x:v>Dijalankan di sini</x:v>
      </x:c>
      <x:c r="D7" s="13" t="str">
        <x:v>Pengembangan sama, early stopping</x:v>
      </x:c>
    </x:row>
    <x:row r="8" ht="72" customHeight="1">
      <x:c r="A8" s="13" t="str">
        <x:v>12_Verifikasi_Perbaikan_SLR09_v0.5.ipynb</x:v>
      </x:c>
      <x:c r="B8" s="13" t="str">
        <x:v>Fit satu bias head pada dev, tes dan inferensi</x:v>
      </x:c>
      <x:c r="C8" s="13" t="str">
        <x:v>Dijalankan di sini</x:v>
      </x:c>
      <x:c r="D8" s="13" t="str">
        <x:v>71 tes kontrak, regresi 50 dan diagnostik 24</x:v>
      </x:c>
    </x:row>
    <x:row r="9" ht="72" customHeight="1">
      <x:c r="A9" s="13" t="str">
        <x:v>09_Uji_Pemuatan_Kandidat_SLR09_v0.2.ipynb</x:v>
      </x:c>
      <x:c r="B9" s="13" t="str">
        <x:v>Bukti pemuatan kandidat terdahulu</x:v>
      </x:c>
      <x:c r="C9" s="13" t="str">
        <x:v>Historis, tidak diulang</x:v>
      </x:c>
      <x:c r="D9" s="13" t="str">
        <x:v>Tidak diklaim sebagai run saya saat ini</x:v>
      </x:c>
    </x:row>
    <x:row r="10" ht="72" customHeight="1">
      <x:c r="A10" s="13" t="str">
        <x:v>10_Evaluasi_Penerimaan_SLR09_v0.4.ipynb</x:v>
      </x:c>
      <x:c r="B10" s="13" t="str">
        <x:v>Run 50 narasi yang pengguna kirim</x:v>
      </x:c>
      <x:c r="C10" s="13" t="str">
        <x:v>Historis, tidak diulang</x:v>
      </x:c>
      <x:c r="D10" s="13" t="str">
        <x:v>Sumber acuan dan hasil awal yang dibandingkan</x:v>
      </x:c>
    </x:row>
    <x:row r="11" ht="72" customHeight="1">
      <x:c r="A11" s="13" t="str">
        <x:v>13_Perbaikan_Konteks_SENA_CPU_v0.6.ipynb</x:v>
      </x:c>
      <x:c r="B11" s="13" t="str">
        <x:v>Latihan tambahan cakupan konteks</x:v>
      </x:c>
      <x:c r="C11" s="13" t="str">
        <x:v>Dijalankan di sini (CPython)</x:v>
      </x:c>
      <x:c r="D11" s="13" t="str">
        <x:v>Development manusia146 + asisten128; diagnostik50 belum lulus</x:v>
      </x:c>
    </x:row>
    <x:row r="12" ht="72" customHeight="1">
      <x:c r="A12" s="13" t="str">
        <x:v>13b_Penyeimbangan_Kelas_SENA_v0.6.ipynb</x:v>
      </x:c>
      <x:c r="B12" s="13" t="str">
        <x:v>Analisis dan fitting bias pada development</x:v>
      </x:c>
      <x:c r="C12" s="13" t="str">
        <x:v>Dijalankan di sini (CPython)</x:v>
      </x:c>
      <x:c r="D12" s="13" t="str">
        <x:v>Bias +3.4 gagal menjaga recall kejadian nyata</x:v>
      </x:c>
    </x:row>
    <x:row r="13" ht="72" customHeight="1">
      <x:c r="A13" s="13" t="str">
        <x:v>14_Verifikasi_SENA_dan_Regresi_SLR09_v0.6.ipynb</x:v>
      </x:c>
      <x:c r="B13" s="13" t="str">
        <x:v>Ekspor, tes kontrak, inferensi nyata</x:v>
      </x:c>
      <x:c r="C13" s="13" t="str">
        <x:v>Dijalankan di sini (CPython)</x:v>
      </x:c>
      <x:c r="D13" s="13" t="str">
        <x:v>50 baru v0.6 sudah dilihat dan kemudian dipindah ke development</x:v>
      </x:c>
    </x:row>
    <x:row r="14" ht="72" customHeight="1">
      <x:c r="A14" s="13" t="str">
        <x:v>15_Latihan_Pasangan_Konteks_SENA_v0.7.ipynb</x:v>
      </x:c>
      <x:c r="B14" s="13" t="str">
        <x:v>Latihan pasangan dengan loss pemisahan konteks</x:v>
      </x:c>
      <x:c r="C14" s="13" t="str">
        <x:v>Dijalankan di sini (CPython)</x:v>
      </x:c>
      <x:c r="D14" s="13" t="str">
        <x:v>Manusia146 dan asisten74 untuk seleksi; label tambahan PENDING</x:v>
      </x:c>
    </x:row>
    <x:row r="15" ht="72" customHeight="1">
      <x:c r="A15" s="13" t="str">
        <x:v>16_Verifikasi_Kandidat_SLR09_v0.7.ipynb</x:v>
      </x:c>
      <x:c r="B15" s="13" t="str">
        <x:v>Ekspor, tes, reproduksi dev, regresi dan diagnostik</x:v>
      </x:c>
      <x:c r="C15" s="13" t="str">
        <x:v>Dijalankan di sini (CPython)</x:v>
      </x:c>
      <x:c r="D15" s="13" t="str">
        <x:v>50 baru v0.7 tidak dipakai memilih model; belum acuan manusia</x:v>
      </x:c>
    </x:row>
  </x:sheetData>
  <x:pageMargins left="0.7" right="0.7" top="0.75" bottom="0.75" header="0.3" footer="0.3"/>
  <x:tableParts count="1">
    <x:tablePart xmlns:r="http://schemas.openxmlformats.org/officeDocument/2006/relationships" r:id="Rb6fa1bdfb36947bf"/>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1" hidden="0" customWidth="1"/>
    <x:col min="2" max="2" width="92" hidden="0" customWidth="1"/>
    <x:col min="3" max="3" width="22" hidden="0" customWidth="1"/>
    <x:col min="4" max="4" width="22" hidden="0" customWidth="1"/>
    <x:col min="5" max="5" width="18" hidden="0" customWidth="1"/>
    <x:col min="6" max="6" width="56" hidden="0" customWidth="1"/>
    <x:col min="7" max="7" width="36" hidden="0" customWidth="1"/>
  </x:cols>
  <x:sheetData>
    <x:row r="1" ht="24" customHeight="1">
      <x:c r="A1" s="2"/>
      <x:c r="B1" s="2"/>
      <x:c r="C1" s="2"/>
      <x:c r="D1" s="2"/>
      <x:c r="E1" s="2"/>
      <x:c r="F1" s="2"/>
      <x:c r="G1" s="2"/>
    </x:row>
    <x:row r="2" ht="24" customHeight="1">
      <x:c r="A2" s="4" t="str">
        <x:v>Review label untuk penambahan data pengembangan</x:v>
      </x:c>
      <x:c r="B2" s="5"/>
      <x:c r="C2" s="5"/>
      <x:c r="D2" s="5"/>
      <x:c r="E2" s="5"/>
      <x:c r="F2" s="5"/>
      <x:c r="G2" s="2"/>
    </x:row>
    <x:row r="3" ht="24" customHeight="1">
      <x:c r="A3" s="2" t="str">
        <x:v>16 kasus development dan 24 usulan asisten. Data ini sudah dilihat; review tidak menjadikannya test akhir baru.</x:v>
      </x:c>
      <x:c r="B3" s="2"/>
      <x:c r="C3" s="2"/>
      <x:c r="D3" s="2"/>
      <x:c r="E3" s="2"/>
      <x:c r="F3" s="2"/>
      <x:c r="G3" s="2"/>
    </x:row>
    <x:row r="4" ht="24" customHeight="1">
      <x:c r="A4" s="2" t="str">
        <x:v>Reviewer</x:v>
      </x:c>
      <x:c r="B4" s="15"/>
      <x:c r="C4" s="2"/>
      <x:c r="D4" s="2"/>
      <x:c r="E4" s="2"/>
      <x:c r="F4" s="2"/>
      <x:c r="G4" s="2"/>
    </x:row>
    <x:row r="5" ht="30" customHeight="1">
      <x:c r="A5" s="9" t="str">
        <x:v>ID</x:v>
      </x:c>
      <x:c r="B5" s="9" t="str">
        <x:v>Narasi</x:v>
      </x:c>
      <x:c r="C5" s="9" t="str">
        <x:v>Label sumber</x:v>
      </x:c>
      <x:c r="D5" s="9" t="str">
        <x:v>Kelas reviewer</x:v>
      </x:c>
      <x:c r="E5" s="9" t="str">
        <x:v>Status</x:v>
      </x:c>
      <x:c r="F5" s="9" t="str">
        <x:v>Catatan</x:v>
      </x:c>
      <x:c r="G5" s="9" t="str">
        <x:v>Asal label</x:v>
      </x:c>
    </x:row>
    <x:row r="6" ht="65" customHeight="1">
      <x:c r="A6" s="2" t="str">
        <x:v>BAN-01186</x:v>
      </x:c>
      <x:c r="B6" s="13" t="str">
        <x:v>banjir di aceh peneliti zaiyana putri : sekolah &amp; ; outdoor &amp; ; juga menarik</x:v>
      </x:c>
      <x:c r="C6" s="2" t="str">
        <x:v>FLOOD</x:v>
      </x:c>
      <x:c r="D6" s="15"/>
      <x:c r="E6" s="15" t="str">
        <x:v>PENDING</x:v>
      </x:c>
      <x:c r="F6" s="15"/>
      <x:c r="G6" s="2" t="str">
        <x:v>Acuan development terdahulu</x:v>
      </x:c>
    </x:row>
    <x:row r="7" ht="65" customHeight="1">
      <x:c r="A7" s="2" t="str">
        <x:v>BAN-01703</x:v>
      </x:c>
      <x:c r="B7" s="13" t="str">
        <x:v>abang tolongin ini muti mau plng dari acara tadi dari metmall hujan deras banget mana banjir tolonginnnnn haha angkot nya lama nih mana masih jauh rumah mutiabang pokoknya sih you ya di event selanjutnya</x:v>
      </x:c>
      <x:c r="C7" s="2" t="str">
        <x:v>FLOOD</x:v>
      </x:c>
      <x:c r="D7" s="15"/>
      <x:c r="E7" s="15" t="str">
        <x:v>PENDING</x:v>
      </x:c>
      <x:c r="F7" s="15"/>
      <x:c r="G7" s="2" t="str">
        <x:v>Acuan development terdahulu</x:v>
      </x:c>
    </x:row>
    <x:row r="8" ht="65" customHeight="1">
      <x:c r="A8" s="2" t="str">
        <x:v>BAN-01483</x:v>
      </x:c>
      <x:c r="B8" s="13" t="str">
        <x:v>bapak bupati stay sejak bencana banjir sampai hari ini banser siap di belakang bapak bupati madiun</x:v>
      </x:c>
      <x:c r="C8" s="2" t="str">
        <x:v>FLOOD</x:v>
      </x:c>
      <x:c r="D8" s="15"/>
      <x:c r="E8" s="15" t="str">
        <x:v>PENDING</x:v>
      </x:c>
      <x:c r="F8" s="15"/>
      <x:c r="G8" s="2" t="str">
        <x:v>Acuan development terdahulu</x:v>
      </x:c>
    </x:row>
    <x:row r="9" ht="65" customHeight="1">
      <x:c r="A9" s="2" t="str">
        <x:v>BAN-01984</x:v>
      </x:c>
      <x:c r="B9" s="13" t="str">
        <x:v>asli ngeri-ngeri sedap naf eug beberapa kali bikin kegiatan sosial open donasi dari banjir 2014 kelud sinabung bencana asap dan ada beberapa kegiatan sosial lainnya wajib banget share dana yang masuk &amp; keluar sampai terakir bikin lpj itu kalo di komunitas</x:v>
      </x:c>
      <x:c r="C9" s="2" t="str">
        <x:v>FLOOD</x:v>
      </x:c>
      <x:c r="D9" s="15"/>
      <x:c r="E9" s="15" t="str">
        <x:v>PENDING</x:v>
      </x:c>
      <x:c r="F9" s="15"/>
      <x:c r="G9" s="2" t="str">
        <x:v>Acuan development terdahulu</x:v>
      </x:c>
    </x:row>
    <x:row r="10" ht="65" customHeight="1">
      <x:c r="A10" s="2" t="str">
        <x:v>BAN-01058</x:v>
      </x:c>
      <x:c r="B10" s="13" t="str">
        <x:v>butuh karung pasir dari wan badud sabaaar ini ujian air pasang banjir rob rendam kampung nelayan di penjaringan</x:v>
      </x:c>
      <x:c r="C10" s="2" t="str">
        <x:v>FLOOD</x:v>
      </x:c>
      <x:c r="D10" s="15"/>
      <x:c r="E10" s="15" t="str">
        <x:v>PENDING</x:v>
      </x:c>
      <x:c r="F10" s="15"/>
      <x:c r="G10" s="2" t="str">
        <x:v>Acuan development terdahulu</x:v>
      </x:c>
    </x:row>
    <x:row r="11" ht="65" customHeight="1">
      <x:c r="A11" s="2" t="str">
        <x:v>GEM-01075</x:v>
      </x:c>
      <x:c r="B11" s="13" t="str">
        <x:v>presiden menyambut baik keputusan untuk menyederhanakan prosedur pengambilan uang bagi korban gempa bumi di lombok ntb dari 17 menjadi tinggal 1 prosedur saja yang diikuti sehingga di lapangan betul-betul bisa dilaksanakan pembagian uang bantuan pembangunan rumah itu</x:v>
      </x:c>
      <x:c r="C11" s="2" t="str">
        <x:v>EARTHQUAKE</x:v>
      </x:c>
      <x:c r="D11" s="15"/>
      <x:c r="E11" s="15" t="str">
        <x:v>PENDING</x:v>
      </x:c>
      <x:c r="F11" s="15"/>
      <x:c r="G11" s="2" t="str">
        <x:v>Acuan development terdahulu</x:v>
      </x:c>
    </x:row>
    <x:row r="12" ht="65" customHeight="1">
      <x:c r="A12" s="2" t="str">
        <x:v>GEM-01485</x:v>
      </x:c>
      <x:c r="B12" s="13" t="str">
        <x:v>setelah kemarin ada yang tetap nekad meneruskan shalat ketika gempa bumi dan masjid tempat shalatnya bergoyang kemudian ada yang shalat berjamaah di halte busway ada pula yang shalat di tengah gang gerbong kereta</x:v>
      </x:c>
      <x:c r="C12" s="2" t="str">
        <x:v>EARTHQUAKE</x:v>
      </x:c>
      <x:c r="D12" s="15"/>
      <x:c r="E12" s="15" t="str">
        <x:v>PENDING</x:v>
      </x:c>
      <x:c r="F12" s="15"/>
      <x:c r="G12" s="2" t="str">
        <x:v>Acuan development terdahulu</x:v>
      </x:c>
    </x:row>
    <x:row r="13" ht="65" customHeight="1">
      <x:c r="A13" s="2" t="str">
        <x:v>GEM-01323</x:v>
      </x:c>
      <x:c r="B13" s="13" t="str">
        <x:v>sebelum gempa bumi yang begitu dahsat begitu indah ya pemandang di kator inch setiap ada kegiatan apa saja pasti di tempat inich orang berkumpul tapi sayang itu semua tinggal kenangan belaka saja karena sok di hempas</x:v>
      </x:c>
      <x:c r="C13" s="2" t="str">
        <x:v>EARTHQUAKE</x:v>
      </x:c>
      <x:c r="D13" s="15"/>
      <x:c r="E13" s="15" t="str">
        <x:v>PENDING</x:v>
      </x:c>
      <x:c r="F13" s="15"/>
      <x:c r="G13" s="2" t="str">
        <x:v>Acuan development terdahulu</x:v>
      </x:c>
    </x:row>
    <x:row r="14" ht="65" customHeight="1">
      <x:c r="A14" s="2" t="str">
        <x:v>KEB-00831</x:v>
      </x:c>
      <x:c r="B14" s="13" t="str">
        <x:v>jadi cerita nya ada kebakaran , trus pemadam dateng , pemandm nya langsung nyiremin rumah2 di samping rumah yg lagi kebakaran nya trus pemadam kebakaran nya di lemparin batu warga , kata nya pemadam nya malah bercanda wkwk dasar orang2 tolol lu kira api nabun bisa di pademin pake aer</x:v>
      </x:c>
      <x:c r="C14" s="2" t="str">
        <x:v>FIRE</x:v>
      </x:c>
      <x:c r="D14" s="15"/>
      <x:c r="E14" s="15" t="str">
        <x:v>PENDING</x:v>
      </x:c>
      <x:c r="F14" s="15"/>
      <x:c r="G14" s="2" t="str">
        <x:v>Acuan development terdahulu</x:v>
      </x:c>
    </x:row>
    <x:row r="15" ht="65" customHeight="1">
      <x:c r="A15" s="2" t="str">
        <x:v>KEB-00264</x:v>
      </x:c>
      <x:c r="B15" s="13" t="str">
        <x:v>1 . kebakaran hutan dan lahan ( ) saat ini sudah mulai dilakukan penanggulangan dan pencegahan nya oleh tim manggala agni klhk , tni dan polri di daerah riau . via</x:v>
      </x:c>
      <x:c r="C15" s="2" t="str">
        <x:v>FIRE</x:v>
      </x:c>
      <x:c r="D15" s="15"/>
      <x:c r="E15" s="15" t="str">
        <x:v>PENDING</x:v>
      </x:c>
      <x:c r="F15" s="15"/>
      <x:c r="G15" s="2" t="str">
        <x:v>Acuan development terdahulu</x:v>
      </x:c>
    </x:row>
    <x:row r="16" ht="65" customHeight="1">
      <x:c r="A16" s="2" t="str">
        <x:v>KEB-00695</x:v>
      </x:c>
      <x:c r="B16" s="13" t="str">
        <x:v>gedung telkom ada yg kebakaran gi kata nya di pekanbaru , makanya jaringan langsung pada keputus .</x:v>
      </x:c>
      <x:c r="C16" s="2" t="str">
        <x:v>FIRE</x:v>
      </x:c>
      <x:c r="D16" s="15"/>
      <x:c r="E16" s="15" t="str">
        <x:v>PENDING</x:v>
      </x:c>
      <x:c r="F16" s="15"/>
      <x:c r="G16" s="2" t="str">
        <x:v>Acuan development terdahulu</x:v>
      </x:c>
    </x:row>
    <x:row r="17" ht="65" customHeight="1">
      <x:c r="A17" s="2" t="str">
        <x:v>KEB-00940</x:v>
      </x:c>
      <x:c r="B17" s="13" t="str">
        <x:v>. . . . kavling dpr di sidoarjo udah kebakaran semalem . baru tau di story ig . bener-bener bakalan banyak api mulai hari ini .</x:v>
      </x:c>
      <x:c r="C17" s="2" t="str">
        <x:v>FIRE</x:v>
      </x:c>
      <x:c r="D17" s="15"/>
      <x:c r="E17" s="15" t="str">
        <x:v>PENDING</x:v>
      </x:c>
      <x:c r="F17" s="15"/>
      <x:c r="G17" s="2" t="str">
        <x:v>Acuan development terdahulu</x:v>
      </x:c>
    </x:row>
    <x:row r="18" ht="65" customHeight="1">
      <x:c r="A18" s="2" t="str">
        <x:v>KEC-01051</x:v>
      </x:c>
      <x:c r="B18" s="13" t="str">
        <x:v>-kakak perempuannya meninggal diakibatkan kecelakaan saat ini celyn duduk di bangku sama dia bukanlah siswi yang pintar dan memiliki banyak prestasi tapi celyn merupakan siswi yang aktif dalam organisasi dia adalah wakil ketua osis di sekolahnya-</x:v>
      </x:c>
      <x:c r="C18" s="2" t="str">
        <x:v>ACCIDENT</x:v>
      </x:c>
      <x:c r="D18" s="15"/>
      <x:c r="E18" s="15" t="str">
        <x:v>PENDING</x:v>
      </x:c>
      <x:c r="F18" s="15"/>
      <x:c r="G18" s="2" t="str">
        <x:v>Acuan development terdahulu</x:v>
      </x:c>
    </x:row>
    <x:row r="19" ht="65" customHeight="1">
      <x:c r="A19" s="2" t="str">
        <x:v>BAN-01692</x:v>
      </x:c>
      <x:c r="B19" s="13" t="str">
        <x:v>banjir dukungan di injury time</x:v>
      </x:c>
      <x:c r="C19" s="2" t="str">
        <x:v>NON_EVENT</x:v>
      </x:c>
      <x:c r="D19" s="15"/>
      <x:c r="E19" s="15" t="str">
        <x:v>PENDING</x:v>
      </x:c>
      <x:c r="F19" s="15"/>
      <x:c r="G19" s="2" t="str">
        <x:v>Acuan development terdahulu</x:v>
      </x:c>
    </x:row>
    <x:row r="20" ht="65" customHeight="1">
      <x:c r="A20" s="2" t="str">
        <x:v>BAN-01763</x:v>
      </x:c>
      <x:c r="B20" s="13"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C20" s="2" t="str">
        <x:v>NON_EVENT</x:v>
      </x:c>
      <x:c r="D20" s="15"/>
      <x:c r="E20" s="15" t="str">
        <x:v>PENDING</x:v>
      </x:c>
      <x:c r="F20" s="15"/>
      <x:c r="G20" s="2" t="str">
        <x:v>Acuan development terdahulu</x:v>
      </x:c>
    </x:row>
    <x:row r="21" ht="65" customHeight="1">
      <x:c r="A21" s="2" t="str">
        <x:v>KEC-01006</x:v>
      </x:c>
      <x:c r="B21" s="13" t="str">
        <x:v>4 kecelakaan maut dan mengerikan di dunia karena hal sepele</x:v>
      </x:c>
      <x:c r="C21" s="2" t="str">
        <x:v>NON_EVENT</x:v>
      </x:c>
      <x:c r="D21" s="15"/>
      <x:c r="E21" s="15" t="str">
        <x:v>PENDING</x:v>
      </x:c>
      <x:c r="F21" s="15"/>
      <x:c r="G21" s="2" t="str">
        <x:v>Acuan development terdahulu</x:v>
      </x:c>
    </x:row>
    <x:row r="22" ht="65" customHeight="1">
      <x:c r="A22" s="2" t="str">
        <x:v>FRESH-05-001</x:v>
      </x:c>
      <x:c r="B22" s="13" t="str">
        <x:v>Laporan posko: air sungai meluap dan merendam kios-kios di Kampung Anggrek sejak subuh.</x:v>
      </x:c>
      <x:c r="C22" s="2" t="str">
        <x:v>FLOOD</x:v>
      </x:c>
      <x:c r="D22" s="15"/>
      <x:c r="E22" s="15" t="str">
        <x:v>PENDING</x:v>
      </x:c>
      <x:c r="F22" s="15"/>
      <x:c r="G22" s="2" t="str">
        <x:v>Usulan asisten</x:v>
      </x:c>
    </x:row>
    <x:row r="23" ht="65" customHeight="1">
      <x:c r="A23" s="2" t="str">
        <x:v>FRESH-05-002</x:v>
      </x:c>
      <x:c r="B23" s="13" t="str">
        <x:v>Sesi latihan dihentikan: air sungguhan meluap masuk asrama dan petugas mengevakuasi penghuni.</x:v>
      </x:c>
      <x:c r="C23" s="2" t="str">
        <x:v>FLOOD</x:v>
      </x:c>
      <x:c r="D23" s="15"/>
      <x:c r="E23" s="15" t="str">
        <x:v>PENDING</x:v>
      </x:c>
      <x:c r="F23" s="15"/>
      <x:c r="G23" s="2" t="str">
        <x:v>Usulan asisten</x:v>
      </x:c>
    </x:row>
    <x:row r="24" ht="65" customHeight="1">
      <x:c r="A24" s="2" t="str">
        <x:v>FRESH-05-003</x:v>
      </x:c>
      <x:c r="B24" s="13" t="str">
        <x:v>Tidak ada latihan hari ini; banjir benar-benar menutup akses jembatan di Desa Kenanga.</x:v>
      </x:c>
      <x:c r="C24" s="2" t="str">
        <x:v>FLOOD</x:v>
      </x:c>
      <x:c r="D24" s="15"/>
      <x:c r="E24" s="15" t="str">
        <x:v>PENDING</x:v>
      </x:c>
      <x:c r="F24" s="15"/>
      <x:c r="G24" s="2" t="str">
        <x:v>Usulan asisten</x:v>
      </x:c>
    </x:row>
    <x:row r="25" ht="65" customHeight="1">
      <x:c r="A25" s="2" t="str">
        <x:v>FRESH-05-004</x:v>
      </x:c>
      <x:c r="B25" s="13" t="str">
        <x:v>Warga Kabupaten Mandala merasakan gempa pukul dua; tembok sekolah roboh.</x:v>
      </x:c>
      <x:c r="C25" s="2" t="str">
        <x:v>EARTHQUAKE</x:v>
      </x:c>
      <x:c r="D25" s="15"/>
      <x:c r="E25" s="15" t="str">
        <x:v>PENDING</x:v>
      </x:c>
      <x:c r="F25" s="15"/>
      <x:c r="G25" s="2" t="str">
        <x:v>Usulan asisten</x:v>
      </x:c>
    </x:row>
    <x:row r="26" ht="65" customHeight="1">
      <x:c r="A26" s="2" t="str">
        <x:v>FRESH-05-005</x:v>
      </x:c>
      <x:c r="B26" s="13" t="str">
        <x:v>Ketika siswa berlatih berlindung, gempa sungguhan mengguncang sekolah hingga lampu jatuh.</x:v>
      </x:c>
      <x:c r="C26" s="2" t="str">
        <x:v>EARTHQUAKE</x:v>
      </x:c>
      <x:c r="D26" s="15"/>
      <x:c r="E26" s="15" t="str">
        <x:v>PENDING</x:v>
      </x:c>
      <x:c r="F26" s="15"/>
      <x:c r="G26" s="2" t="str">
        <x:v>Usulan asisten</x:v>
      </x:c>
    </x:row>
    <x:row r="27" ht="65" customHeight="1">
      <x:c r="A27" s="2" t="str">
        <x:v>FRESH-05-006</x:v>
      </x:c>
      <x:c r="B27" s="13" t="str">
        <x:v>Ini bukan contoh soal. Gempa baru saja merobohkan pagar rumah kami.</x:v>
      </x:c>
      <x:c r="C27" s="2" t="str">
        <x:v>EARTHQUAKE</x:v>
      </x:c>
      <x:c r="D27" s="15"/>
      <x:c r="E27" s="15" t="str">
        <x:v>PENDING</x:v>
      </x:c>
      <x:c r="F27" s="15"/>
      <x:c r="G27" s="2" t="str">
        <x:v>Usulan asisten</x:v>
      </x:c>
    </x:row>
    <x:row r="28" ht="65" customHeight="1">
      <x:c r="A28" s="2" t="str">
        <x:v>FRESH-05-007</x:v>
      </x:c>
      <x:c r="B28" s="13" t="str">
        <x:v>Api membesar di bengkel las Jalan Delima dan membakar dua kendaraan malam tadi.</x:v>
      </x:c>
      <x:c r="C28" s="2" t="str">
        <x:v>FIRE</x:v>
      </x:c>
      <x:c r="D28" s="15"/>
      <x:c r="E28" s="15" t="str">
        <x:v>PENDING</x:v>
      </x:c>
      <x:c r="F28" s="15"/>
      <x:c r="G28" s="2" t="str">
        <x:v>Usulan asisten</x:v>
      </x:c>
    </x:row>
    <x:row r="29" ht="65" customHeight="1">
      <x:c r="A29" s="2" t="str">
        <x:v>FRESH-05-008</x:v>
      </x:c>
      <x:c r="B29" s="13" t="str">
        <x:v>Skenario latihan dibatalkan karena gudang di sebelahnya benar-benar terbakar dan dua pekerja cedera.</x:v>
      </x:c>
      <x:c r="C29" s="2" t="str">
        <x:v>FIRE</x:v>
      </x:c>
      <x:c r="D29" s="15"/>
      <x:c r="E29" s="15" t="str">
        <x:v>PENDING</x:v>
      </x:c>
      <x:c r="F29" s="15"/>
      <x:c r="G29" s="2" t="str">
        <x:v>Usulan asisten</x:v>
      </x:c>
    </x:row>
    <x:row r="30" ht="65" customHeight="1">
      <x:c r="A30" s="2" t="str">
        <x:v>FRESH-05-009</x:v>
      </x:c>
      <x:c r="B30" s="13" t="str">
        <x:v>Bukan simulasi, dapur restoran sedang kebakaran; asap pekat keluar dari atap.</x:v>
      </x:c>
      <x:c r="C30" s="2" t="str">
        <x:v>FIRE</x:v>
      </x:c>
      <x:c r="D30" s="15"/>
      <x:c r="E30" s="15" t="str">
        <x:v>PENDING</x:v>
      </x:c>
      <x:c r="F30" s="15"/>
      <x:c r="G30" s="2" t="str">
        <x:v>Usulan asisten</x:v>
      </x:c>
    </x:row>
    <x:row r="31" ht="65" customHeight="1">
      <x:c r="A31" s="2" t="str">
        <x:v>FRESH-05-010</x:v>
      </x:c>
      <x:c r="B31" s="13" t="str">
        <x:v>Sepeda motor menabrak pejalan kaki di simpang Jalan Kapuk; korban dibawa ke puskesmas.</x:v>
      </x:c>
      <x:c r="C31" s="2" t="str">
        <x:v>ACCIDENT</x:v>
      </x:c>
      <x:c r="D31" s="15"/>
      <x:c r="E31" s="15" t="str">
        <x:v>PENDING</x:v>
      </x:c>
      <x:c r="F31" s="15"/>
      <x:c r="G31" s="2" t="str">
        <x:v>Usulan asisten</x:v>
      </x:c>
    </x:row>
    <x:row r="32" ht="65" customHeight="1">
      <x:c r="A32" s="2" t="str">
        <x:v>FRESH-05-011</x:v>
      </x:c>
      <x:c r="B32" s="13" t="str">
        <x:v>Latihan lalu lintas terhenti setelah truk sungguhan menabrak peserta di pintu gerbang.</x:v>
      </x:c>
      <x:c r="C32" s="2" t="str">
        <x:v>ACCIDENT</x:v>
      </x:c>
      <x:c r="D32" s="15"/>
      <x:c r="E32" s="15" t="str">
        <x:v>PENDING</x:v>
      </x:c>
      <x:c r="F32" s="15"/>
      <x:c r="G32" s="2" t="str">
        <x:v>Usulan asisten</x:v>
      </x:c>
    </x:row>
    <x:row r="33" ht="65" customHeight="1">
      <x:c r="A33" s="2" t="str">
        <x:v>FRESH-05-012</x:v>
      </x:c>
      <x:c r="B33" s="13" t="str">
        <x:v>Tidak ada tabrakan beruntun, tetapi sebuah bus menabrak pohon dan satu penumpang terluka.</x:v>
      </x:c>
      <x:c r="C33" s="2" t="str">
        <x:v>ACCIDENT</x:v>
      </x:c>
      <x:c r="D33" s="15"/>
      <x:c r="E33" s="15" t="str">
        <x:v>PENDING</x:v>
      </x:c>
      <x:c r="F33" s="15"/>
      <x:c r="G33" s="2" t="str">
        <x:v>Usulan asisten</x:v>
      </x:c>
    </x:row>
    <x:row r="34" ht="65" customHeight="1">
      <x:c r="A34" s="2" t="str">
        <x:v>FRESH-05-013</x:v>
      </x:c>
      <x:c r="B34" s="13" t="str">
        <x:v>Bahan lokakarya berjudul Hidup Bersama Banjir dibagikan kepada peserta; semua contoh hanya ilustrasi.</x:v>
      </x:c>
      <x:c r="C34" s="2" t="str">
        <x:v>NON_EVENT</x:v>
      </x:c>
      <x:c r="D34" s="15"/>
      <x:c r="E34" s="15" t="str">
        <x:v>PENDING</x:v>
      </x:c>
      <x:c r="F34" s="15"/>
      <x:c r="G34" s="2" t="str">
        <x:v>Usulan asisten</x:v>
      </x:c>
    </x:row>
    <x:row r="35" ht="65" customHeight="1">
      <x:c r="A35" s="2" t="str">
        <x:v>FRESH-05-014</x:v>
      </x:c>
      <x:c r="B35" s="13" t="str">
        <x:v>Panitia berencana berlatih evakuasi banjir bulan depan; pengumuman ini tidak melaporkan kejadian.</x:v>
      </x:c>
      <x:c r="C35" s="2" t="str">
        <x:v>NON_EVENT</x:v>
      </x:c>
      <x:c r="D35" s="15"/>
      <x:c r="E35" s="15" t="str">
        <x:v>PENDING</x:v>
      </x:c>
      <x:c r="F35" s="15"/>
      <x:c r="G35" s="2" t="str">
        <x:v>Usulan asisten</x:v>
      </x:c>
    </x:row>
    <x:row r="36" ht="65" customHeight="1">
      <x:c r="A36" s="2" t="str">
        <x:v>FRESH-05-015</x:v>
      </x:c>
      <x:c r="B36" s="13" t="str">
        <x:v>Banjir hadiah untuk tim juara, begitu bunyi candaan pembawa acara.</x:v>
      </x:c>
      <x:c r="C36" s="2" t="str">
        <x:v>NON_EVENT</x:v>
      </x:c>
      <x:c r="D36" s="15"/>
      <x:c r="E36" s="15" t="str">
        <x:v>PENDING</x:v>
      </x:c>
      <x:c r="F36" s="15"/>
      <x:c r="G36" s="2" t="str">
        <x:v>Usulan asisten</x:v>
      </x:c>
    </x:row>
    <x:row r="37" ht="65" customHeight="1">
      <x:c r="A37" s="2" t="str">
        <x:v>FRESH-05-016</x:v>
      </x:c>
      <x:c r="B37" s="13" t="str">
        <x:v>Dosen menguraikan teori lempeng penyebab gempa dalam rekaman kuliah.</x:v>
      </x:c>
      <x:c r="C37" s="2" t="str">
        <x:v>NON_EVENT</x:v>
      </x:c>
      <x:c r="D37" s="15"/>
      <x:c r="E37" s="15" t="str">
        <x:v>PENDING</x:v>
      </x:c>
      <x:c r="F37" s="15"/>
      <x:c r="G37" s="2" t="str">
        <x:v>Usulan asisten</x:v>
      </x:c>
    </x:row>
    <x:row r="38" ht="65" customHeight="1">
      <x:c r="A38" s="2" t="str">
        <x:v>FRESH-05-017</x:v>
      </x:c>
      <x:c r="B38" s="13" t="str">
        <x:v>Pesan berantai tentang gempa di sini dibantah: pemeriksaan menyatakan guncangan itu tidak terjadi.</x:v>
      </x:c>
      <x:c r="C38" s="2" t="str">
        <x:v>NON_EVENT</x:v>
      </x:c>
      <x:c r="D38" s="15"/>
      <x:c r="E38" s="15" t="str">
        <x:v>PENDING</x:v>
      </x:c>
      <x:c r="F38" s="15"/>
      <x:c r="G38" s="2" t="str">
        <x:v>Usulan asisten</x:v>
      </x:c>
    </x:row>
    <x:row r="39" ht="65" customHeight="1">
      <x:c r="A39" s="2" t="str">
        <x:v>FRESH-05-018</x:v>
      </x:c>
      <x:c r="B39" s="13" t="str">
        <x:v>Dalam novel fantasi itu kerajaan dihancurkan gempa buatan naga.</x:v>
      </x:c>
      <x:c r="C39" s="2" t="str">
        <x:v>NON_EVENT</x:v>
      </x:c>
      <x:c r="D39" s="15"/>
      <x:c r="E39" s="15" t="str">
        <x:v>PENDING</x:v>
      </x:c>
      <x:c r="F39" s="15"/>
      <x:c r="G39" s="2" t="str">
        <x:v>Usulan asisten</x:v>
      </x:c>
    </x:row>
    <x:row r="40" ht="65" customHeight="1">
      <x:c r="A40" s="2" t="str">
        <x:v>FRESH-05-019</x:v>
      </x:c>
      <x:c r="B40" s="13" t="str">
        <x:v>Api tiruan dan mesin asap digunakan dalam peragaan keselamatan; tidak ada kebakaran sungguhan.</x:v>
      </x:c>
      <x:c r="C40" s="2" t="str">
        <x:v>NON_EVENT</x:v>
      </x:c>
      <x:c r="D40" s="15"/>
      <x:c r="E40" s="15" t="str">
        <x:v>PENDING</x:v>
      </x:c>
      <x:c r="F40" s="15"/>
      <x:c r="G40" s="2" t="str">
        <x:v>Usulan asisten</x:v>
      </x:c>
    </x:row>
    <x:row r="41" ht="65" customHeight="1">
      <x:c r="A41" s="2" t="str">
        <x:v>FRESH-05-020</x:v>
      </x:c>
      <x:c r="B41" s="13" t="str">
        <x:v>Audit mencatat dua belas kebakaran selama tiga tahun terakhir sebagai angka statistik.</x:v>
      </x:c>
      <x:c r="C41" s="2" t="str">
        <x:v>NON_EVENT</x:v>
      </x:c>
      <x:c r="D41" s="15"/>
      <x:c r="E41" s="15" t="str">
        <x:v>PENDING</x:v>
      </x:c>
      <x:c r="F41" s="15"/>
      <x:c r="G41" s="2" t="str">
        <x:v>Usulan asisten</x:v>
      </x:c>
    </x:row>
    <x:row r="42" ht="65" customHeight="1">
      <x:c r="A42" s="2" t="str">
        <x:v>FRESH-05-021</x:v>
      </x:c>
      <x:c r="B42" s="13" t="str">
        <x:v>Jika gudang kebakaran, jalur mana yang harus dipakai? Ini pertanyaan ujian.</x:v>
      </x:c>
      <x:c r="C42" s="2" t="str">
        <x:v>NON_EVENT</x:v>
      </x:c>
      <x:c r="D42" s="15"/>
      <x:c r="E42" s="15" t="str">
        <x:v>PENDING</x:v>
      </x:c>
      <x:c r="F42" s="15"/>
      <x:c r="G42" s="2" t="str">
        <x:v>Usulan asisten</x:v>
      </x:c>
    </x:row>
    <x:row r="43" ht="65" customHeight="1">
      <x:c r="A43" s="2" t="str">
        <x:v>FRESH-05-022</x:v>
      </x:c>
      <x:c r="B43" s="13" t="str">
        <x:v>Poster layanan masyarakat memuat kiat mencegah kecelakaan saat libur panjang.</x:v>
      </x:c>
      <x:c r="C43" s="2" t="str">
        <x:v>NON_EVENT</x:v>
      </x:c>
      <x:c r="D43" s="15"/>
      <x:c r="E43" s="15" t="str">
        <x:v>PENDING</x:v>
      </x:c>
      <x:c r="F43" s="15"/>
      <x:c r="G43" s="2" t="str">
        <x:v>Usulan asisten</x:v>
      </x:c>
    </x:row>
    <x:row r="44" ht="65" customHeight="1">
      <x:c r="A44" s="2" t="str">
        <x:v>FRESH-05-023</x:v>
      </x:c>
      <x:c r="B44" s="13" t="str">
        <x:v>Aktor merekam adegan kecelakaan menggunakan mobil properti; tidak ada insiden nyata.</x:v>
      </x:c>
      <x:c r="C44" s="2" t="str">
        <x:v>NON_EVENT</x:v>
      </x:c>
      <x:c r="D44" s="15"/>
      <x:c r="E44" s="15" t="str">
        <x:v>PENDING</x:v>
      </x:c>
      <x:c r="F44" s="15"/>
      <x:c r="G44" s="2" t="str">
        <x:v>Usulan asisten</x:v>
      </x:c>
    </x:row>
    <x:row r="45" ht="65" customHeight="1">
      <x:c r="A45" s="2" t="str">
        <x:v>FRESH-05-024</x:v>
      </x:c>
      <x:c r="B45" s="13" t="str">
        <x:v>Petugas mengklarifikasi kabar kecelakaan di Jalan Kamboja: kendaraan berhenti biasa dan tidak saling menabrak.</x:v>
      </x:c>
      <x:c r="C45" s="2" t="str">
        <x:v>NON_EVENT</x:v>
      </x:c>
      <x:c r="D45" s="15"/>
      <x:c r="E45" s="15" t="str">
        <x:v>PENDING</x:v>
      </x:c>
      <x:c r="F45" s="15"/>
      <x:c r="G45" s="2" t="str">
        <x:v>Usulan asisten</x:v>
      </x:c>
    </x:row>
  </x:sheetData>
  <x:dataValidations count="2">
    <x:dataValidation type="list" sqref="D6:D45">
      <x:formula1>"FLOOD,EARTHQUAKE,FIRE,ACCIDENT,NON_EVENT"</x:formula1>
    </x:dataValidation>
    <x:dataValidation type="list" sqref="E6:E45">
      <x:formula1>"PENDING,APPROVED,DEFERRED"</x:formula1>
    </x:dataValidation>
  </x:dataValidations>
  <x:pageMargins left="0.7" right="0.7" top="0.75" bottom="0.75" header="0.3" footer="0.3"/>
  <x:tableParts count="1">
    <x:tablePart xmlns:r="http://schemas.openxmlformats.org/officeDocument/2006/relationships" r:id="R9a0b926d00b94c5c"/>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9" hidden="0" customWidth="1"/>
    <x:col min="2" max="2" width="96" hidden="0" customWidth="1"/>
    <x:col min="3" max="3" width="22" hidden="0" customWidth="1"/>
    <x:col min="4" max="4" width="22" hidden="0" customWidth="1"/>
    <x:col min="5" max="5" width="16" hidden="0" customWidth="1"/>
    <x:col min="6" max="6" width="22" hidden="0" customWidth="1"/>
    <x:col min="7" max="7" width="25" hidden="0" customWidth="1"/>
  </x:cols>
  <x:sheetData>
    <x:row r="1" ht="24" customHeight="1">
      <x:c r="A1" s="2"/>
      <x:c r="B1" s="2"/>
      <x:c r="C1" s="2"/>
      <x:c r="D1" s="2"/>
      <x:c r="E1" s="2"/>
      <x:c r="F1" s="2"/>
      <x:c r="G1" s="2"/>
    </x:row>
    <x:row r="2" ht="24" customHeight="1">
      <x:c r="A2" s="4" t="str">
        <x:v>Diagnostik baru v0.7: 50 narasi</x:v>
      </x:c>
      <x:c r="B2" s="5"/>
      <x:c r="C2" s="5"/>
      <x:c r="D2" s="5"/>
      <x:c r="E2" s="5"/>
      <x:c r="F2" s="5"/>
      <x:c r="G2" s="5"/>
    </x:row>
    <x:row r="3" ht="24" customHeight="1">
      <x:c r="A3" s="6" t="str">
        <x:v>Acuan usulan asisten. Dibekukan sebelum pelatihan. Tidak digunakan memilih kandidat v0.7.</x:v>
      </x:c>
      <x:c r="B3" s="2"/>
      <x:c r="C3" s="2"/>
      <x:c r="D3" s="2"/>
      <x:c r="E3" s="2"/>
      <x:c r="F3" s="2"/>
      <x:c r="G3" s="2"/>
    </x:row>
    <x:row r="4" ht="24" customHeight="1">
      <x:c r="A4" s="6" t="str">
        <x:v>Perbandingan terhadap usulan ini bukan persetujuan label atau penerimaan mutu manusia.</x:v>
      </x:c>
      <x:c r="B4" s="2"/>
      <x:c r="C4" s="2"/>
      <x:c r="D4" s="2"/>
      <x:c r="E4" s="2"/>
      <x:c r="F4" s="2"/>
      <x:c r="G4" s="2"/>
    </x:row>
    <x:row r="5" ht="30" customHeight="1">
      <x:c r="A5" s="16" t="str">
        <x:v>ID</x:v>
      </x:c>
      <x:c r="B5" s="16" t="str">
        <x:v>Narasi</x:v>
      </x:c>
      <x:c r="C5" s="16" t="str">
        <x:v>Acuan usulan</x:v>
      </x:c>
      <x:c r="D5" s="16" t="str">
        <x:v>Prediksi</x:v>
      </x:c>
      <x:c r="E5" s="16" t="str">
        <x:v>Confidence</x:v>
      </x:c>
      <x:c r="F5" s="16" t="str">
        <x:v>Perbandingan</x:v>
      </x:c>
      <x:c r="G5" s="16" t="str">
        <x:v>Konteks</x:v>
      </x:c>
    </x:row>
    <x:row r="6" ht="70" customHeight="1">
      <x:c r="A6" s="2" t="str">
        <x:v>NEW07-FLOOD-01</x:v>
      </x:c>
      <x:c r="B6" s="13" t="str">
        <x:v>Air banjir sudah setinggi pinggang di Gang Kelor sejak pukul enam dan keluarga kami mengungsi ke masjid.</x:v>
      </x:c>
      <x:c r="C6" s="2" t="str">
        <x:v>FLOOD</x:v>
      </x:c>
      <x:c r="D6" s="2" t="str">
        <x:v>FLOOD</x:v>
      </x:c>
      <x:c r="E6" s="10" t="n">
        <x:v>0.9991030693054199</x:v>
      </x:c>
      <x:c r="F6" s="2" t="str">
        <x:f>IF(C6=D6,"Sesuai usulan","Berbeda")</x:f>
        <x:v>Sesuai usulan</x:v>
      </x:c>
      <x:c r="G6" s="13" t="str">
        <x:v>plain</x:v>
      </x:c>
    </x:row>
    <x:row r="7" ht="70" customHeight="1">
      <x:c r="A7" s="2" t="str">
        <x:v>NEW07-FLOOD-02</x:v>
      </x:c>
      <x:c r="B7" s="13" t="str">
        <x:v>Hujan deras membuat Sungai Tawar meluap pagi ini; aliran air menggenangi puluhan rumah di bantaran.</x:v>
      </x:c>
      <x:c r="C7" s="2" t="str">
        <x:v>FLOOD</x:v>
      </x:c>
      <x:c r="D7" s="2" t="str">
        <x:v>FLOOD</x:v>
      </x:c>
      <x:c r="E7" s="10" t="n">
        <x:v>0.99866783618927</x:v>
      </x:c>
      <x:c r="F7" s="2" t="str">
        <x:f>IF(C7=D7,"Sesuai usulan","Berbeda")</x:f>
        <x:v>Sesuai usulan</x:v>
      </x:c>
      <x:c r="G7" s="13" t="str">
        <x:v>plain</x:v>
      </x:c>
    </x:row>
    <x:row r="8" ht="70" customHeight="1">
      <x:c r="A8" s="2" t="str">
        <x:v>NEW07-FLOOD-03</x:v>
      </x:c>
      <x:c r="B8" s="13" t="str">
        <x:v>Tidak seorang pun meninggal, meskipun banjir tadi malam menghancurkan tiga rumah di Dusun Papar.</x:v>
      </x:c>
      <x:c r="C8" s="2" t="str">
        <x:v>FLOOD</x:v>
      </x:c>
      <x:c r="D8" s="2" t="str">
        <x:v>FLOOD</x:v>
      </x:c>
      <x:c r="E8" s="10" t="n">
        <x:v>0.9968271851539612</x:v>
      </x:c>
      <x:c r="F8" s="2" t="str">
        <x:f>IF(C8=D8,"Sesuai usulan","Berbeda")</x:f>
        <x:v>Sesuai usulan</x:v>
      </x:c>
      <x:c r="G8" s="13" t="str">
        <x:v>victim_negation</x:v>
      </x:c>
    </x:row>
    <x:row r="9" ht="70" customHeight="1">
      <x:c r="A9" s="2" t="str">
        <x:v>NEW07-FLOOD-04</x:v>
      </x:c>
      <x:c r="B9" s="13" t="str">
        <x:v>Petugas sedang berlatih menolong korban gempa ketika air banjir betulan menerobos tempat latihan dan mereka harus pindah.</x:v>
      </x:c>
      <x:c r="C9" s="2" t="str">
        <x:v>FLOOD</x:v>
      </x:c>
      <x:c r="D9" s="2" t="str">
        <x:v>FLOOD</x:v>
      </x:c>
      <x:c r="E9" s="10" t="n">
        <x:v>0.9988704323768616</x:v>
      </x:c>
      <x:c r="F9" s="2" t="str">
        <x:f>IF(C9=D9,"Sesuai usulan","Berbeda")</x:f>
        <x:v>Sesuai usulan</x:v>
      </x:c>
      <x:c r="G9" s="13" t="str">
        <x:v>exercise_contrast</x:v>
      </x:c>
    </x:row>
    <x:row r="10" ht="70" customHeight="1">
      <x:c r="A10" s="2" t="str">
        <x:v>NEW07-FLOOD-05</x:v>
      </x:c>
      <x:c r="B10" s="13" t="str">
        <x:v>Foto permukiman terendam itu sempat disebut palsu. Relawan di lokasi memastikan banjir benar terjadi dan membawa warga keluar.</x:v>
      </x:c>
      <x:c r="C10" s="2" t="str">
        <x:v>FLOOD</x:v>
      </x:c>
      <x:c r="D10" s="2" t="str">
        <x:v>FLOOD</x:v>
      </x:c>
      <x:c r="E10" s="10" t="n">
        <x:v>0.8941648006439209</x:v>
      </x:c>
      <x:c r="F10" s="2" t="str">
        <x:f>IF(C10=D10,"Sesuai usulan","Berbeda")</x:f>
        <x:v>Sesuai usulan</x:v>
      </x:c>
      <x:c r="G10" s="13" t="str">
        <x:v>rumor_verified</x:v>
      </x:c>
    </x:row>
    <x:row r="11" ht="70" customHeight="1">
      <x:c r="A11" s="2" t="str">
        <x:v>NEW07-FLOOD-06</x:v>
      </x:c>
      <x:c r="B11" s="13" t="str">
        <x:v>Rumah di bukit tidak kebanjiran, tetapi rumah kami di bantaran sungai sudah terendam dan kami menunggu perahu.</x:v>
      </x:c>
      <x:c r="C11" s="2" t="str">
        <x:v>FLOOD</x:v>
      </x:c>
      <x:c r="D11" s="2" t="str">
        <x:v>FLOOD</x:v>
      </x:c>
      <x:c r="E11" s="10" t="n">
        <x:v>0.9762992262840271</x:v>
      </x:c>
      <x:c r="F11" s="2" t="str">
        <x:f>IF(C11=D11,"Sesuai usulan","Berbeda")</x:f>
        <x:v>Sesuai usulan</x:v>
      </x:c>
      <x:c r="G11" s="13" t="str">
        <x:v>local_negation</x:v>
      </x:c>
    </x:row>
    <x:row r="12" ht="70" customHeight="1">
      <x:c r="A12" s="2" t="str">
        <x:v>NEW07-FLOOD-07</x:v>
      </x:c>
      <x:c r="B12" s="13" t="str">
        <x:v>Tanggul di belakang pasar runtuh sore ini. Air sungai masuk ke deretan toko hingga dagangan hanyut dan pedagang mengungsi.</x:v>
      </x:c>
      <x:c r="C12" s="2" t="str">
        <x:v>FLOOD</x:v>
      </x:c>
      <x:c r="D12" s="2" t="str">
        <x:v>FLOOD</x:v>
      </x:c>
      <x:c r="E12" s="10" t="n">
        <x:v>0.9972994923591614</x:v>
      </x:c>
      <x:c r="F12" s="2" t="str">
        <x:f>IF(C12=D12,"Sesuai usulan","Berbeda")</x:f>
        <x:v>Sesuai usulan</x:v>
      </x:c>
      <x:c r="G12" s="13" t="str">
        <x:v>nonkeyword</x:v>
      </x:c>
    </x:row>
    <x:row r="13" ht="70" customHeight="1">
      <x:c r="A13" s="2" t="str">
        <x:v>NEW07-FLOOD-08</x:v>
      </x:c>
      <x:c r="B13" s="13" t="str">
        <x:v>Yang dilaporkan bukan kemungkinan pekan depan. Banjir sudah masuk ke puskesmas hari ini dan pasien dipindahkan.</x:v>
      </x:c>
      <x:c r="C13" s="2" t="str">
        <x:v>FLOOD</x:v>
      </x:c>
      <x:c r="D13" s="2" t="str">
        <x:v>FLOOD</x:v>
      </x:c>
      <x:c r="E13" s="10" t="n">
        <x:v>0.9959220886230469</x:v>
      </x:c>
      <x:c r="F13" s="2" t="str">
        <x:f>IF(C13=D13,"Sesuai usulan","Berbeda")</x:f>
        <x:v>Sesuai usulan</x:v>
      </x:c>
      <x:c r="G13" s="13" t="str">
        <x:v>not_future</x:v>
      </x:c>
    </x:row>
    <x:row r="14" ht="70" customHeight="1">
      <x:c r="A14" s="2" t="str">
        <x:v>NEW07-FLOOD-09</x:v>
      </x:c>
      <x:c r="B14" s="13" t="str">
        <x:v>Kabar gempa di kampung kami salah. Justru banjir yang sedang terjadi, dengan jalan dan halaman rumah tergenang.</x:v>
      </x:c>
      <x:c r="C14" s="2" t="str">
        <x:v>FLOOD</x:v>
      </x:c>
      <x:c r="D14" s="2" t="str">
        <x:v>NON_EVENT</x:v>
      </x:c>
      <x:c r="E14" s="10" t="n">
        <x:v>0.6946331858634949</x:v>
      </x:c>
      <x:c r="F14" s="2" t="str">
        <x:f>IF(C14=D14,"Sesuai usulan","Berbeda")</x:f>
        <x:v>Berbeda</x:v>
      </x:c>
      <x:c r="G14" s="13" t="str">
        <x:v>other_event_denied</x:v>
      </x:c>
    </x:row>
    <x:row r="15" ht="70" customHeight="1">
      <x:c r="A15" s="2" t="str">
        <x:v>NEW07-FLOOD-10</x:v>
      </x:c>
      <x:c r="B15" s="13" t="str">
        <x:v>Gambar banjir di layar ini bukan cuplikan sinetron; siaran langsung memperlihatkan petugas mengevakuasi warga dari rumah terendam.</x:v>
      </x:c>
      <x:c r="C15" s="2" t="str">
        <x:v>FLOOD</x:v>
      </x:c>
      <x:c r="D15" s="2" t="str">
        <x:v>FLOOD</x:v>
      </x:c>
      <x:c r="E15" s="10" t="n">
        <x:v>0.9259026646614075</x:v>
      </x:c>
      <x:c r="F15" s="2" t="str">
        <x:f>IF(C15=D15,"Sesuai usulan","Berbeda")</x:f>
        <x:v>Sesuai usulan</x:v>
      </x:c>
      <x:c r="G15" s="13" t="str">
        <x:v>fiction_denied</x:v>
      </x:c>
    </x:row>
    <x:row r="16" ht="70" customHeight="1">
      <x:c r="A16" s="2" t="str">
        <x:v>NEW07-EARTHQUAKE-01</x:v>
      </x:c>
      <x:c r="B16" s="13" t="str">
        <x:v>Gempa terasa kuat di Kecamatan Tegalreja siang ini, membuat warga keluar dan menyebabkan tembok toko retak.</x:v>
      </x:c>
      <x:c r="C16" s="2" t="str">
        <x:v>EARTHQUAKE</x:v>
      </x:c>
      <x:c r="D16" s="2" t="str">
        <x:v>EARTHQUAKE</x:v>
      </x:c>
      <x:c r="E16" s="10" t="n">
        <x:v>0.9983879327774048</x:v>
      </x:c>
      <x:c r="F16" s="2" t="str">
        <x:f>IF(C16=D16,"Sesuai usulan","Berbeda")</x:f>
        <x:v>Sesuai usulan</x:v>
      </x:c>
      <x:c r="G16" s="13" t="str">
        <x:v>plain</x:v>
      </x:c>
    </x:row>
    <x:row r="17" ht="70" customHeight="1">
      <x:c r="A17" s="2" t="str">
        <x:v>NEW07-EARTHQUAKE-02</x:v>
      </x:c>
      <x:c r="B17" s="13" t="str">
        <x:v>Guncangan gempa menjatuhkan genting balai desa pukul 04.20; petugas masih memeriksa bangunan.</x:v>
      </x:c>
      <x:c r="C17" s="2" t="str">
        <x:v>EARTHQUAKE</x:v>
      </x:c>
      <x:c r="D17" s="2" t="str">
        <x:v>EARTHQUAKE</x:v>
      </x:c>
      <x:c r="E17" s="10" t="n">
        <x:v>0.9981597065925598</x:v>
      </x:c>
      <x:c r="F17" s="2" t="str">
        <x:f>IF(C17=D17,"Sesuai usulan","Berbeda")</x:f>
        <x:v>Sesuai usulan</x:v>
      </x:c>
      <x:c r="G17" s="13" t="str">
        <x:v>plain</x:v>
      </x:c>
    </x:row>
    <x:row r="18" ht="70" customHeight="1">
      <x:c r="A18" s="2" t="str">
        <x:v>NEW07-EARTHQUAKE-03</x:v>
      </x:c>
      <x:c r="B18" s="13" t="str">
        <x:v>Tidak ditemukan korban cedera setelah gempa mengguncang Desa Manggala dan merusak dinding dua sekolah.</x:v>
      </x:c>
      <x:c r="C18" s="2" t="str">
        <x:v>EARTHQUAKE</x:v>
      </x:c>
      <x:c r="D18" s="2" t="str">
        <x:v>EARTHQUAKE</x:v>
      </x:c>
      <x:c r="E18" s="10" t="n">
        <x:v>0.9978001713752747</x:v>
      </x:c>
      <x:c r="F18" s="2" t="str">
        <x:f>IF(C18=D18,"Sesuai usulan","Berbeda")</x:f>
        <x:v>Sesuai usulan</x:v>
      </x:c>
      <x:c r="G18" s="13" t="str">
        <x:v>victim_negation</x:v>
      </x:c>
    </x:row>
    <x:row r="19" ht="70" customHeight="1">
      <x:c r="A19" s="2" t="str">
        <x:v>NEW07-EARTHQUAKE-04</x:v>
      </x:c>
      <x:c r="B19" s="13" t="str">
        <x:v>Latihan menghadapi banjir mendadak berhenti. Tanah benar-benar berguncang akibat gempa dan peserta keluar dari gedung.</x:v>
      </x:c>
      <x:c r="C19" s="2" t="str">
        <x:v>EARTHQUAKE</x:v>
      </x:c>
      <x:c r="D19" s="2" t="str">
        <x:v>EARTHQUAKE</x:v>
      </x:c>
      <x:c r="E19" s="10" t="n">
        <x:v>0.9031955003738403</x:v>
      </x:c>
      <x:c r="F19" s="2" t="str">
        <x:f>IF(C19=D19,"Sesuai usulan","Berbeda")</x:f>
        <x:v>Sesuai usulan</x:v>
      </x:c>
      <x:c r="G19" s="13" t="str">
        <x:v>exercise_contrast</x:v>
      </x:c>
    </x:row>
    <x:row r="20" ht="70" customHeight="1">
      <x:c r="A20" s="2" t="str">
        <x:v>NEW07-EARTHQUAKE-05</x:v>
      </x:c>
      <x:c r="B20" s="13" t="str">
        <x:v>Pengumuman pertama dianggap gurauan, lalu seismolog dan warga membenarkan gempa baru terjadi serta merusak pagar rumah.</x:v>
      </x:c>
      <x:c r="C20" s="2" t="str">
        <x:v>EARTHQUAKE</x:v>
      </x:c>
      <x:c r="D20" s="2" t="str">
        <x:v>EARTHQUAKE</x:v>
      </x:c>
      <x:c r="E20" s="10" t="n">
        <x:v>0.9967758059501648</x:v>
      </x:c>
      <x:c r="F20" s="2" t="str">
        <x:f>IF(C20=D20,"Sesuai usulan","Berbeda")</x:f>
        <x:v>Sesuai usulan</x:v>
      </x:c>
      <x:c r="G20" s="13" t="str">
        <x:v>rumor_verified</x:v>
      </x:c>
    </x:row>
    <x:row r="21" ht="70" customHeight="1">
      <x:c r="A21" s="2" t="str">
        <x:v>NEW07-EARTHQUAKE-06</x:v>
      </x:c>
      <x:c r="B21" s="13" t="str">
        <x:v>Laporan ini bukan tentang gempa susulan. Gempa awal pukul satu tadi telah merobohkan atap sebuah rumah.</x:v>
      </x:c>
      <x:c r="C21" s="2" t="str">
        <x:v>EARTHQUAKE</x:v>
      </x:c>
      <x:c r="D21" s="2" t="str">
        <x:v>EARTHQUAKE</x:v>
      </x:c>
      <x:c r="E21" s="10" t="n">
        <x:v>0.9954800605773926</x:v>
      </x:c>
      <x:c r="F21" s="2" t="str">
        <x:f>IF(C21=D21,"Sesuai usulan","Berbeda")</x:f>
        <x:v>Sesuai usulan</x:v>
      </x:c>
      <x:c r="G21" s="13" t="str">
        <x:v>local_negation</x:v>
      </x:c>
    </x:row>
    <x:row r="22" ht="70" customHeight="1">
      <x:c r="A22" s="2" t="str">
        <x:v>NEW07-EARTHQUAKE-07</x:v>
      </x:c>
      <x:c r="B22" s="13" t="str">
        <x:v>Lantai bergetar hebat, lampu gantung bergoyang dan dinding retak bersamaan di seluruh kampung. Badan geofisika mengonfirmasi guncangan tektonik.</x:v>
      </x:c>
      <x:c r="C22" s="2" t="str">
        <x:v>EARTHQUAKE</x:v>
      </x:c>
      <x:c r="D22" s="2" t="str">
        <x:v>EARTHQUAKE</x:v>
      </x:c>
      <x:c r="E22" s="10" t="n">
        <x:v>0.9983882904052734</x:v>
      </x:c>
      <x:c r="F22" s="2" t="str">
        <x:f>IF(C22=D22,"Sesuai usulan","Berbeda")</x:f>
        <x:v>Sesuai usulan</x:v>
      </x:c>
      <x:c r="G22" s="13" t="str">
        <x:v>nonkeyword</x:v>
      </x:c>
    </x:row>
    <x:row r="23" ht="70" customHeight="1">
      <x:c r="A23" s="2" t="str">
        <x:v>NEW07-EARTHQUAKE-08</x:v>
      </x:c>
      <x:c r="B23" s="13" t="str">
        <x:v>Petugas tidak sedang meramalkan gempa. Mereka melaporkan gempa yang baru saja mengguncang kota dan memecahkan kaca kantor.</x:v>
      </x:c>
      <x:c r="C23" s="2" t="str">
        <x:v>EARTHQUAKE</x:v>
      </x:c>
      <x:c r="D23" s="2" t="str">
        <x:v>EARTHQUAKE</x:v>
      </x:c>
      <x:c r="E23" s="10" t="n">
        <x:v>0.9546204805374146</x:v>
      </x:c>
      <x:c r="F23" s="2" t="str">
        <x:f>IF(C23=D23,"Sesuai usulan","Berbeda")</x:f>
        <x:v>Sesuai usulan</x:v>
      </x:c>
      <x:c r="G23" s="13" t="str">
        <x:v>not_future</x:v>
      </x:c>
    </x:row>
    <x:row r="24" ht="70" customHeight="1">
      <x:c r="A24" s="2" t="str">
        <x:v>NEW07-EARTHQUAKE-09</x:v>
      </x:c>
      <x:c r="B24" s="13" t="str">
        <x:v>Bunyi keras itu bukan tabrakan di jalan. Gempa sedang mengguncang gedung kami hingga plafonnya jatuh.</x:v>
      </x:c>
      <x:c r="C24" s="2" t="str">
        <x:v>EARTHQUAKE</x:v>
      </x:c>
      <x:c r="D24" s="2" t="str">
        <x:v>EARTHQUAKE</x:v>
      </x:c>
      <x:c r="E24" s="10" t="n">
        <x:v>0.9957828521728516</x:v>
      </x:c>
      <x:c r="F24" s="2" t="str">
        <x:f>IF(C24=D24,"Sesuai usulan","Berbeda")</x:f>
        <x:v>Sesuai usulan</x:v>
      </x:c>
      <x:c r="G24" s="13" t="str">
        <x:v>other_event_denied</x:v>
      </x:c>
    </x:row>
    <x:row r="25" ht="70" customHeight="1">
      <x:c r="A25" s="2" t="str">
        <x:v>NEW07-EARTHQUAKE-10</x:v>
      </x:c>
      <x:c r="B25" s="13" t="str">
        <x:v>Kami tidak sedang menonton efek film. Gempa sungguhan menggoyang studio dan seluruh kru berlari ke halaman.</x:v>
      </x:c>
      <x:c r="C25" s="2" t="str">
        <x:v>EARTHQUAKE</x:v>
      </x:c>
      <x:c r="D25" s="2" t="str">
        <x:v>EARTHQUAKE</x:v>
      </x:c>
      <x:c r="E25" s="10" t="n">
        <x:v>0.9979023933410645</x:v>
      </x:c>
      <x:c r="F25" s="2" t="str">
        <x:f>IF(C25=D25,"Sesuai usulan","Berbeda")</x:f>
        <x:v>Sesuai usulan</x:v>
      </x:c>
      <x:c r="G25" s="13" t="str">
        <x:v>fiction_denied</x:v>
      </x:c>
    </x:row>
    <x:row r="26" ht="70" customHeight="1">
      <x:c r="A26" s="2" t="str">
        <x:v>NEW07-FIRE-01</x:v>
      </x:c>
      <x:c r="B26" s="13" t="str">
        <x:v>Warung di samping bengkel Jalan Pulasan kebakaran pagi ini; kobaran api merambat ke dua atap di sebelahnya.</x:v>
      </x:c>
      <x:c r="C26" s="2" t="str">
        <x:v>FIRE</x:v>
      </x:c>
      <x:c r="D26" s="2" t="str">
        <x:v>FIRE</x:v>
      </x:c>
      <x:c r="E26" s="10" t="n">
        <x:v>0.9990764856338501</x:v>
      </x:c>
      <x:c r="F26" s="2" t="str">
        <x:f>IF(C26=D26,"Sesuai usulan","Berbeda")</x:f>
        <x:v>Sesuai usulan</x:v>
      </x:c>
      <x:c r="G26" s="13" t="str">
        <x:v>plain</x:v>
      </x:c>
    </x:row>
    <x:row r="27" ht="70" customHeight="1">
      <x:c r="A27" s="2" t="str">
        <x:v>NEW07-FIRE-02</x:v>
      </x:c>
      <x:c r="B27" s="13" t="str">
        <x:v>Api membakar ruang penyimpanan pasar sejak tadi malam dan tiga mobil pemadam masih berusaha memadamkannya.</x:v>
      </x:c>
      <x:c r="C27" s="2" t="str">
        <x:v>FIRE</x:v>
      </x:c>
      <x:c r="D27" s="2" t="str">
        <x:v>FIRE</x:v>
      </x:c>
      <x:c r="E27" s="10" t="n">
        <x:v>0.9983763694763184</x:v>
      </x:c>
      <x:c r="F27" s="2" t="str">
        <x:f>IF(C27=D27,"Sesuai usulan","Berbeda")</x:f>
        <x:v>Sesuai usulan</x:v>
      </x:c>
      <x:c r="G27" s="13" t="str">
        <x:v>plain</x:v>
      </x:c>
    </x:row>
    <x:row r="28" ht="70" customHeight="1">
      <x:c r="A28" s="2" t="str">
        <x:v>NEW07-FIRE-03</x:v>
      </x:c>
      <x:c r="B28" s="13" t="str">
        <x:v>Kebakaran menghanguskan kandang di Desa Sidamukti, tetapi seluruh pekerja selamat dan tidak ada korban luka.</x:v>
      </x:c>
      <x:c r="C28" s="2" t="str">
        <x:v>FIRE</x:v>
      </x:c>
      <x:c r="D28" s="2" t="str">
        <x:v>FIRE</x:v>
      </x:c>
      <x:c r="E28" s="10" t="n">
        <x:v>0.998881995677948</x:v>
      </x:c>
      <x:c r="F28" s="2" t="str">
        <x:f>IF(C28=D28,"Sesuai usulan","Berbeda")</x:f>
        <x:v>Sesuai usulan</x:v>
      </x:c>
      <x:c r="G28" s="13" t="str">
        <x:v>victim_negation</x:v>
      </x:c>
    </x:row>
    <x:row r="29" ht="70" customHeight="1">
      <x:c r="A29" s="2" t="str">
        <x:v>NEW07-FIRE-04</x:v>
      </x:c>
      <x:c r="B29" s="13" t="str">
        <x:v>Saat warga mengikuti simulasi evakuasi banjir, tabung di kantin bocor dan kebakaran nyata terjadi di dapur.</x:v>
      </x:c>
      <x:c r="C29" s="2" t="str">
        <x:v>FIRE</x:v>
      </x:c>
      <x:c r="D29" s="2" t="str">
        <x:v>FIRE</x:v>
      </x:c>
      <x:c r="E29" s="10" t="n">
        <x:v>0.9950636029243469</x:v>
      </x:c>
      <x:c r="F29" s="2" t="str">
        <x:f>IF(C29=D29,"Sesuai usulan","Berbeda")</x:f>
        <x:v>Sesuai usulan</x:v>
      </x:c>
      <x:c r="G29" s="13" t="str">
        <x:v>exercise_contrast</x:v>
      </x:c>
    </x:row>
    <x:row r="30" ht="70" customHeight="1">
      <x:c r="A30" s="2" t="str">
        <x:v>NEW07-FIRE-05</x:v>
      </x:c>
      <x:c r="B30" s="13" t="str">
        <x:v>Pemilik semula menyangka pesan itu lelucon. Setelah mengecek, ia memastikan tokonya benar-benar terbakar dan meminta pemadam.</x:v>
      </x:c>
      <x:c r="C30" s="2" t="str">
        <x:v>FIRE</x:v>
      </x:c>
      <x:c r="D30" s="2" t="str">
        <x:v>FIRE</x:v>
      </x:c>
      <x:c r="E30" s="10" t="n">
        <x:v>0.9560047388076782</x:v>
      </x:c>
      <x:c r="F30" s="2" t="str">
        <x:f>IF(C30=D30,"Sesuai usulan","Berbeda")</x:f>
        <x:v>Sesuai usulan</x:v>
      </x:c>
      <x:c r="G30" s="13" t="str">
        <x:v>rumor_verified</x:v>
      </x:c>
    </x:row>
    <x:row r="31" ht="70" customHeight="1">
      <x:c r="A31" s="2" t="str">
        <x:v>NEW07-FIRE-06</x:v>
      </x:c>
      <x:c r="B31" s="13" t="str">
        <x:v>Bukan gudang kayu yang terbakar. Kebakaran terjadi di rumah sebelahnya dan petugas sedang menyemprot ruang tamu.</x:v>
      </x:c>
      <x:c r="C31" s="2" t="str">
        <x:v>FIRE</x:v>
      </x:c>
      <x:c r="D31" s="2" t="str">
        <x:v>FIRE</x:v>
      </x:c>
      <x:c r="E31" s="10" t="n">
        <x:v>0.9988114833831787</x:v>
      </x:c>
      <x:c r="F31" s="2" t="str">
        <x:f>IF(C31=D31,"Sesuai usulan","Berbeda")</x:f>
        <x:v>Sesuai usulan</x:v>
      </x:c>
      <x:c r="G31" s="13" t="str">
        <x:v>local_negation</x:v>
      </x:c>
    </x:row>
    <x:row r="32" ht="70" customHeight="1">
      <x:c r="A32" s="2" t="str">
        <x:v>NEW07-FIRE-07</x:v>
      </x:c>
      <x:c r="B32" s="13" t="str">
        <x:v>Asap pekat keluar dari rumah kosong, disusul nyala api yang melahap kusen dan atap; warga memanggil pemadam.</x:v>
      </x:c>
      <x:c r="C32" s="2" t="str">
        <x:v>FIRE</x:v>
      </x:c>
      <x:c r="D32" s="2" t="str">
        <x:v>FIRE</x:v>
      </x:c>
      <x:c r="E32" s="10" t="n">
        <x:v>0.9969162940979004</x:v>
      </x:c>
      <x:c r="F32" s="2" t="str">
        <x:f>IF(C32=D32,"Sesuai usulan","Berbeda")</x:f>
        <x:v>Sesuai usulan</x:v>
      </x:c>
      <x:c r="G32" s="13" t="str">
        <x:v>nonkeyword</x:v>
      </x:c>
    </x:row>
    <x:row r="33" ht="70" customHeight="1">
      <x:c r="A33" s="2" t="str">
        <x:v>NEW07-FIRE-08</x:v>
      </x:c>
      <x:c r="B33" s="13" t="str">
        <x:v>Risiko yang diperingatkan kemarin sudah menjadi peristiwa: api kini membakar bukit di belakang kampung dan petugas memadamkannya.</x:v>
      </x:c>
      <x:c r="C33" s="2" t="str">
        <x:v>FIRE</x:v>
      </x:c>
      <x:c r="D33" s="2" t="str">
        <x:v>FIRE</x:v>
      </x:c>
      <x:c r="E33" s="10" t="n">
        <x:v>0.9961968660354614</x:v>
      </x:c>
      <x:c r="F33" s="2" t="str">
        <x:f>IF(C33=D33,"Sesuai usulan","Berbeda")</x:f>
        <x:v>Sesuai usulan</x:v>
      </x:c>
      <x:c r="G33" s="13" t="str">
        <x:v>not_future</x:v>
      </x:c>
    </x:row>
    <x:row r="34" ht="70" customHeight="1">
      <x:c r="A34" s="2" t="str">
        <x:v>NEW07-FIRE-09</x:v>
      </x:c>
      <x:c r="B34" s="13" t="str">
        <x:v>Tidak ada banjir di pusat perbelanjaan itu. Yang terjadi kebakaran di lantai dua, dengan asap tebal dan pengunjung dievakuasi.</x:v>
      </x:c>
      <x:c r="C34" s="2" t="str">
        <x:v>FIRE</x:v>
      </x:c>
      <x:c r="D34" s="2" t="str">
        <x:v>FIRE</x:v>
      </x:c>
      <x:c r="E34" s="10" t="n">
        <x:v>0.991939127445221</x:v>
      </x:c>
      <x:c r="F34" s="2" t="str">
        <x:f>IF(C34=D34,"Sesuai usulan","Berbeda")</x:f>
        <x:v>Sesuai usulan</x:v>
      </x:c>
      <x:c r="G34" s="13" t="str">
        <x:v>other_event_denied</x:v>
      </x:c>
    </x:row>
    <x:row r="35" ht="70" customHeight="1">
      <x:c r="A35" s="2" t="str">
        <x:v>NEW07-FIRE-10</x:v>
      </x:c>
      <x:c r="B35" s="13" t="str">
        <x:v>Video ini tidak memakai api buatan. Kebakaran di garasi benar terjadi dan mobil di dalamnya hangus.</x:v>
      </x:c>
      <x:c r="C35" s="2" t="str">
        <x:v>FIRE</x:v>
      </x:c>
      <x:c r="D35" s="2" t="str">
        <x:v>FIRE</x:v>
      </x:c>
      <x:c r="E35" s="10" t="n">
        <x:v>0.996138870716095</x:v>
      </x:c>
      <x:c r="F35" s="2" t="str">
        <x:f>IF(C35=D35,"Sesuai usulan","Berbeda")</x:f>
        <x:v>Sesuai usulan</x:v>
      </x:c>
      <x:c r="G35" s="13" t="str">
        <x:v>fiction_denied</x:v>
      </x:c>
    </x:row>
    <x:row r="36" ht="70" customHeight="1">
      <x:c r="A36" s="2" t="str">
        <x:v>NEW07-ACCIDENT-01</x:v>
      </x:c>
      <x:c r="B36" s="13" t="str">
        <x:v>Dua sepeda motor bertabrakan di jembatan Jalan Selada tadi sore; seorang pengendara dibawa ke rumah sakit.</x:v>
      </x:c>
      <x:c r="C36" s="2" t="str">
        <x:v>ACCIDENT</x:v>
      </x:c>
      <x:c r="D36" s="2" t="str">
        <x:v>ACCIDENT</x:v>
      </x:c>
      <x:c r="E36" s="10" t="n">
        <x:v>0.9988677501678467</x:v>
      </x:c>
      <x:c r="F36" s="2" t="str">
        <x:f>IF(C36=D36,"Sesuai usulan","Berbeda")</x:f>
        <x:v>Sesuai usulan</x:v>
      </x:c>
      <x:c r="G36" s="13" t="str">
        <x:v>plain</x:v>
      </x:c>
    </x:row>
    <x:row r="37" ht="70" customHeight="1">
      <x:c r="A37" s="2" t="str">
        <x:v>NEW07-ACCIDENT-02</x:v>
      </x:c>
      <x:c r="B37" s="13" t="str">
        <x:v>Mobil bak terbuka menabrak tiang dekat terminal pagi ini sehingga pengemudinya terjepit di kabin.</x:v>
      </x:c>
      <x:c r="C37" s="2" t="str">
        <x:v>ACCIDENT</x:v>
      </x:c>
      <x:c r="D37" s="2" t="str">
        <x:v>ACCIDENT</x:v>
      </x:c>
      <x:c r="E37" s="10" t="n">
        <x:v>0.9989238381385803</x:v>
      </x:c>
      <x:c r="F37" s="2" t="str">
        <x:f>IF(C37=D37,"Sesuai usulan","Berbeda")</x:f>
        <x:v>Sesuai usulan</x:v>
      </x:c>
      <x:c r="G37" s="13" t="str">
        <x:v>plain</x:v>
      </x:c>
    </x:row>
    <x:row r="38" ht="70" customHeight="1">
      <x:c r="A38" s="2" t="str">
        <x:v>NEW07-ACCIDENT-03</x:v>
      </x:c>
      <x:c r="B38" s="13" t="str">
        <x:v>Tidak ada korban jiwa dalam kecelakaan bus dan truk di Jalan Kecapi, meskipun bagian depan bus rusak berat.</x:v>
      </x:c>
      <x:c r="C38" s="2" t="str">
        <x:v>ACCIDENT</x:v>
      </x:c>
      <x:c r="D38" s="2" t="str">
        <x:v>ACCIDENT</x:v>
      </x:c>
      <x:c r="E38" s="10" t="n">
        <x:v>0.9806070327758789</x:v>
      </x:c>
      <x:c r="F38" s="2" t="str">
        <x:f>IF(C38=D38,"Sesuai usulan","Berbeda")</x:f>
        <x:v>Sesuai usulan</x:v>
      </x:c>
      <x:c r="G38" s="13" t="str">
        <x:v>victim_negation</x:v>
      </x:c>
    </x:row>
    <x:row r="39" ht="70" customHeight="1">
      <x:c r="A39" s="2" t="str">
        <x:v>NEW07-ACCIDENT-04</x:v>
      </x:c>
      <x:c r="B39" s="13" t="str">
        <x:v>Praktik penyeberangan sekolah dihentikan setelah motor sungguhan menabrak pagar dan pengendaranya terluka.</x:v>
      </x:c>
      <x:c r="C39" s="2" t="str">
        <x:v>ACCIDENT</x:v>
      </x:c>
      <x:c r="D39" s="2" t="str">
        <x:v>ACCIDENT</x:v>
      </x:c>
      <x:c r="E39" s="10" t="n">
        <x:v>0.9987229704856873</x:v>
      </x:c>
      <x:c r="F39" s="2" t="str">
        <x:f>IF(C39=D39,"Sesuai usulan","Berbeda")</x:f>
        <x:v>Sesuai usulan</x:v>
      </x:c>
      <x:c r="G39" s="13" t="str">
        <x:v>exercise_contrast</x:v>
      </x:c>
    </x:row>
    <x:row r="40" ht="70" customHeight="1">
      <x:c r="A40" s="2" t="str">
        <x:v>NEW07-ACCIDENT-05</x:v>
      </x:c>
      <x:c r="B40" s="13" t="str">
        <x:v>Laporan tabrakan sempat dianggap bohong. Polisi yang tiba kemudian menemukan dua kendaraan rusak dan menolong penumpang cedera.</x:v>
      </x:c>
      <x:c r="C40" s="2" t="str">
        <x:v>ACCIDENT</x:v>
      </x:c>
      <x:c r="D40" s="2" t="str">
        <x:v>ACCIDENT</x:v>
      </x:c>
      <x:c r="E40" s="10" t="n">
        <x:v>0.9545019865036011</x:v>
      </x:c>
      <x:c r="F40" s="2" t="str">
        <x:f>IF(C40=D40,"Sesuai usulan","Berbeda")</x:f>
        <x:v>Sesuai usulan</x:v>
      </x:c>
      <x:c r="G40" s="13" t="str">
        <x:v>rumor_verified</x:v>
      </x:c>
    </x:row>
    <x:row r="41" ht="70" customHeight="1">
      <x:c r="A41" s="2" t="str">
        <x:v>NEW07-ACCIDENT-06</x:v>
      </x:c>
      <x:c r="B41" s="13" t="str">
        <x:v>Sopir membantah menabrak pejalan kaki, tetapi mengakui mobilnya menabrak pohon dan dua penumpangnya terluka.</x:v>
      </x:c>
      <x:c r="C41" s="2" t="str">
        <x:v>ACCIDENT</x:v>
      </x:c>
      <x:c r="D41" s="2" t="str">
        <x:v>ACCIDENT</x:v>
      </x:c>
      <x:c r="E41" s="10" t="n">
        <x:v>0.9984947443008423</x:v>
      </x:c>
      <x:c r="F41" s="2" t="str">
        <x:f>IF(C41=D41,"Sesuai usulan","Berbeda")</x:f>
        <x:v>Sesuai usulan</x:v>
      </x:c>
      <x:c r="G41" s="13" t="str">
        <x:v>local_negation</x:v>
      </x:c>
    </x:row>
    <x:row r="42" ht="70" customHeight="1">
      <x:c r="A42" s="2" t="str">
        <x:v>NEW07-ACCIDENT-07</x:v>
      </x:c>
      <x:c r="B42" s="13" t="str">
        <x:v>Truk kehilangan kendali lalu menghantam gerobak di persimpangan; pedagang terjatuh dan ambulans menjemputnya.</x:v>
      </x:c>
      <x:c r="C42" s="2" t="str">
        <x:v>ACCIDENT</x:v>
      </x:c>
      <x:c r="D42" s="2" t="str">
        <x:v>ACCIDENT</x:v>
      </x:c>
      <x:c r="E42" s="10" t="n">
        <x:v>0.9926859140396118</x:v>
      </x:c>
      <x:c r="F42" s="2" t="str">
        <x:f>IF(C42=D42,"Sesuai usulan","Berbeda")</x:f>
        <x:v>Sesuai usulan</x:v>
      </x:c>
      <x:c r="G42" s="13" t="str">
        <x:v>nonkeyword</x:v>
      </x:c>
    </x:row>
    <x:row r="43" ht="70" customHeight="1">
      <x:c r="A43" s="2" t="str">
        <x:v>NEW07-ACCIDENT-08</x:v>
      </x:c>
      <x:c r="B43" s="13" t="str">
        <x:v>Ini bukan contoh dalam buku mengemudi. Sebuah angkot baru saja terguling di tikungan dan penumpangnya meminta pertolongan.</x:v>
      </x:c>
      <x:c r="C43" s="2" t="str">
        <x:v>ACCIDENT</x:v>
      </x:c>
      <x:c r="D43" s="2" t="str">
        <x:v>ACCIDENT</x:v>
      </x:c>
      <x:c r="E43" s="10" t="n">
        <x:v>0.9973148703575134</x:v>
      </x:c>
      <x:c r="F43" s="2" t="str">
        <x:f>IF(C43=D43,"Sesuai usulan","Berbeda")</x:f>
        <x:v>Sesuai usulan</x:v>
      </x:c>
      <x:c r="G43" s="13" t="str">
        <x:v>not_future</x:v>
      </x:c>
    </x:row>
    <x:row r="44" ht="70" customHeight="1">
      <x:c r="A44" s="2" t="str">
        <x:v>NEW07-ACCIDENT-09</x:v>
      </x:c>
      <x:c r="B44" s="13" t="str">
        <x:v>Tidak ada kebakaran di ruas tol itu. Kecelakaan baru terjadi ketika sedan menabrak belakang bus.</x:v>
      </x:c>
      <x:c r="C44" s="2" t="str">
        <x:v>ACCIDENT</x:v>
      </x:c>
      <x:c r="D44" s="2" t="str">
        <x:v>ACCIDENT</x:v>
      </x:c>
      <x:c r="E44" s="10" t="n">
        <x:v>0.9871359467506409</x:v>
      </x:c>
      <x:c r="F44" s="2" t="str">
        <x:f>IF(C44=D44,"Sesuai usulan","Berbeda")</x:f>
        <x:v>Sesuai usulan</x:v>
      </x:c>
      <x:c r="G44" s="13" t="str">
        <x:v>other_event_denied</x:v>
      </x:c>
    </x:row>
    <x:row r="45" ht="70" customHeight="1">
      <x:c r="A45" s="2" t="str">
        <x:v>NEW07-ACCIDENT-10</x:v>
      </x:c>
      <x:c r="B45" s="13" t="str">
        <x:v>Adegan di depan lokasi syuting itu ternyata bukan bagian film: motor menabrak pesepeda dan kru memanggil ambulans.</x:v>
      </x:c>
      <x:c r="C45" s="2" t="str">
        <x:v>ACCIDENT</x:v>
      </x:c>
      <x:c r="D45" s="2" t="str">
        <x:v>ACCIDENT</x:v>
      </x:c>
      <x:c r="E45" s="10" t="n">
        <x:v>0.849126935005188</x:v>
      </x:c>
      <x:c r="F45" s="2" t="str">
        <x:f>IF(C45=D45,"Sesuai usulan","Berbeda")</x:f>
        <x:v>Sesuai usulan</x:v>
      </x:c>
      <x:c r="G45" s="13" t="str">
        <x:v>fiction_denied</x:v>
      </x:c>
    </x:row>
    <x:row r="46" ht="70" customHeight="1">
      <x:c r="A46" s="2" t="str">
        <x:v>NEW07-NON_EVENT-01</x:v>
      </x:c>
      <x:c r="B46" s="13" t="str">
        <x:v>Petugas memastikan informasi rumah terbakar di Gang Nanas adalah kabar palsu. Pemeriksaan tidak menemukan api maupun bangunan terbakar.</x:v>
      </x:c>
      <x:c r="C46" s="2" t="str">
        <x:v>NON_EVENT</x:v>
      </x:c>
      <x:c r="D46" s="2" t="str">
        <x:v>NON_EVENT</x:v>
      </x:c>
      <x:c r="E46" s="10" t="n">
        <x:v>0.9916022419929504</x:v>
      </x:c>
      <x:c r="F46" s="2" t="str">
        <x:f>IF(C46=D46,"Sesuai usulan","Berbeda")</x:f>
        <x:v>Sesuai usulan</x:v>
      </x:c>
      <x:c r="G46" s="13" t="str">
        <x:v>denial</x:v>
      </x:c>
    </x:row>
    <x:row r="47" ht="70" customHeight="1">
      <x:c r="A47" s="2" t="str">
        <x:v>NEW07-NON_EVENT-02</x:v>
      </x:c>
      <x:c r="B47" s="13" t="str">
        <x:v>Rekaman yang disebut tabrakan di terminal ternyata kendaraan sedang diparkir. Polisi menyatakan kecelakaan itu tidak pernah terjadi.</x:v>
      </x:c>
      <x:c r="C47" s="2" t="str">
        <x:v>NON_EVENT</x:v>
      </x:c>
      <x:c r="D47" s="2" t="str">
        <x:v>NON_EVENT</x:v>
      </x:c>
      <x:c r="E47" s="10" t="n">
        <x:v>0.8926708102226257</x:v>
      </x:c>
      <x:c r="F47" s="2" t="str">
        <x:f>IF(C47=D47,"Sesuai usulan","Berbeda")</x:f>
        <x:v>Sesuai usulan</x:v>
      </x:c>
      <x:c r="G47" s="13" t="str">
        <x:v>denial</x:v>
      </x:c>
    </x:row>
    <x:row r="48" ht="70" customHeight="1">
      <x:c r="A48" s="2" t="str">
        <x:v>NEW07-NON_EVENT-03</x:v>
      </x:c>
      <x:c r="B48" s="13" t="str">
        <x:v>Dalam kelas geografi, murid membaca kalimat tentang gempa merobohkan tembok sebagai contoh. Guru tidak melaporkan kejadian nyata.</x:v>
      </x:c>
      <x:c r="C48" s="2" t="str">
        <x:v>NON_EVENT</x:v>
      </x:c>
      <x:c r="D48" s="2" t="str">
        <x:v>NON_EVENT</x:v>
      </x:c>
      <x:c r="E48" s="10" t="n">
        <x:v>0.9961161613464355</x:v>
      </x:c>
      <x:c r="F48" s="2" t="str">
        <x:f>IF(C48=D48,"Sesuai usulan","Berbeda")</x:f>
        <x:v>Sesuai usulan</x:v>
      </x:c>
      <x:c r="G48" s="13" t="str">
        <x:v>education</x:v>
      </x:c>
    </x:row>
    <x:row r="49" ht="70" customHeight="1">
      <x:c r="A49" s="2" t="str">
        <x:v>NEW07-NON_EVENT-04</x:v>
      </x:c>
      <x:c r="B49" s="13" t="str">
        <x:v>Peringatan cuaca menyebut sungai berpotensi meluap akhir pekan nanti. Hingga pengumuman ini dibuat, belum ada banjir yang terjadi.</x:v>
      </x:c>
      <x:c r="C49" s="2" t="str">
        <x:v>NON_EVENT</x:v>
      </x:c>
      <x:c r="D49" s="2" t="str">
        <x:v>NON_EVENT</x:v>
      </x:c>
      <x:c r="E49" s="10" t="n">
        <x:v>0.9962054491043091</x:v>
      </x:c>
      <x:c r="F49" s="2" t="str">
        <x:f>IF(C49=D49,"Sesuai usulan","Berbeda")</x:f>
        <x:v>Sesuai usulan</x:v>
      </x:c>
      <x:c r="G49" s="13" t="str">
        <x:v>forecast</x:v>
      </x:c>
    </x:row>
    <x:row r="50" ht="70" customHeight="1">
      <x:c r="A50" s="2" t="str">
        <x:v>NEW07-NON_EVENT-05</x:v>
      </x:c>
      <x:c r="B50" s="13" t="str">
        <x:v>Novel yang sedang dibahas berkisah tentang kota terbakar dan penduduk mengungsi. Seluruh peristiwa dan kotanya rekaan penulis.</x:v>
      </x:c>
      <x:c r="C50" s="2" t="str">
        <x:v>NON_EVENT</x:v>
      </x:c>
      <x:c r="D50" s="2" t="str">
        <x:v>NON_EVENT</x:v>
      </x:c>
      <x:c r="E50" s="10" t="n">
        <x:v>0.9916452765464783</x:v>
      </x:c>
      <x:c r="F50" s="2" t="str">
        <x:f>IF(C50=D50,"Sesuai usulan","Berbeda")</x:f>
        <x:v>Sesuai usulan</x:v>
      </x:c>
      <x:c r="G50" s="13" t="str">
        <x:v>fiction</x:v>
      </x:c>
    </x:row>
    <x:row r="51" ht="70" customHeight="1">
      <x:c r="A51" s="2" t="str">
        <x:v>NEW07-NON_EVENT-06</x:v>
      </x:c>
      <x:c r="B51" s="13" t="str">
        <x:v>Suara benturan dalam latihan kecelakaan berasal dari pengeras suara. Mobil rusak dan korban merupakan properti serta pemeran simulasi.</x:v>
      </x:c>
      <x:c r="C51" s="2" t="str">
        <x:v>NON_EVENT</x:v>
      </x:c>
      <x:c r="D51" s="2" t="str">
        <x:v>ACCIDENT</x:v>
      </x:c>
      <x:c r="E51" s="10" t="n">
        <x:v>0.9035694003105164</x:v>
      </x:c>
      <x:c r="F51" s="2" t="str">
        <x:f>IF(C51=D51,"Sesuai usulan","Berbeda")</x:f>
        <x:v>Berbeda</x:v>
      </x:c>
      <x:c r="G51" s="13" t="str">
        <x:v>simulation</x:v>
      </x:c>
    </x:row>
    <x:row r="52" ht="70" customHeight="1">
      <x:c r="A52" s="2" t="str">
        <x:v>NEW07-NON_EVENT-07</x:v>
      </x:c>
      <x:c r="B52" s="13" t="str">
        <x:v>Jika gempa terjadi saat rapat, ke mana peserta harus berkumpul? Panitia hanya meminta usulan prosedur darurat.</x:v>
      </x:c>
      <x:c r="C52" s="2" t="str">
        <x:v>NON_EVENT</x:v>
      </x:c>
      <x:c r="D52" s="2" t="str">
        <x:v>NON_EVENT</x:v>
      </x:c>
      <x:c r="E52" s="10" t="n">
        <x:v>0.9949613809585571</x:v>
      </x:c>
      <x:c r="F52" s="2" t="str">
        <x:f>IF(C52=D52,"Sesuai usulan","Berbeda")</x:f>
        <x:v>Sesuai usulan</x:v>
      </x:c>
      <x:c r="G52" s="13" t="str">
        <x:v>hypothetical</x:v>
      </x:c>
    </x:row>
    <x:row r="53" ht="70" customHeight="1">
      <x:c r="A53" s="2" t="str">
        <x:v>NEW07-NON_EVENT-08</x:v>
      </x:c>
      <x:c r="B53" s="13" t="str">
        <x:v>Tabel tahunan membandingkan angka kebakaran selama sepuluh tahun. Tidak ada laporan kejadian kebakaran tertentu dalam pesan ini.</x:v>
      </x:c>
      <x:c r="C53" s="2" t="str">
        <x:v>NON_EVENT</x:v>
      </x:c>
      <x:c r="D53" s="2" t="str">
        <x:v>NON_EVENT</x:v>
      </x:c>
      <x:c r="E53" s="10" t="n">
        <x:v>0.995610773563385</x:v>
      </x:c>
      <x:c r="F53" s="2" t="str">
        <x:f>IF(C53=D53,"Sesuai usulan","Berbeda")</x:f>
        <x:v>Sesuai usulan</x:v>
      </x:c>
      <x:c r="G53" s="13" t="str">
        <x:v>aggregate</x:v>
      </x:c>
    </x:row>
    <x:row r="54" ht="70" customHeight="1">
      <x:c r="A54" s="2" t="str">
        <x:v>NEW07-NON_EVENT-09</x:v>
      </x:c>
      <x:c r="B54" s="13" t="str">
        <x:v>Toko daring itu kebanjiran pesanan setelah promosi; istilah itu menggambarkan banyaknya pembeli, tanpa adanya genangan air.</x:v>
      </x:c>
      <x:c r="C54" s="2" t="str">
        <x:v>NON_EVENT</x:v>
      </x:c>
      <x:c r="D54" s="2" t="str">
        <x:v>NON_EVENT</x:v>
      </x:c>
      <x:c r="E54" s="10" t="n">
        <x:v>0.9951639175415039</x:v>
      </x:c>
      <x:c r="F54" s="2" t="str">
        <x:f>IF(C54=D54,"Sesuai usulan","Berbeda")</x:f>
        <x:v>Sesuai usulan</x:v>
      </x:c>
      <x:c r="G54" s="13" t="str">
        <x:v>metaphor</x:v>
      </x:c>
    </x:row>
    <x:row r="55" ht="70" customHeight="1">
      <x:c r="A55" s="2" t="str">
        <x:v>NEW07-NON_EVENT-10</x:v>
      </x:c>
      <x:c r="B55" s="13" t="str">
        <x:v>Undangan bulan depan mencantumkan skenario banjir merendam pasar. Acara belum berlangsung dan skenario tersebut bukan laporan peristiwa nyata.</x:v>
      </x:c>
      <x:c r="C55" s="2" t="str">
        <x:v>NON_EVENT</x:v>
      </x:c>
      <x:c r="D55" s="2" t="str">
        <x:v>NON_EVENT</x:v>
      </x:c>
      <x:c r="E55" s="10" t="n">
        <x:v>0.9977806210517883</x:v>
      </x:c>
      <x:c r="F55" s="2" t="str">
        <x:f>IF(C55=D55,"Sesuai usulan","Berbeda")</x:f>
        <x:v>Sesuai usulan</x:v>
      </x:c>
      <x:c r="G55" s="13" t="str">
        <x:v>planning</x:v>
      </x:c>
    </x:row>
  </x:sheetData>
  <x:conditionalFormatting sqref="F6:F55">
    <x:cfRule type="containsText" dxfId="4" priority="1" operator="containsText" text="Berbeda"/>
  </x:conditionalFormatting>
  <x:pageMargins left="0.7" right="0.7" top="0.75" bottom="0.75" header="0.3" footer="0.3"/>
  <x:tableParts count="1">
    <x:tablePart xmlns:r="http://schemas.openxmlformats.org/officeDocument/2006/relationships" r:id="Rd709028589b74410"/>
  </x:tableParts>
</x:worksheet>
</file>