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83dbda110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sil" sheetId="1" r:id="R1a2a77858d0f4074"/>
    <x:sheet xmlns:r="http://schemas.openxmlformats.org/officeDocument/2006/relationships" name="Narasi" sheetId="2" r:id="Re8c28781edbd4d17"/>
    <x:sheet xmlns:r="http://schemas.openxmlformats.org/officeDocument/2006/relationships" name="Kesalahan" sheetId="3" r:id="Rb6dae8b7675d4b7a"/>
    <x:sheet xmlns:r="http://schemas.openxmlformats.org/officeDocument/2006/relationships" name="Notebook" sheetId="4" r:id="Rf01ae52e3a88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A2424"/>
      </x:font>
      <x:fill>
        <x:patternFill patternType="solid">
          <x:bgColor rgb="FFFCE6E6"/>
        </x:patternFill>
      </x:fill>
    </x:dxf>
    <x:dxf>
      <x:font>
        <x:b/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1e9509ff9406d" /><Relationship Type="http://schemas.openxmlformats.org/officeDocument/2006/relationships/theme" Target="/xl/theme/theme1.xml" Id="R5dc637b9d21a4f94" /><Relationship Type="http://schemas.openxmlformats.org/officeDocument/2006/relationships/sharedStrings" Target="/xl/sharedStrings.xml" Id="Ra12c82f330a54848" /><Relationship Type="http://schemas.openxmlformats.org/officeDocument/2006/relationships/worksheet" Target="/xl/worksheets/sheet1.xml" Id="R1a2a77858d0f4074" /><Relationship Type="http://schemas.openxmlformats.org/officeDocument/2006/relationships/worksheet" Target="/xl/worksheets/sheet2.xml" Id="Re8c28781edbd4d17" /><Relationship Type="http://schemas.openxmlformats.org/officeDocument/2006/relationships/worksheet" Target="/xl/worksheets/sheet3.xml" Id="Rb6dae8b7675d4b7a" /><Relationship Type="http://schemas.openxmlformats.org/officeDocument/2006/relationships/worksheet" Target="/xl/worksheets/sheet4.xml" Id="Rf01ae52e3a884964" /></Relationships>
</file>

<file path=xl/tables/table1.xml><?xml version="1.0" encoding="utf-8"?>
<x:table xmlns:x="http://schemas.openxmlformats.org/spreadsheetml/2006/main" id="1" name="ObservedNarrativesV082" displayName="ObservedNarrativesV082" ref="A5:I55" headerRowCount="1" totalsRowCount="0" totalsRowShown="0">
  <x:tableColumns count="9">
    <x:tableColumn id="1" name="ID"/>
    <x:tableColumn id="2" name="Narasi"/>
    <x:tableColumn id="3" name="Acuan kelas"/>
    <x:tableColumn id="4" name="Prediksi SENA"/>
    <x:tableColumn id="5" name="Confidence"/>
    <x:tableColumn id="6" name="Flag &lt;0,95"/>
    <x:tableColumn id="7" name="Reviewer"/>
    <x:tableColumn id="8" name="Keluarga"/>
    <x:tableColumn id="9" name="Catatan 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fferencesV082" displayName="FieldDifferencesV082" ref="A5:F51" headerRowCount="1" totalsRowCount="0" totalsRowShown="0">
  <x:tableColumns count="6">
    <x:tableColumn id="1" name="ID"/>
    <x:tableColumn id="2" name="Field"/>
    <x:tableColumn id="3" name="Acuan manusia"/>
    <x:tableColumn id="4" name="Sebelum"/>
    <x:tableColumn id="5" name="Sesudah"/>
    <x:tableColumn id="6" name="Hasil perbaik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kenDifferencesV082" displayName="TokenDifferencesV082" ref="A55:F145" headerRowCount="1" totalsRowCount="0" totalsRowShown="0">
  <x:tableColumns count="6">
    <x:tableColumn id="1" name="ID"/>
    <x:tableColumn id="2" name="Posisi token"/>
    <x:tableColumn id="3" name="Token"/>
    <x:tableColumn id="4" name="Label acuan"/>
    <x:tableColumn id="5" name="Label model"/>
    <x:tableColumn id="6" name="Confidence tok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tebookRecordV082" displayName="NotebookRecordV082" ref="A5:D10" headerRowCount="1" totalsRowCount="0" totalsRowShown="0">
  <x:tableColumns count="4">
    <x:tableColumn id="1" name="Notebook/langkah"/>
    <x:tableColumn id="2" name="Pekerjaan"/>
    <x:tableColumn id="3" name="Eksekusi"/>
    <x:tableColumn id="4" name="Peran has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33a867218c46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65cfbe98b04fb8" /><Relationship Type="http://schemas.openxmlformats.org/officeDocument/2006/relationships/table" Target="/xl/tables/table3.xml" Id="R952485164cab47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bcb7b30a1a4cdc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8" hidden="0" customWidth="1"/>
    <x:col min="2" max="2" width="20" hidden="0" customWidth="1"/>
    <x:col min="3" max="3" width="23" hidden="0" customWidth="1"/>
    <x:col min="4" max="4" width="16" hidden="0" customWidth="1"/>
    <x:col min="5" max="5" width="19" hidden="0" customWidth="1"/>
    <x:col min="6" max="6" width="19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4" t="str">
        <x:v>SLR_09: uji pertama dan perbaikan field</x:v>
      </x:c>
      <x:c r="B2" s="5"/>
      <x:c r="C2" s="5"/>
      <x:c r="D2" s="5"/>
      <x:c r="E2" s="5"/>
      <x:c r="F2" s="5"/>
    </x:row>
    <x:row r="3" ht="24" customHeight="1">
      <x:c r="A3" s="6" t="str">
        <x:v>Acuan bintang: 50 APPROVED, 10 per kelas, 762 token. SLR_09 tetap In Review.</x:v>
      </x:c>
      <x:c r="B3" s="2"/>
      <x:c r="C3" s="2"/>
      <x:c r="D3" s="2"/>
      <x:c r="E3" s="2"/>
      <x:c r="F3" s="2"/>
    </x:row>
    <x:row r="4" ht="24" customHeight="1">
      <x:c r="A4" s="6" t="str">
        <x:v>Kolom regresi memakai data yang sudah digunakan untuk perbaikan kode.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30" customHeight="1">
      <x:c r="A7" s="9" t="str">
        <x:v>Penilaian</x:v>
      </x:c>
      <x:c r="B7" s="9" t="str">
        <x:v>Uji pertama</x:v>
      </x:c>
      <x:c r="C7" s="9" t="str">
        <x:v>Regresi perbaikan</x:v>
      </x:c>
      <x:c r="D7" s="9" t="str">
        <x:v>Target</x:v>
      </x:c>
      <x:c r="E7" s="9" t="str">
        <x:v>Status uji</x:v>
      </x:c>
      <x:c r="F7" s="9" t="str">
        <x:v>Status regresi</x:v>
      </x:c>
    </x:row>
    <x:row r="8" ht="24" customHeight="1">
      <x:c r="A8" s="2" t="str">
        <x:v>SENA macro F1</x:v>
      </x:c>
      <x:c r="B8" s="10" t="n">
        <x:v>1</x:v>
      </x:c>
      <x:c r="C8" s="10" t="n">
        <x:v>1</x:v>
      </x:c>
      <x:c r="D8" s="10" t="n">
        <x:v>0.85</x:v>
      </x:c>
      <x:c r="E8" s="11" t="str">
        <x:f>IF(AND(ISNUMBER(B8),B8&gt;=$D8),"Memenuhi","Belum")</x:f>
        <x:v>Memenuhi</x:v>
      </x:c>
      <x:c r="F8" s="11" t="str">
        <x:f>IF(AND(ISNUMBER(C8),C8&gt;=$D8),"Memenuhi","Belum")</x:f>
        <x:v>Memenuhi</x:v>
      </x:c>
    </x:row>
    <x:row r="9" ht="24" customHeight="1">
      <x:c r="A9" s="2" t="str">
        <x:v>Recall NON_EVENT</x:v>
      </x:c>
      <x:c r="B9" s="10" t="n">
        <x:v>1</x:v>
      </x:c>
      <x:c r="C9" s="10" t="n">
        <x:v>1</x:v>
      </x:c>
      <x:c r="D9" s="10" t="n">
        <x:v>0.9</x:v>
      </x:c>
      <x:c r="E9" s="11" t="str">
        <x:f>IF(AND(ISNUMBER(B9),B9&gt;=$D9),"Memenuhi","Belum")</x:f>
        <x:v>Memenuhi</x:v>
      </x:c>
      <x:c r="F9" s="11" t="str">
        <x:f>IF(AND(ISNUMBER(C9),C9&gt;=$D9),"Memenuhi","Belum")</x:f>
        <x:v>Memenuhi</x:v>
      </x:c>
    </x:row>
    <x:row r="10" ht="24" customHeight="1">
      <x:c r="A10" s="2" t="str">
        <x:v>Recall tiap kejadian minimum</x:v>
      </x:c>
      <x:c r="B10" s="10" t="n">
        <x:v>1</x:v>
      </x:c>
      <x:c r="C10" s="10" t="n">
        <x:v>1</x:v>
      </x:c>
      <x:c r="D10" s="10" t="n">
        <x:v>0.8</x:v>
      </x:c>
      <x:c r="E10" s="11" t="str">
        <x:f>IF(AND(ISNUMBER(B10),B10&gt;=$D10),"Memenuhi","Belum")</x:f>
        <x:v>Memenuhi</x:v>
      </x:c>
      <x:c r="F10" s="11" t="str">
        <x:f>IF(AND(ISNUMBER(C10),C10&gt;=$D10),"Memenuhi","Belum")</x:f>
        <x:v>Memenuhi</x:v>
      </x:c>
    </x:row>
    <x:row r="11" ht="24" customHeight="1">
      <x:c r="A11" s="2" t="str">
        <x:v>NARA macro F1 semua 14 non-O</x:v>
      </x:c>
      <x:c r="B11" s="10" t="n">
        <x:v>0.8900787790058875</x:v>
      </x:c>
      <x:c r="C11" s="10" t="n">
        <x:v>0.8900787790058875</x:v>
      </x:c>
      <x:c r="D11" s="10" t="n">
        <x:v>0.75</x:v>
      </x:c>
      <x:c r="E11" s="11" t="str">
        <x:f>IF(AND(ISNUMBER(B11),B11&gt;=$D11),"Memenuhi","Belum")</x:f>
        <x:v>Memenuhi</x:v>
      </x:c>
      <x:c r="F11" s="11" t="str">
        <x:f>IF(AND(ISNUMBER(C11),C11&gt;=$D11),"Memenuhi","Belum")</x:f>
        <x:v>Memenuhi</x:v>
      </x:c>
    </x:row>
    <x:row r="12" ht="24" customHeight="1">
      <x:c r="A12" s="2" t="str">
        <x:v>NARA exact span F1</x:v>
      </x:c>
      <x:c r="B12" s="10" t="n">
        <x:v>0.8</x:v>
      </x:c>
      <x:c r="C12" s="10" t="n">
        <x:v>0.8</x:v>
      </x:c>
      <x:c r="D12" s="10" t="n">
        <x:v>0.6</x:v>
      </x:c>
      <x:c r="E12" s="11" t="str">
        <x:f>IF(AND(ISNUMBER(B12),B12&gt;=$D12),"Memenuhi","Belum")</x:f>
        <x:v>Memenuhi</x:v>
      </x:c>
      <x:c r="F12" s="11" t="str">
        <x:f>IF(AND(ISNUMBER(C12),C12&gt;=$D12),"Memenuhi","Belum")</x:f>
        <x:v>Memenuhi</x:v>
      </x:c>
    </x:row>
    <x:row r="13" ht="24" customHeight="1">
      <x:c r="A13" s="2" t="str">
        <x:v>Ketepatan field nonkosong</x:v>
      </x:c>
      <x:c r="B13" s="10" t="n">
        <x:f>IF(B22=0,"n.a.",B21/B22)</x:f>
        <x:v>0.7874396135265701</x:v>
      </x:c>
      <x:c r="C13" s="10" t="n">
        <x:f>IF(C22=0,"n.a.",C21/C22)</x:f>
        <x:v>0.855072463768116</x:v>
      </x:c>
      <x:c r="D13" s="10" t="n">
        <x:v>0.8</x:v>
      </x:c>
      <x:c r="E13" s="11" t="str">
        <x:f>IF(AND(ISNUMBER(B13),B13&gt;=$D13),"Memenuhi","Belum")</x:f>
        <x:v>Belum</x:v>
      </x:c>
      <x:c r="F13" s="11" t="str">
        <x:f>IF(AND(ISNUMBER(C13),C13&gt;=$D13),"Memenuhi","Belum")</x:f>
        <x:v>Memenuhi</x:v>
      </x:c>
    </x:row>
    <x:row r="14" ht="24" customHeight="1">
      <x:c r="A14" s="2" t="str">
        <x:v>Isi berlebih pada field kosong</x:v>
      </x:c>
      <x:c r="B14" s="10" t="n">
        <x:f>IF(B24=0,"n.a.",B23/B24)</x:f>
        <x:v>0.013986013986013986</x:v>
      </x:c>
      <x:c r="C14" s="10" t="n">
        <x:f>IF(C24=0,"n.a.",C23/C24)</x:f>
        <x:v>0.013986013986013986</x:v>
      </x:c>
      <x:c r="D14" s="10" t="n">
        <x:v>0.05</x:v>
      </x:c>
      <x:c r="E14" s="11" t="str">
        <x:f>IF(AND(ISNUMBER(B14),B14&lt;=$D14),"Memenuhi","Belum")</x:f>
        <x:v>Memenuhi</x:v>
      </x:c>
      <x:c r="F14" s="11" t="str">
        <x:f>IF(AND(ISNUMBER(C14),C14&lt;=$D14),"Memenuhi","Belum")</x:f>
        <x:v>Memenuhi</x:v>
      </x:c>
    </x:row>
    <x:row r="15" ht="24" customHeight="1">
      <x:c r="A15" s="2" t="str">
        <x:v>Kontrak adapter</x:v>
      </x:c>
      <x:c r="B15" s="2" t="str">
        <x:v>Benar</x:v>
      </x:c>
      <x:c r="C15" s="2" t="str">
        <x:v>Benar</x:v>
      </x:c>
      <x:c r="D15" s="2" t="str">
        <x:v>Wajib benar</x:v>
      </x:c>
      <x:c r="E15" s="11" t="str">
        <x:f>IF(B15="Benar","Memenuhi","Belum")</x:f>
        <x:v>Memenuhi</x:v>
      </x:c>
      <x:c r="F15" s="11" t="str">
        <x:f>IF(C15="Benar","Memenuhi","Belum")</x:f>
        <x:v>Memenuhi</x:v>
      </x:c>
    </x:row>
    <x:row r="16" ht="24" customHeight="1">
      <x:c r="A16" s="2" t="str">
        <x:v>Kontras simulasi/kejadian nyata</x:v>
      </x:c>
      <x:c r="B16" s="2" t="str">
        <x:v>Benar</x:v>
      </x:c>
      <x:c r="C16" s="2" t="str">
        <x:v>Benar</x:v>
      </x:c>
      <x:c r="D16" s="2" t="str">
        <x:v>Wajib benar</x:v>
      </x:c>
      <x:c r="E16" s="11" t="str">
        <x:f>IF(B16="Benar","Memenuhi","Belum")</x:f>
        <x:v>Memenuhi</x:v>
      </x:c>
      <x:c r="F16" s="11" t="str">
        <x:f>IF(C16="Benar","Memenuhi","Belum")</x:f>
        <x:v>Memenuhi</x:v>
      </x:c>
    </x:row>
    <x:row r="17" ht="24" customHeight="1">
      <x:c r="A17" s="2"/>
      <x:c r="B17" s="2"/>
      <x:c r="C17" s="2"/>
      <x:c r="D17" s="2"/>
      <x:c r="E17" s="2"/>
      <x:c r="F17" s="2"/>
    </x:row>
    <x:row r="18" ht="24" customHeight="1">
      <x:c r="A18" s="6" t="str">
        <x:v>Uji pertama gagal pada field. Hasil sesudah perbaikan merupakan regresi, belum penerimaan baru.</x:v>
      </x:c>
      <x:c r="B18" s="2"/>
      <x:c r="C18" s="2"/>
      <x:c r="D18" s="2"/>
      <x:c r="E18" s="2"/>
      <x:c r="F18" s="2"/>
    </x:row>
    <x:row r="19" ht="24" customHeight="1">
      <x:c r="A19" s="2"/>
      <x:c r="B19" s="2"/>
      <x:c r="C19" s="2"/>
      <x:c r="D19" s="2"/>
      <x:c r="E19" s="2"/>
      <x:c r="F19" s="2"/>
    </x:row>
    <x:row r="20" ht="30" customHeight="1">
      <x:c r="A20" s="9" t="str">
        <x:v>Hitungan field</x:v>
      </x:c>
      <x:c r="B20" s="9" t="str">
        <x:v>Uji pertama</x:v>
      </x:c>
      <x:c r="C20" s="9" t="str">
        <x:v>Regresi perbaikan</x:v>
      </x:c>
      <x:c r="D20" s="2"/>
      <x:c r="E20" s="2"/>
      <x:c r="F20" s="2"/>
    </x:row>
    <x:row r="21" ht="24" customHeight="1">
      <x:c r="A21" s="2" t="str">
        <x:v>Field nonkosong tepat</x:v>
      </x:c>
      <x:c r="B21" s="2" t="n">
        <x:v>163</x:v>
      </x:c>
      <x:c r="C21" s="2" t="n">
        <x:v>177</x:v>
      </x:c>
      <x:c r="D21" s="2"/>
      <x:c r="E21" s="2"/>
      <x:c r="F21" s="2"/>
    </x:row>
    <x:row r="22" ht="24" customHeight="1">
      <x:c r="A22" s="2" t="str">
        <x:v>Total field nonkosong</x:v>
      </x:c>
      <x:c r="B22" s="2" t="n">
        <x:v>207</x:v>
      </x:c>
      <x:c r="C22" s="2" t="n">
        <x:v>207</x:v>
      </x:c>
      <x:c r="D22" s="2"/>
      <x:c r="E22" s="2"/>
      <x:c r="F22" s="2"/>
    </x:row>
    <x:row r="23" ht="24" customHeight="1">
      <x:c r="A23" s="2" t="str">
        <x:v>Isi berlebih pada field kosong</x:v>
      </x:c>
      <x:c r="B23" s="2" t="n">
        <x:v>2</x:v>
      </x:c>
      <x:c r="C23" s="2" t="n">
        <x:v>2</x:v>
      </x:c>
      <x:c r="D23" s="2"/>
      <x:c r="E23" s="2"/>
      <x:c r="F23" s="2"/>
    </x:row>
    <x:row r="24" ht="24" customHeight="1">
      <x:c r="A24" s="2" t="str">
        <x:v>Total field kosong</x:v>
      </x:c>
      <x:c r="B24" s="2" t="n">
        <x:v>143</x:v>
      </x:c>
      <x:c r="C24" s="2" t="n">
        <x:v>143</x:v>
      </x:c>
      <x:c r="D24" s="2"/>
      <x:c r="E24" s="2"/>
      <x:c r="F24" s="2"/>
    </x:row>
    <x:row r="25" ht="24" customHeight="1">
      <x:c r="A25" s="2"/>
      <x:c r="B25" s="2"/>
      <x:c r="C25" s="2"/>
      <x:c r="D25" s="2"/>
      <x:c r="E25" s="2"/>
      <x:c r="F25" s="2"/>
    </x:row>
    <x:row r="26" ht="24" customHeight="1">
      <x:c r="A26" s="2" t="str">
        <x:v>Status SLR_09</x:v>
      </x:c>
      <x:c r="B26" s="2" t="str">
        <x:v>IN REVIEW</x:v>
      </x:c>
      <x:c r="C26" s="2"/>
      <x:c r="D26" s="2"/>
      <x:c r="E26" s="2"/>
      <x:c r="F26" s="2"/>
    </x:row>
    <x:row r="27" ht="24" customHeight="1">
      <x:c r="A27" s="2" t="str">
        <x:v>Putaran berikutnya</x:v>
      </x:c>
      <x:c r="B27" s="2" t="str">
        <x:v>FINAL082: perlu review</x:v>
      </x:c>
      <x:c r="C27" s="2"/>
      <x:c r="D27" s="2"/>
      <x:c r="E27" s="2"/>
      <x:c r="F27" s="2"/>
    </x:row>
    <x:row r="28" ht="24" customHeight="1">
      <x:c r="A28" s="2"/>
      <x:c r="B28" s="2"/>
      <x:c r="C28" s="2"/>
      <x:c r="D28" s="2"/>
      <x:c r="E28" s="2"/>
      <x:c r="F28" s="2"/>
    </x:row>
    <x:row r="29" ht="30" customHeight="1">
      <x:c r="A29" s="9" t="str">
        <x:v>Role NARA non-O</x:v>
      </x:c>
      <x:c r="B29" s="9" t="str">
        <x:v>Token acuan</x:v>
      </x:c>
      <x:c r="C29" s="9" t="str">
        <x:v>Precision</x:v>
      </x:c>
      <x:c r="D29" s="9" t="str">
        <x:v>Recall</x:v>
      </x:c>
      <x:c r="E29" s="9" t="str">
        <x:v>F1</x:v>
      </x:c>
      <x:c r="F29" s="2"/>
    </x:row>
    <x:row r="30" ht="24" customHeight="1">
      <x:c r="A30" s="2" t="str">
        <x:v>ACCIDENT-EVENT</x:v>
      </x:c>
      <x:c r="B30" s="2" t="n">
        <x:v>10</x:v>
      </x:c>
      <x:c r="C30" s="10" t="n">
        <x:v>1</x:v>
      </x:c>
      <x:c r="D30" s="10" t="n">
        <x:v>1</x:v>
      </x:c>
      <x:c r="E30" s="10" t="n">
        <x:v>1</x:v>
      </x:c>
      <x:c r="F30" s="2"/>
    </x:row>
    <x:row r="31" ht="24" customHeight="1">
      <x:c r="A31" s="2" t="str">
        <x:v>AFFECTEDOBJECTS-ARG</x:v>
      </x:c>
      <x:c r="B31" s="2" t="n">
        <x:v>98</x:v>
      </x:c>
      <x:c r="C31" s="10" t="n">
        <x:v>0.9888888888888889</x:v>
      </x:c>
      <x:c r="D31" s="10" t="n">
        <x:v>0.9081632653061225</x:v>
      </x:c>
      <x:c r="E31" s="10" t="n">
        <x:v>0.946808510638298</x:v>
      </x:c>
      <x:c r="F31" s="2"/>
    </x:row>
    <x:row r="32" ht="24" customHeight="1">
      <x:c r="A32" s="2" t="str">
        <x:v>DEATHVICTIM-ARG</x:v>
      </x:c>
      <x:c r="B32" s="2" t="n">
        <x:v>12</x:v>
      </x:c>
      <x:c r="C32" s="10" t="n">
        <x:v>1</x:v>
      </x:c>
      <x:c r="D32" s="10" t="n">
        <x:v>1</x:v>
      </x:c>
      <x:c r="E32" s="10" t="n">
        <x:v>1</x:v>
      </x:c>
      <x:c r="F32" s="2"/>
    </x:row>
    <x:row r="33" ht="24" customHeight="1">
      <x:c r="A33" s="2" t="str">
        <x:v>EARTHQUAKE-EVENT</x:v>
      </x:c>
      <x:c r="B33" s="2" t="n">
        <x:v>10</x:v>
      </x:c>
      <x:c r="C33" s="10" t="n">
        <x:v>0.9090909090909091</x:v>
      </x:c>
      <x:c r="D33" s="10" t="n">
        <x:v>1</x:v>
      </x:c>
      <x:c r="E33" s="10" t="n">
        <x:v>0.9523809523809523</x:v>
      </x:c>
      <x:c r="F33" s="2"/>
    </x:row>
    <x:row r="34" ht="24" customHeight="1">
      <x:c r="A34" s="2" t="str">
        <x:v>FALSE-EVENT</x:v>
      </x:c>
      <x:c r="B34" s="2" t="n">
        <x:v>11</x:v>
      </x:c>
      <x:c r="C34" s="10" t="n">
        <x:v>1</x:v>
      </x:c>
      <x:c r="D34" s="10" t="n">
        <x:v>0.5454545454545454</x:v>
      </x:c>
      <x:c r="E34" s="10" t="n">
        <x:v>0.7058823529411764</x:v>
      </x:c>
      <x:c r="F34" s="2"/>
    </x:row>
    <x:row r="35" ht="24" customHeight="1">
      <x:c r="A35" s="2" t="str">
        <x:v>FIRE-EVENT</x:v>
      </x:c>
      <x:c r="B35" s="2" t="n">
        <x:v>10</x:v>
      </x:c>
      <x:c r="C35" s="10" t="n">
        <x:v>0.5555555555555556</x:v>
      </x:c>
      <x:c r="D35" s="10" t="n">
        <x:v>1</x:v>
      </x:c>
      <x:c r="E35" s="10" t="n">
        <x:v>0.7142857142857143</x:v>
      </x:c>
      <x:c r="F35" s="2"/>
    </x:row>
    <x:row r="36" ht="24" customHeight="1">
      <x:c r="A36" s="2" t="str">
        <x:v>FLOOD-EVENT</x:v>
      </x:c>
      <x:c r="B36" s="2" t="n">
        <x:v>10</x:v>
      </x:c>
      <x:c r="C36" s="10" t="n">
        <x:v>0.7142857142857143</x:v>
      </x:c>
      <x:c r="D36" s="10" t="n">
        <x:v>1</x:v>
      </x:c>
      <x:c r="E36" s="10" t="n">
        <x:v>0.8333333333333333</x:v>
      </x:c>
      <x:c r="F36" s="2"/>
    </x:row>
    <x:row r="37" ht="24" customHeight="1">
      <x:c r="A37" s="2" t="str">
        <x:v>INFORMATION-ARG</x:v>
      </x:c>
      <x:c r="B37" s="2" t="n">
        <x:v>44</x:v>
      </x:c>
      <x:c r="C37" s="10" t="n">
        <x:v>0.44155844155844154</x:v>
      </x:c>
      <x:c r="D37" s="10" t="n">
        <x:v>0.7727272727272727</x:v>
      </x:c>
      <x:c r="E37" s="10" t="n">
        <x:v>0.5619834710743802</x:v>
      </x:c>
      <x:c r="F37" s="2"/>
    </x:row>
    <x:row r="38" ht="24" customHeight="1">
      <x:c r="A38" s="2" t="str">
        <x:v>OFFICER-ARG</x:v>
      </x:c>
      <x:c r="B38" s="2" t="n">
        <x:v>29</x:v>
      </x:c>
      <x:c r="C38" s="10" t="n">
        <x:v>0.9032258064516129</x:v>
      </x:c>
      <x:c r="D38" s="10" t="n">
        <x:v>0.9655172413793104</x:v>
      </x:c>
      <x:c r="E38" s="10" t="n">
        <x:v>0.9333333333333333</x:v>
      </x:c>
      <x:c r="F38" s="2"/>
    </x:row>
    <x:row r="39" ht="24" customHeight="1">
      <x:c r="A39" s="2" t="str">
        <x:v>PLACE-ARG</x:v>
      </x:c>
      <x:c r="B39" s="2" t="n">
        <x:v>122</x:v>
      </x:c>
      <x:c r="C39" s="10" t="n">
        <x:v>0.9915254237288136</x:v>
      </x:c>
      <x:c r="D39" s="10" t="n">
        <x:v>0.9590163934426229</x:v>
      </x:c>
      <x:c r="E39" s="10" t="n">
        <x:v>0.9749999999999999</x:v>
      </x:c>
      <x:c r="F39" s="2"/>
    </x:row>
    <x:row r="40" ht="24" customHeight="1">
      <x:c r="A40" s="2" t="str">
        <x:v>REASON-ARG</x:v>
      </x:c>
      <x:c r="B40" s="2" t="n">
        <x:v>10</x:v>
      </x:c>
      <x:c r="C40" s="10" t="n">
        <x:v>1</x:v>
      </x:c>
      <x:c r="D40" s="10" t="n">
        <x:v>1</x:v>
      </x:c>
      <x:c r="E40" s="10" t="n">
        <x:v>1</x:v>
      </x:c>
      <x:c r="F40" s="2"/>
    </x:row>
    <x:row r="41" ht="24" customHeight="1">
      <x:c r="A41" s="2" t="str">
        <x:v>STREET-ARG</x:v>
      </x:c>
      <x:c r="B41" s="2" t="n">
        <x:v>12</x:v>
      </x:c>
      <x:c r="C41" s="10" t="n">
        <x:v>1</x:v>
      </x:c>
      <x:c r="D41" s="10" t="n">
        <x:v>1</x:v>
      </x:c>
      <x:c r="E41" s="10" t="n">
        <x:v>1</x:v>
      </x:c>
      <x:c r="F41" s="2"/>
    </x:row>
    <x:row r="42" ht="24" customHeight="1">
      <x:c r="A42" s="2" t="str">
        <x:v>TIME-ARG</x:v>
      </x:c>
      <x:c r="B42" s="2" t="n">
        <x:v>117</x:v>
      </x:c>
      <x:c r="C42" s="10" t="n">
        <x:v>0.946236559139785</x:v>
      </x:c>
      <x:c r="D42" s="10" t="n">
        <x:v>0.7521367521367521</x:v>
      </x:c>
      <x:c r="E42" s="10" t="n">
        <x:v>0.838095238095238</x:v>
      </x:c>
      <x:c r="F42" s="2"/>
    </x:row>
    <x:row r="43" ht="24" customHeight="1">
      <x:c r="A43" s="2" t="str">
        <x:v>WOUNDVICTIM-ARG</x:v>
      </x:c>
      <x:c r="B43" s="2" t="n">
        <x:v>16</x:v>
      </x:c>
      <x:c r="C43" s="10" t="n">
        <x:v>1</x:v>
      </x:c>
      <x:c r="D43" s="10" t="n">
        <x:v>1</x:v>
      </x:c>
      <x:c r="E43" s="10" t="n">
        <x:v>1</x:v>
      </x:c>
      <x:c r="F43" s="2"/>
    </x:row>
    <x:row r="44" ht="24" customHeight="1">
      <x:c r="A44" s="2"/>
      <x:c r="B44" s="2"/>
      <x:c r="C44" s="2"/>
      <x:c r="D44" s="2"/>
      <x:c r="E44" s="2"/>
      <x:c r="F44" s="2"/>
    </x:row>
    <x:row r="45" ht="24" customHeight="1">
      <x:c r="A45" s="2"/>
      <x:c r="B45" s="2"/>
      <x:c r="C45" s="2"/>
      <x:c r="D45" s="2"/>
      <x:c r="E45" s="2"/>
      <x:c r="F45" s="2"/>
    </x:row>
    <x:row r="46" ht="30" customHeight="1">
      <x:c r="A46" s="9" t="str">
        <x:v>Field nonkosong</x:v>
      </x:c>
      <x:c r="B46" s="9" t="str">
        <x:v>Tepat awal</x:v>
      </x:c>
      <x:c r="C46" s="9" t="str">
        <x:v>N awal</x:v>
      </x:c>
      <x:c r="D46" s="9" t="str">
        <x:v>Tepat sesudah</x:v>
      </x:c>
      <x:c r="E46" s="9" t="str">
        <x:v>N sesudah</x:v>
      </x:c>
      <x:c r="F46" s="9" t="str">
        <x:v>Rasio sesudah</x:v>
      </x:c>
    </x:row>
    <x:row r="47" ht="24" customHeight="1">
      <x:c r="A47" s="2" t="str">
        <x:v>Lokasi</x:v>
      </x:c>
      <x:c r="B47" s="2" t="n">
        <x:v>40</x:v>
      </x:c>
      <x:c r="C47" s="2" t="n">
        <x:v>46</x:v>
      </x:c>
      <x:c r="D47" s="2" t="n">
        <x:v>41</x:v>
      </x:c>
      <x:c r="E47" s="2" t="n">
        <x:v>46</x:v>
      </x:c>
      <x:c r="F47" s="12" t="n">
        <x:f>IF(E47=0,"n.a.",D47/E47)</x:f>
        <x:v>0.8913043478260869</x:v>
      </x:c>
    </x:row>
    <x:row r="48" ht="24" customHeight="1">
      <x:c r="A48" s="2" t="str">
        <x:v>Waktu literal</x:v>
      </x:c>
      <x:c r="B48" s="2" t="n">
        <x:v>38</x:v>
      </x:c>
      <x:c r="C48" s="2" t="n">
        <x:v>47</x:v>
      </x:c>
      <x:c r="D48" s="2" t="n">
        <x:v>38</x:v>
      </x:c>
      <x:c r="E48" s="2" t="n">
        <x:v>47</x:v>
      </x:c>
      <x:c r="F48" s="12" t="n">
        <x:f>IF(E48=0,"n.a.",D48/E48)</x:f>
        <x:v>0.8085106382978723</x:v>
      </x:c>
    </x:row>
    <x:row r="49" ht="24" customHeight="1">
      <x:c r="A49" s="2" t="str">
        <x:v>occurred_at (tetap null)</x:v>
      </x:c>
      <x:c r="B49" s="2" t="n">
        <x:v>0</x:v>
      </x:c>
      <x:c r="C49" s="2" t="n">
        <x:v>0</x:v>
      </x:c>
      <x:c r="D49" s="2" t="n">
        <x:v>0</x:v>
      </x:c>
      <x:c r="E49" s="2" t="n">
        <x:v>0</x:v>
      </x:c>
      <x:c r="F49" s="12" t="str">
        <x:f>IF(E49=0,"n.a.",D49/E49)</x:f>
        <x:v>n.a.</x:v>
      </x:c>
    </x:row>
    <x:row r="50" ht="24" customHeight="1">
      <x:c r="A50" s="2" t="str">
        <x:v>Pihak</x:v>
      </x:c>
      <x:c r="B50" s="2" t="n">
        <x:v>21</x:v>
      </x:c>
      <x:c r="C50" s="2" t="n">
        <x:v>26</x:v>
      </x:c>
      <x:c r="D50" s="2" t="n">
        <x:v>25</x:v>
      </x:c>
      <x:c r="E50" s="2" t="n">
        <x:v>26</x:v>
      </x:c>
      <x:c r="F50" s="12" t="n">
        <x:f>IF(E50=0,"n.a.",D50/E50)</x:f>
        <x:v>0.9615384615384616</x:v>
      </x:c>
    </x:row>
    <x:row r="51" ht="24" customHeight="1">
      <x:c r="A51" s="2" t="str">
        <x:v>Dampak</x:v>
      </x:c>
      <x:c r="B51" s="2" t="n">
        <x:v>22</x:v>
      </x:c>
      <x:c r="C51" s="2" t="n">
        <x:v>40</x:v>
      </x:c>
      <x:c r="D51" s="2" t="n">
        <x:v>30</x:v>
      </x:c>
      <x:c r="E51" s="2" t="n">
        <x:v>40</x:v>
      </x:c>
      <x:c r="F51" s="12" t="n">
        <x:f>IF(E51=0,"n.a.",D51/E51)</x:f>
        <x:v>0.75</x:v>
      </x:c>
    </x:row>
    <x:row r="52" ht="24" customHeight="1">
      <x:c r="A52" s="2" t="str">
        <x:v>Korban</x:v>
      </x:c>
      <x:c r="B52" s="2" t="n">
        <x:v>8</x:v>
      </x:c>
      <x:c r="C52" s="2" t="n">
        <x:v>8</x:v>
      </x:c>
      <x:c r="D52" s="2" t="n">
        <x:v>8</x:v>
      </x:c>
      <x:c r="E52" s="2" t="n">
        <x:v>8</x:v>
      </x:c>
      <x:c r="F52" s="12" t="n">
        <x:f>IF(E52=0,"n.a.",D52/E52)</x:f>
        <x:v>1</x:v>
      </x:c>
    </x:row>
    <x:row r="53" ht="24" customHeight="1">
      <x:c r="A53" s="2" t="str">
        <x:v>Objek terdampak</x:v>
      </x:c>
      <x:c r="B53" s="2" t="n">
        <x:v>34</x:v>
      </x:c>
      <x:c r="C53" s="2" t="n">
        <x:v>40</x:v>
      </x:c>
      <x:c r="D53" s="2" t="n">
        <x:v>35</x:v>
      </x:c>
      <x:c r="E53" s="2" t="n">
        <x:v>40</x:v>
      </x:c>
      <x:c r="F53" s="12" t="n">
        <x:f>IF(E53=0,"n.a.",D53/E53)</x:f>
        <x:v>0.875</x:v>
      </x:c>
    </x:row>
    <x:row r="54" ht="24" customHeight="1">
      <x:c r="A54" s="2"/>
      <x:c r="B54" s="2"/>
      <x:c r="C54" s="2"/>
      <x:c r="D54" s="2"/>
      <x:c r="E54" s="2"/>
      <x:c r="F54" s="2"/>
    </x:row>
    <x:row r="55" ht="24" customHeight="1">
      <x:c r="A55" s="6" t="str">
        <x:v>Sumber: Excel review bintang dan keluaran neural beku dari notebook 23, 19 Oktober 2026.</x:v>
      </x:c>
      <x:c r="B55" s="2"/>
      <x:c r="C55" s="2"/>
      <x:c r="D55" s="2"/>
      <x:c r="E55" s="2"/>
      <x:c r="F55" s="2"/>
    </x:row>
    <x:row r="56" ht="24" customHeight="1">
      <x:c r="A56" s="6" t="str">
        <x:v>Regresi 50 lama juga memenuhi seluruh pemeriksaan; ketepatan field tetap 91.62%.</x:v>
      </x:c>
      <x:c r="B56" s="2"/>
      <x:c r="C56" s="2"/>
      <x:c r="D56" s="2"/>
      <x:c r="E56" s="2"/>
      <x:c r="F56" s="2"/>
    </x:row>
    <x:row r="57" ht="24" customHeight="1">
      <x:c r="A57" s="6" t="str">
        <x:v>Bobot SENA/NARA dan cutoff 0,95 tetap. Pilot sintetis ini tidak membuktikan generalisasi populasi.</x:v>
      </x:c>
      <x:c r="B57" s="2"/>
      <x:c r="C57" s="2"/>
      <x:c r="D57" s="2"/>
      <x:c r="E57" s="2"/>
      <x:c r="F57" s="2"/>
    </x:row>
    <x:row r="58" ht="24" customHeight="1">
      <x:c r="A58" s="2"/>
      <x:c r="B58" s="2"/>
      <x:c r="C58" s="2"/>
      <x:c r="D58" s="2"/>
      <x:c r="E58" s="2"/>
      <x:c r="F58" s="2"/>
    </x:row>
  </x:sheetData>
  <x:conditionalFormatting sqref="E8:F16">
    <x:cfRule type="containsText" dxfId="0" priority="1" operator="containsText" text="Bel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78" hidden="0" customWidth="1"/>
    <x:col min="3" max="3" width="21" hidden="0" customWidth="1"/>
    <x:col min="4" max="4" width="21" hidden="0" customWidth="1"/>
    <x:col min="5" max="5" width="17" hidden="0" customWidth="1"/>
    <x:col min="6" max="6" width="19" hidden="0" customWidth="1"/>
    <x:col min="7" max="7" width="16" hidden="0" customWidth="1"/>
    <x:col min="8" max="8" width="28" hidden="0" customWidth="1"/>
    <x:col min="9" max="9" width="7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Hasil per narasi yang sudah direview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6" t="str">
        <x:v>Raw klasifikasi dan label token model tetap; perbaikan hanya komposisi field.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9" t="str">
        <x:v>ID</x:v>
      </x:c>
      <x:c r="B5" s="9" t="str">
        <x:v>Narasi</x:v>
      </x:c>
      <x:c r="C5" s="9" t="str">
        <x:v>Acuan kelas</x:v>
      </x:c>
      <x:c r="D5" s="9" t="str">
        <x:v>Prediksi SENA</x:v>
      </x:c>
      <x:c r="E5" s="9" t="str">
        <x:v>Confidence</x:v>
      </x:c>
      <x:c r="F5" s="9" t="str">
        <x:v>Flag &lt;0,95</x:v>
      </x:c>
      <x:c r="G5" s="9" t="str">
        <x:v>Reviewer</x:v>
      </x:c>
      <x:c r="H5" s="9" t="str">
        <x:v>Keluarga</x:v>
      </x:c>
      <x:c r="I5" s="9" t="str">
        <x:v>Catatan reviewer</x:v>
      </x:c>
    </x:row>
    <x:row r="6" ht="72" customHeight="1">
      <x:c r="A6" s="2" t="str">
        <x:v>FINAL081-FLOOD-01</x:v>
      </x:c>
      <x:c r="B6" s="13" t="str">
        <x:v>Menurut warga, Banjir menggenangi tiga rumah di Desa Rimbakencana Utara subuh tadi.</x:v>
      </x:c>
      <x:c r="C6" s="13" t="str">
        <x:v>FLOOD</x:v>
      </x:c>
      <x:c r="D6" s="13" t="str">
        <x:v>FLOOD</x:v>
      </x:c>
      <x:c r="E6" s="14" t="n">
        <x:v>0.9853773713111877</x:v>
      </x:c>
      <x:c r="F6" s="15" t="str">
        <x:f>IF(E6&lt;0.95,"Ya","Tidak")</x:f>
        <x:v>Tidak</x:v>
      </x:c>
      <x:c r="G6" s="13" t="str">
        <x:v>bintang</x:v>
      </x:c>
      <x:c r="H6" s="13" t="str">
        <x:v>plain</x:v>
      </x:c>
      <x:c r="I6" s="13" t="str">
        <x:v>Warga dilengkapi sebagai pihak pelapor dan dilabeli OFFICER. Pernyataan tetap menyebut kejadian nyata.</x:v>
      </x:c>
    </x:row>
    <x:row r="7" ht="72" customHeight="1">
      <x:c r="A7" s="2" t="str">
        <x:v>FINAL081-FLOOD-02</x:v>
      </x:c>
      <x:c r="B7" s="13" t="str">
        <x:v>Banjir menggenangi tiga rumah di Kelurahan Banyumadu Utara pagi ini; dua warga luka ringan.</x:v>
      </x:c>
      <x:c r="C7" s="13" t="str">
        <x:v>FLOOD</x:v>
      </x:c>
      <x:c r="D7" s="13" t="str">
        <x:v>FLOOD</x:v>
      </x:c>
      <x:c r="E7" s="14" t="n">
        <x:v>0.9915621876716614</x:v>
      </x:c>
      <x:c r="F7" s="15" t="str">
        <x:f>IF(E7&lt;0.95,"Ya","Tidak")</x:f>
        <x:v>Tidak</x:v>
      </x:c>
      <x:c r="G7" s="13" t="str">
        <x:v>bintang</x:v>
      </x:c>
      <x:c r="H7" s="13" t="str">
        <x:v>plain</x:v>
      </x:c>
      <x:c r="I7" s="13" t="str">
        <x:v>Pihak dua warga dilengkapi dari korban eksplisit. Seluruh frasa korban tetap satu span WOUND.</x:v>
      </x:c>
    </x:row>
    <x:row r="8" ht="72" customHeight="1">
      <x:c r="A8" s="2" t="str">
        <x:v>FINAL081-FLOOD-03</x:v>
      </x:c>
      <x:c r="B8" s="13" t="str">
        <x:v>Banjir menggenangi tiga rumah di Kampung Tirtajaya Utara tadi malam; seorang penjaga meninggal.</x:v>
      </x:c>
      <x:c r="C8" s="13" t="str">
        <x:v>FLOOD</x:v>
      </x:c>
      <x:c r="D8" s="13" t="str">
        <x:v>FLOOD</x:v>
      </x:c>
      <x:c r="E8" s="14" t="n">
        <x:v>0.9912949800491333</x:v>
      </x:c>
      <x:c r="F8" s="15" t="str">
        <x:f>IF(E8&lt;0.95,"Ya","Tidak")</x:f>
        <x:v>Tidak</x:v>
      </x:c>
      <x:c r="G8" s="13" t="str">
        <x:v>bintang</x:v>
      </x:c>
      <x:c r="H8" s="13" t="str">
        <x:v>plain</x:v>
      </x:c>
      <x:c r="I8" s="13" t="str">
        <x:v>Pihak seorang penjaga dilengkapi dari korban meninggal yang eksplisit. Tidak menambah jumlah korban.</x:v>
      </x:c>
    </x:row>
    <x:row r="9" ht="72" customHeight="1">
      <x:c r="A9" s="2" t="str">
        <x:v>FINAL081-FLOOD-04</x:v>
      </x:c>
      <x:c r="B9" s="13" t="str">
        <x:v>Banjir dipicu hujan deras di Desa Cempakawana Utara siang tadi dan menggenangi tiga rumah.</x:v>
      </x:c>
      <x:c r="C9" s="13" t="str">
        <x:v>FLOOD</x:v>
      </x:c>
      <x:c r="D9" s="13" t="str">
        <x:v>FLOOD</x:v>
      </x:c>
      <x:c r="E9" s="14" t="n">
        <x:v>0.9911333918571472</x:v>
      </x:c>
      <x:c r="F9" s="15" t="str">
        <x:f>IF(E9&lt;0.95,"Ya","Tidak")</x:f>
        <x:v>Tidak</x:v>
      </x:c>
      <x:c r="G9" s="13" t="str">
        <x:v>bintang</x:v>
      </x:c>
      <x:c r="H9" s="13" t="str">
        <x:v>cause</x:v>
      </x:c>
      <x:c r="I9" s="13" t="str">
        <x:v>Hujan deras merupakan penyebab eksplisit. Tidak menambah korban atau field penyebab baru.</x:v>
      </x:c>
    </x:row>
    <x:row r="10" ht="72" customHeight="1">
      <x:c r="A10" s="2" t="str">
        <x:v>FINAL081-FLOOD-05</x:v>
      </x:c>
      <x:c r="B10" s="13" t="str">
        <x:v>Petugas BPBD tiba di Kelurahan Sumberasri Utara sore ini setelah Banjir menggenangi tiga rumah.</x:v>
      </x:c>
      <x:c r="C10" s="13" t="str">
        <x:v>FLOOD</x:v>
      </x:c>
      <x:c r="D10" s="13" t="str">
        <x:v>FLOOD</x:v>
      </x:c>
      <x:c r="E10" s="14" t="n">
        <x:v>0.9927559494972229</x:v>
      </x:c>
      <x:c r="F10" s="15" t="str">
        <x:f>IF(E10&lt;0.95,"Ya","Tidak")</x:f>
        <x:v>Tidak</x:v>
      </x:c>
      <x:c r="G10" s="13" t="str">
        <x:v>bintang</x:v>
      </x:c>
      <x:c r="H10" s="13" t="str">
        <x:v>plain</x:v>
      </x:c>
      <x:c r="I10" s="13" t="str">
        <x:v>Petugas BPBD adalah pihak. Sore ini disebut untuk kedatangannya, tanpa menyimpulkan tanggal kejadian.</x:v>
      </x:c>
    </x:row>
    <x:row r="11" ht="72" customHeight="1">
      <x:c r="A11" s="2" t="str">
        <x:v>FINAL081-FLOOD-06</x:v>
      </x:c>
      <x:c r="B11" s="13" t="str">
        <x:v>Banjir di Jalan Lembayung Utara pukul sembilan menggenangi tiga rumah; jalur tersebut sekarang ditutup.</x:v>
      </x:c>
      <x:c r="C11" s="13" t="str">
        <x:v>FLOOD</x:v>
      </x:c>
      <x:c r="D11" s="13" t="str">
        <x:v>FLOOD</x:v>
      </x:c>
      <x:c r="E11" s="14" t="n">
        <x:v>0.9918540716171265</x:v>
      </x:c>
      <x:c r="F11" s="15" t="str">
        <x:f>IF(E11&lt;0.95,"Ya","Tidak")</x:f>
        <x:v>Tidak</x:v>
      </x:c>
      <x:c r="G11" s="13" t="str">
        <x:v>bintang</x:v>
      </x:c>
      <x:c r="H11" s="13" t="str">
        <x:v>street</x:v>
      </x:c>
      <x:c r="I11" s="13" t="str">
        <x:v>Penutupan jalur dilengkapi pada dampak dan objek. Sekarang dilabeli TIME. Waktu utama tetap pukul sembilan.</x:v>
      </x:c>
    </x:row>
    <x:row r="12" ht="72" customHeight="1">
      <x:c r="A12" s="2" t="str">
        <x:v>FINAL081-FLOOD-07</x:v>
      </x:c>
      <x:c r="B12" s="13" t="str">
        <x:v>Banjir menggenangi tiga rumah di Kampung Wanasetra Utara malam ini; petugas memastikan tidak ada korban.</x:v>
      </x:c>
      <x:c r="C12" s="13" t="str">
        <x:v>FLOOD</x:v>
      </x:c>
      <x:c r="D12" s="13" t="str">
        <x:v>FLOOD</x:v>
      </x:c>
      <x:c r="E12" s="14" t="n">
        <x:v>0.9907254576683044</x:v>
      </x:c>
      <x:c r="F12" s="15" t="str">
        <x:f>IF(E12&lt;0.95,"Ya","Tidak")</x:f>
        <x:v>Tidak</x:v>
      </x:c>
      <x:c r="G12" s="13" t="str">
        <x:v>bintang</x:v>
      </x:c>
      <x:c r="H12" s="13" t="str">
        <x:v>local_negation</x:v>
      </x:c>
      <x:c r="I12" s="13" t="str">
        <x:v>Tidak ada korban adalah negasi. Korban tetap kosong dan frasa negasi tidak menjadi label korban positif.</x:v>
      </x:c>
    </x:row>
    <x:row r="13" ht="72" customHeight="1">
      <x:c r="A13" s="2" t="str">
        <x:v>FINAL081-FLOOD-08</x:v>
      </x:c>
      <x:c r="B13" s="13" t="str">
        <x:v>Di tengah latihan evakuasi, Banjir sungguhan menggenangi tiga rumah di Desa Beringinwangi Utara pagi tadi.</x:v>
      </x:c>
      <x:c r="C13" s="13" t="str">
        <x:v>FLOOD</x:v>
      </x:c>
      <x:c r="D13" s="13" t="str">
        <x:v>FLOOD</x:v>
      </x:c>
      <x:c r="E13" s="14" t="n">
        <x:v>0.9884176850318909</x:v>
      </x:c>
      <x:c r="F13" s="15" t="str">
        <x:f>IF(E13&lt;0.95,"Ya","Tidak")</x:f>
        <x:v>Tidak</x:v>
      </x:c>
      <x:c r="G13" s="13" t="str">
        <x:v>bintang</x:v>
      </x:c>
      <x:c r="H13" s="13" t="str">
        <x:v>real_during_exercise</x:v>
      </x:c>
      <x:c r="I13" s="13" t="str">
        <x:v>Di tengah latihan evakuasi dilabeli TIME. Kejadian dinyatakan sungguhan. Waktu utama tetap pagi tadi.</x:v>
      </x:c>
    </x:row>
    <x:row r="14" ht="72" customHeight="1">
      <x:c r="A14" s="2" t="str">
        <x:v>FINAL081-FLOOD-09</x:v>
      </x:c>
      <x:c r="B14" s="13" t="str">
        <x:v>Bukan sekadar kabar: Banjir benar-benar menggenangi tiga rumah di Kelurahan Kartasena Utara sore tadi.</x:v>
      </x:c>
      <x:c r="C14" s="13" t="str">
        <x:v>FLOOD</x:v>
      </x:c>
      <x:c r="D14" s="13" t="str">
        <x:v>FLOOD</x:v>
      </x:c>
      <x:c r="E14" s="14" t="n">
        <x:v>0.9913769960403442</x:v>
      </x:c>
      <x:c r="F14" s="15" t="str">
        <x:f>IF(E14&lt;0.95,"Ya","Tidak")</x:f>
        <x:v>Tidak</x:v>
      </x:c>
      <x:c r="G14" s="13" t="str">
        <x:v>bintang</x:v>
      </x:c>
      <x:c r="H14" s="13" t="str">
        <x:v>rumor_verified</x:v>
      </x:c>
      <x:c r="I14" s="13" t="str">
        <x:v>Bukan sekadar kabar menegaskan kejadian nyata, bukan menegasikan kejadian. Kategori dan pemicu dipertahankan.</x:v>
      </x:c>
    </x:row>
    <x:row r="15" ht="72" customHeight="1">
      <x:c r="A15" s="2" t="str">
        <x:v>FINAL081-FLOOD-10</x:v>
      </x:c>
      <x:c r="B15" s="13" t="str">
        <x:v>Rekaman ini bukan adegan film. Banjir menggenangi tiga rumah di Kampung Harumjaya Utara kemarin sore.</x:v>
      </x:c>
      <x:c r="C15" s="13" t="str">
        <x:v>FLOOD</x:v>
      </x:c>
      <x:c r="D15" s="13" t="str">
        <x:v>FLOOD</x:v>
      </x:c>
      <x:c r="E15" s="14" t="n">
        <x:v>0.9849244952201843</x:v>
      </x:c>
      <x:c r="F15" s="15" t="str">
        <x:f>IF(E15&lt;0.95,"Ya","Tidak")</x:f>
        <x:v>Tidak</x:v>
      </x:c>
      <x:c r="G15" s="13" t="str">
        <x:v>bintang</x:v>
      </x:c>
      <x:c r="H15" s="13" t="str">
        <x:v>fiction_denied</x:v>
      </x:c>
      <x:c r="I15" s="13" t="str">
        <x:v>Bukan adegan film menyangkal konteks fiksi. Kejadian berikutnya tetap dinyatakan nyata.</x:v>
      </x:c>
    </x:row>
    <x:row r="16" ht="72" customHeight="1">
      <x:c r="A16" s="2" t="str">
        <x:v>FINAL081-EARTHQUAKE-01</x:v>
      </x:c>
      <x:c r="B16" s="13" t="str">
        <x:v>Menurut warga, Gempa merusak dinding sekolah di Desa Rimbakencana Selatan subuh tadi.</x:v>
      </x:c>
      <x:c r="C16" s="13" t="str">
        <x:v>EARTHQUAKE</x:v>
      </x:c>
      <x:c r="D16" s="13" t="str">
        <x:v>EARTHQUAKE</x:v>
      </x:c>
      <x:c r="E16" s="14" t="n">
        <x:v>0.9956403970718384</x:v>
      </x:c>
      <x:c r="F16" s="15" t="str">
        <x:f>IF(E16&lt;0.95,"Ya","Tidak")</x:f>
        <x:v>Tidak</x:v>
      </x:c>
      <x:c r="G16" s="13" t="str">
        <x:v>bintang</x:v>
      </x:c>
      <x:c r="H16" s="13" t="str">
        <x:v>plain</x:v>
      </x:c>
      <x:c r="I16" s="13" t="str">
        <x:v>Warga dilengkapi sebagai pihak pelapor dan dilabeli OFFICER. Pernyataan tetap menyebut kejadian nyata.</x:v>
      </x:c>
    </x:row>
    <x:row r="17" ht="72" customHeight="1">
      <x:c r="A17" s="2" t="str">
        <x:v>FINAL081-EARTHQUAKE-02</x:v>
      </x:c>
      <x:c r="B17" s="13" t="str">
        <x:v>Gempa merusak dinding sekolah di Kelurahan Banyumadu Selatan pagi ini; dua warga luka ringan.</x:v>
      </x:c>
      <x:c r="C17" s="13" t="str">
        <x:v>EARTHQUAKE</x:v>
      </x:c>
      <x:c r="D17" s="13" t="str">
        <x:v>EARTHQUAKE</x:v>
      </x:c>
      <x:c r="E17" s="14" t="n">
        <x:v>0.9944658875465393</x:v>
      </x:c>
      <x:c r="F17" s="15" t="str">
        <x:f>IF(E17&lt;0.95,"Ya","Tidak")</x:f>
        <x:v>Tidak</x:v>
      </x:c>
      <x:c r="G17" s="13" t="str">
        <x:v>bintang</x:v>
      </x:c>
      <x:c r="H17" s="13" t="str">
        <x:v>plain</x:v>
      </x:c>
      <x:c r="I17" s="13" t="str">
        <x:v>Pihak dua warga dilengkapi dari korban eksplisit. Seluruh frasa korban tetap satu span WOUND.</x:v>
      </x:c>
    </x:row>
    <x:row r="18" ht="72" customHeight="1">
      <x:c r="A18" s="2" t="str">
        <x:v>FINAL081-EARTHQUAKE-03</x:v>
      </x:c>
      <x:c r="B18" s="13" t="str">
        <x:v>Gempa merusak dinding sekolah di Kampung Tirtajaya Selatan tadi malam; seorang penjaga meninggal.</x:v>
      </x:c>
      <x:c r="C18" s="13" t="str">
        <x:v>EARTHQUAKE</x:v>
      </x:c>
      <x:c r="D18" s="13" t="str">
        <x:v>EARTHQUAKE</x:v>
      </x:c>
      <x:c r="E18" s="14" t="n">
        <x:v>0.9952129125595093</x:v>
      </x:c>
      <x:c r="F18" s="15" t="str">
        <x:f>IF(E18&lt;0.95,"Ya","Tidak")</x:f>
        <x:v>Tidak</x:v>
      </x:c>
      <x:c r="G18" s="13" t="str">
        <x:v>bintang</x:v>
      </x:c>
      <x:c r="H18" s="13" t="str">
        <x:v>plain</x:v>
      </x:c>
      <x:c r="I18" s="13" t="str">
        <x:v>Pihak seorang penjaga dilengkapi dari korban meninggal yang eksplisit. Tidak menambah jumlah korban.</x:v>
      </x:c>
    </x:row>
    <x:row r="19" ht="72" customHeight="1">
      <x:c r="A19" s="2" t="str">
        <x:v>FINAL081-EARTHQUAKE-04</x:v>
      </x:c>
      <x:c r="B19" s="13" t="str">
        <x:v>Gempa dipicu pergeseran sesar di Desa Cempakawana Selatan siang tadi dan merusak dinding sekolah.</x:v>
      </x:c>
      <x:c r="C19" s="13" t="str">
        <x:v>EARTHQUAKE</x:v>
      </x:c>
      <x:c r="D19" s="13" t="str">
        <x:v>EARTHQUAKE</x:v>
      </x:c>
      <x:c r="E19" s="14" t="n">
        <x:v>0.9958263039588928</x:v>
      </x:c>
      <x:c r="F19" s="15" t="str">
        <x:f>IF(E19&lt;0.95,"Ya","Tidak")</x:f>
        <x:v>Tidak</x:v>
      </x:c>
      <x:c r="G19" s="13" t="str">
        <x:v>bintang</x:v>
      </x:c>
      <x:c r="H19" s="13" t="str">
        <x:v>cause</x:v>
      </x:c>
      <x:c r="I19" s="13" t="str">
        <x:v>Pergeseran sesar merupakan penyebab eksplisit. Tidak menambah korban atau field penyebab baru.</x:v>
      </x:c>
    </x:row>
    <x:row r="20" ht="72" customHeight="1">
      <x:c r="A20" s="2" t="str">
        <x:v>FINAL081-EARTHQUAKE-05</x:v>
      </x:c>
      <x:c r="B20" s="13" t="str">
        <x:v>Petugas BPBD tiba di Kelurahan Sumberasri Selatan sore ini setelah Gempa merusak dinding sekolah.</x:v>
      </x:c>
      <x:c r="C20" s="13" t="str">
        <x:v>EARTHQUAKE</x:v>
      </x:c>
      <x:c r="D20" s="13" t="str">
        <x:v>EARTHQUAKE</x:v>
      </x:c>
      <x:c r="E20" s="14" t="n">
        <x:v>0.9943497776985168</x:v>
      </x:c>
      <x:c r="F20" s="15" t="str">
        <x:f>IF(E20&lt;0.95,"Ya","Tidak")</x:f>
        <x:v>Tidak</x:v>
      </x:c>
      <x:c r="G20" s="13" t="str">
        <x:v>bintang</x:v>
      </x:c>
      <x:c r="H20" s="13" t="str">
        <x:v>plain</x:v>
      </x:c>
      <x:c r="I20" s="13" t="str">
        <x:v>Petugas BPBD adalah pihak. Sore ini disebut untuk kedatangannya, tanpa menyimpulkan tanggal kejadian.</x:v>
      </x:c>
    </x:row>
    <x:row r="21" ht="72" customHeight="1">
      <x:c r="A21" s="2" t="str">
        <x:v>FINAL081-EARTHQUAKE-06</x:v>
      </x:c>
      <x:c r="B21" s="13" t="str">
        <x:v>Gempa di Jalan Lembayung Selatan pukul sembilan merusak dinding sekolah; jalur tersebut sekarang ditutup.</x:v>
      </x:c>
      <x:c r="C21" s="13" t="str">
        <x:v>EARTHQUAKE</x:v>
      </x:c>
      <x:c r="D21" s="13" t="str">
        <x:v>EARTHQUAKE</x:v>
      </x:c>
      <x:c r="E21" s="14" t="n">
        <x:v>0.9960753321647644</x:v>
      </x:c>
      <x:c r="F21" s="15" t="str">
        <x:f>IF(E21&lt;0.95,"Ya","Tidak")</x:f>
        <x:v>Tidak</x:v>
      </x:c>
      <x:c r="G21" s="13" t="str">
        <x:v>bintang</x:v>
      </x:c>
      <x:c r="H21" s="13" t="str">
        <x:v>street</x:v>
      </x:c>
      <x:c r="I21" s="13" t="str">
        <x:v>Penutupan jalur dilengkapi pada dampak dan objek. Sekarang dilabeli TIME. Waktu utama tetap pukul sembilan.</x:v>
      </x:c>
    </x:row>
    <x:row r="22" ht="72" customHeight="1">
      <x:c r="A22" s="2" t="str">
        <x:v>FINAL081-EARTHQUAKE-07</x:v>
      </x:c>
      <x:c r="B22" s="13" t="str">
        <x:v>Gempa merusak dinding sekolah di Kampung Wanasetra Selatan malam ini; petugas memastikan tidak ada korban.</x:v>
      </x:c>
      <x:c r="C22" s="13" t="str">
        <x:v>EARTHQUAKE</x:v>
      </x:c>
      <x:c r="D22" s="13" t="str">
        <x:v>EARTHQUAKE</x:v>
      </x:c>
      <x:c r="E22" s="14" t="n">
        <x:v>0.9964455962181091</x:v>
      </x:c>
      <x:c r="F22" s="15" t="str">
        <x:f>IF(E22&lt;0.95,"Ya","Tidak")</x:f>
        <x:v>Tidak</x:v>
      </x:c>
      <x:c r="G22" s="13" t="str">
        <x:v>bintang</x:v>
      </x:c>
      <x:c r="H22" s="13" t="str">
        <x:v>local_negation</x:v>
      </x:c>
      <x:c r="I22" s="13" t="str">
        <x:v>Tidak ada korban adalah negasi. Korban tetap kosong dan frasa negasi tidak menjadi label korban positif.</x:v>
      </x:c>
    </x:row>
    <x:row r="23" ht="72" customHeight="1">
      <x:c r="A23" s="2" t="str">
        <x:v>FINAL081-EARTHQUAKE-08</x:v>
      </x:c>
      <x:c r="B23" s="13" t="str">
        <x:v>Di tengah latihan evakuasi, Gempa sungguhan merusak dinding sekolah di Desa Beringinwangi Selatan pagi tadi.</x:v>
      </x:c>
      <x:c r="C23" s="13" t="str">
        <x:v>EARTHQUAKE</x:v>
      </x:c>
      <x:c r="D23" s="13" t="str">
        <x:v>EARTHQUAKE</x:v>
      </x:c>
      <x:c r="E23" s="14" t="n">
        <x:v>0.9952091574668884</x:v>
      </x:c>
      <x:c r="F23" s="15" t="str">
        <x:f>IF(E23&lt;0.95,"Ya","Tidak")</x:f>
        <x:v>Tidak</x:v>
      </x:c>
      <x:c r="G23" s="13" t="str">
        <x:v>bintang</x:v>
      </x:c>
      <x:c r="H23" s="13" t="str">
        <x:v>real_during_exercise</x:v>
      </x:c>
      <x:c r="I23" s="13" t="str">
        <x:v>Di tengah latihan evakuasi dilabeli TIME. Kejadian dinyatakan sungguhan. Waktu utama tetap pagi tadi.</x:v>
      </x:c>
    </x:row>
    <x:row r="24" ht="72" customHeight="1">
      <x:c r="A24" s="2" t="str">
        <x:v>FINAL081-EARTHQUAKE-09</x:v>
      </x:c>
      <x:c r="B24" s="13" t="str">
        <x:v>Bukan sekadar kabar: Gempa benar-benar merusak dinding sekolah di Kelurahan Kartasena Selatan sore tadi.</x:v>
      </x:c>
      <x:c r="C24" s="13" t="str">
        <x:v>EARTHQUAKE</x:v>
      </x:c>
      <x:c r="D24" s="13" t="str">
        <x:v>EARTHQUAKE</x:v>
      </x:c>
      <x:c r="E24" s="14" t="n">
        <x:v>0.9946597218513489</x:v>
      </x:c>
      <x:c r="F24" s="15" t="str">
        <x:f>IF(E24&lt;0.95,"Ya","Tidak")</x:f>
        <x:v>Tidak</x:v>
      </x:c>
      <x:c r="G24" s="13" t="str">
        <x:v>bintang</x:v>
      </x:c>
      <x:c r="H24" s="13" t="str">
        <x:v>rumor_verified</x:v>
      </x:c>
      <x:c r="I24" s="13" t="str">
        <x:v>Bukan sekadar kabar menegaskan kejadian nyata, bukan menegasikan kejadian. Kategori dan pemicu dipertahankan.</x:v>
      </x:c>
    </x:row>
    <x:row r="25" ht="72" customHeight="1">
      <x:c r="A25" s="2" t="str">
        <x:v>FINAL081-EARTHQUAKE-10</x:v>
      </x:c>
      <x:c r="B25" s="13" t="str">
        <x:v>Rekaman ini bukan adegan film. Gempa merusak dinding sekolah di Kampung Harumjaya Selatan kemarin sore.</x:v>
      </x:c>
      <x:c r="C25" s="13" t="str">
        <x:v>EARTHQUAKE</x:v>
      </x:c>
      <x:c r="D25" s="13" t="str">
        <x:v>EARTHQUAKE</x:v>
      </x:c>
      <x:c r="E25" s="14" t="n">
        <x:v>0.9948967099189758</x:v>
      </x:c>
      <x:c r="F25" s="15" t="str">
        <x:f>IF(E25&lt;0.95,"Ya","Tidak")</x:f>
        <x:v>Tidak</x:v>
      </x:c>
      <x:c r="G25" s="13" t="str">
        <x:v>bintang</x:v>
      </x:c>
      <x:c r="H25" s="13" t="str">
        <x:v>fiction_denied</x:v>
      </x:c>
      <x:c r="I25" s="13" t="str">
        <x:v>Bukan adegan film menyangkal konteks fiksi. Kejadian berikutnya tetap dinyatakan nyata.</x:v>
      </x:c>
    </x:row>
    <x:row r="26" ht="72" customHeight="1">
      <x:c r="A26" s="2" t="str">
        <x:v>FINAL081-FIRE-01</x:v>
      </x:c>
      <x:c r="B26" s="13" t="str">
        <x:v>Menurut warga, Kebakaran menghanguskan satu warung di Desa Rimbakencana Barat subuh tadi.</x:v>
      </x:c>
      <x:c r="C26" s="13" t="str">
        <x:v>FIRE</x:v>
      </x:c>
      <x:c r="D26" s="13" t="str">
        <x:v>FIRE</x:v>
      </x:c>
      <x:c r="E26" s="14" t="n">
        <x:v>0.9950031638145447</x:v>
      </x:c>
      <x:c r="F26" s="15" t="str">
        <x:f>IF(E26&lt;0.95,"Ya","Tidak")</x:f>
        <x:v>Tidak</x:v>
      </x:c>
      <x:c r="G26" s="13" t="str">
        <x:v>bintang</x:v>
      </x:c>
      <x:c r="H26" s="13" t="str">
        <x:v>plain</x:v>
      </x:c>
      <x:c r="I26" s="13" t="str">
        <x:v>Warga dilengkapi sebagai pihak pelapor dan dilabeli OFFICER. Pernyataan tetap menyebut kejadian nyata.</x:v>
      </x:c>
    </x:row>
    <x:row r="27" ht="72" customHeight="1">
      <x:c r="A27" s="2" t="str">
        <x:v>FINAL081-FIRE-02</x:v>
      </x:c>
      <x:c r="B27" s="13" t="str">
        <x:v>Kebakaran menghanguskan satu warung di Kelurahan Banyumadu Barat pagi ini; dua warga luka ringan.</x:v>
      </x:c>
      <x:c r="C27" s="13" t="str">
        <x:v>FIRE</x:v>
      </x:c>
      <x:c r="D27" s="13" t="str">
        <x:v>FIRE</x:v>
      </x:c>
      <x:c r="E27" s="14" t="n">
        <x:v>0.995151162147522</x:v>
      </x:c>
      <x:c r="F27" s="15" t="str">
        <x:f>IF(E27&lt;0.95,"Ya","Tidak")</x:f>
        <x:v>Tidak</x:v>
      </x:c>
      <x:c r="G27" s="13" t="str">
        <x:v>bintang</x:v>
      </x:c>
      <x:c r="H27" s="13" t="str">
        <x:v>plain</x:v>
      </x:c>
      <x:c r="I27" s="13" t="str">
        <x:v>Pihak dua warga dilengkapi dari korban eksplisit. Seluruh frasa korban tetap satu span WOUND.</x:v>
      </x:c>
    </x:row>
    <x:row r="28" ht="72" customHeight="1">
      <x:c r="A28" s="2" t="str">
        <x:v>FINAL081-FIRE-03</x:v>
      </x:c>
      <x:c r="B28" s="13" t="str">
        <x:v>Kebakaran menghanguskan satu warung di Kampung Tirtajaya Barat tadi malam; seorang penjaga meninggal.</x:v>
      </x:c>
      <x:c r="C28" s="13" t="str">
        <x:v>FIRE</x:v>
      </x:c>
      <x:c r="D28" s="13" t="str">
        <x:v>FIRE</x:v>
      </x:c>
      <x:c r="E28" s="14" t="n">
        <x:v>0.9955535531044006</x:v>
      </x:c>
      <x:c r="F28" s="15" t="str">
        <x:f>IF(E28&lt;0.95,"Ya","Tidak")</x:f>
        <x:v>Tidak</x:v>
      </x:c>
      <x:c r="G28" s="13" t="str">
        <x:v>bintang</x:v>
      </x:c>
      <x:c r="H28" s="13" t="str">
        <x:v>plain</x:v>
      </x:c>
      <x:c r="I28" s="13" t="str">
        <x:v>Pihak seorang penjaga dilengkapi dari korban meninggal yang eksplisit. Tidak menambah jumlah korban.</x:v>
      </x:c>
    </x:row>
    <x:row r="29" ht="72" customHeight="1">
      <x:c r="A29" s="2" t="str">
        <x:v>FINAL081-FIRE-04</x:v>
      </x:c>
      <x:c r="B29" s="13" t="str">
        <x:v>Kebakaran dipicu korsleting listrik di Desa Cempakawana Barat siang tadi dan menghanguskan satu warung.</x:v>
      </x:c>
      <x:c r="C29" s="13" t="str">
        <x:v>FIRE</x:v>
      </x:c>
      <x:c r="D29" s="13" t="str">
        <x:v>FIRE</x:v>
      </x:c>
      <x:c r="E29" s="14" t="n">
        <x:v>0.9959319233894348</x:v>
      </x:c>
      <x:c r="F29" s="15" t="str">
        <x:f>IF(E29&lt;0.95,"Ya","Tidak")</x:f>
        <x:v>Tidak</x:v>
      </x:c>
      <x:c r="G29" s="13" t="str">
        <x:v>bintang</x:v>
      </x:c>
      <x:c r="H29" s="13" t="str">
        <x:v>cause</x:v>
      </x:c>
      <x:c r="I29" s="13" t="str">
        <x:v>Korsleting listrik merupakan penyebab eksplisit. Tidak menambah korban atau field penyebab baru.</x:v>
      </x:c>
    </x:row>
    <x:row r="30" ht="72" customHeight="1">
      <x:c r="A30" s="2" t="str">
        <x:v>FINAL081-FIRE-05</x:v>
      </x:c>
      <x:c r="B30" s="13" t="str">
        <x:v>Petugas BPBD tiba di Kelurahan Sumberasri Barat sore ini setelah Kebakaran menghanguskan satu warung.</x:v>
      </x:c>
      <x:c r="C30" s="13" t="str">
        <x:v>FIRE</x:v>
      </x:c>
      <x:c r="D30" s="13" t="str">
        <x:v>FIRE</x:v>
      </x:c>
      <x:c r="E30" s="14" t="n">
        <x:v>0.9950413107872009</x:v>
      </x:c>
      <x:c r="F30" s="15" t="str">
        <x:f>IF(E30&lt;0.95,"Ya","Tidak")</x:f>
        <x:v>Tidak</x:v>
      </x:c>
      <x:c r="G30" s="13" t="str">
        <x:v>bintang</x:v>
      </x:c>
      <x:c r="H30" s="13" t="str">
        <x:v>plain</x:v>
      </x:c>
      <x:c r="I30" s="13" t="str">
        <x:v>Petugas BPBD adalah pihak. Sore ini disebut untuk kedatangannya, tanpa menyimpulkan tanggal kejadian.</x:v>
      </x:c>
    </x:row>
    <x:row r="31" ht="72" customHeight="1">
      <x:c r="A31" s="2" t="str">
        <x:v>FINAL081-FIRE-06</x:v>
      </x:c>
      <x:c r="B31" s="13" t="str">
        <x:v>Kebakaran di Jalan Lembayung Barat pukul sembilan menghanguskan satu warung; jalur tersebut sekarang ditutup.</x:v>
      </x:c>
      <x:c r="C31" s="13" t="str">
        <x:v>FIRE</x:v>
      </x:c>
      <x:c r="D31" s="13" t="str">
        <x:v>FIRE</x:v>
      </x:c>
      <x:c r="E31" s="14" t="n">
        <x:v>0.9958702921867371</x:v>
      </x:c>
      <x:c r="F31" s="15" t="str">
        <x:f>IF(E31&lt;0.95,"Ya","Tidak")</x:f>
        <x:v>Tidak</x:v>
      </x:c>
      <x:c r="G31" s="13" t="str">
        <x:v>bintang</x:v>
      </x:c>
      <x:c r="H31" s="13" t="str">
        <x:v>street</x:v>
      </x:c>
      <x:c r="I31" s="13" t="str">
        <x:v>Penutupan jalur dilengkapi pada dampak dan objek. Sekarang dilabeli TIME. Waktu utama tetap pukul sembilan.</x:v>
      </x:c>
    </x:row>
    <x:row r="32" ht="72" customHeight="1">
      <x:c r="A32" s="2" t="str">
        <x:v>FINAL081-FIRE-07</x:v>
      </x:c>
      <x:c r="B32" s="13" t="str">
        <x:v>Kebakaran menghanguskan satu warung di Kampung Wanasetra Barat malam ini; petugas memastikan tidak ada korban.</x:v>
      </x:c>
      <x:c r="C32" s="13" t="str">
        <x:v>FIRE</x:v>
      </x:c>
      <x:c r="D32" s="13" t="str">
        <x:v>FIRE</x:v>
      </x:c>
      <x:c r="E32" s="14" t="n">
        <x:v>0.9952170848846436</x:v>
      </x:c>
      <x:c r="F32" s="15" t="str">
        <x:f>IF(E32&lt;0.95,"Ya","Tidak")</x:f>
        <x:v>Tidak</x:v>
      </x:c>
      <x:c r="G32" s="13" t="str">
        <x:v>bintang</x:v>
      </x:c>
      <x:c r="H32" s="13" t="str">
        <x:v>local_negation</x:v>
      </x:c>
      <x:c r="I32" s="13" t="str">
        <x:v>Tidak ada korban adalah negasi. Korban tetap kosong dan frasa negasi tidak menjadi label korban positif.</x:v>
      </x:c>
    </x:row>
    <x:row r="33" ht="72" customHeight="1">
      <x:c r="A33" s="2" t="str">
        <x:v>FINAL081-FIRE-08</x:v>
      </x:c>
      <x:c r="B33" s="13" t="str">
        <x:v>Di tengah latihan evakuasi, Kebakaran sungguhan menghanguskan satu warung di Desa Beringinwangi Barat pagi tadi.</x:v>
      </x:c>
      <x:c r="C33" s="13" t="str">
        <x:v>FIRE</x:v>
      </x:c>
      <x:c r="D33" s="13" t="str">
        <x:v>FIRE</x:v>
      </x:c>
      <x:c r="E33" s="14" t="n">
        <x:v>0.9950551986694336</x:v>
      </x:c>
      <x:c r="F33" s="15" t="str">
        <x:f>IF(E33&lt;0.95,"Ya","Tidak")</x:f>
        <x:v>Tidak</x:v>
      </x:c>
      <x:c r="G33" s="13" t="str">
        <x:v>bintang</x:v>
      </x:c>
      <x:c r="H33" s="13" t="str">
        <x:v>real_during_exercise</x:v>
      </x:c>
      <x:c r="I33" s="13" t="str">
        <x:v>Di tengah latihan evakuasi dilabeli TIME. Kejadian dinyatakan sungguhan. Waktu utama tetap pagi tadi.</x:v>
      </x:c>
    </x:row>
    <x:row r="34" ht="72" customHeight="1">
      <x:c r="A34" s="2" t="str">
        <x:v>FINAL081-FIRE-09</x:v>
      </x:c>
      <x:c r="B34" s="13" t="str">
        <x:v>Bukan sekadar kabar: Kebakaran benar-benar menghanguskan satu warung di Kelurahan Kartasena Barat sore tadi.</x:v>
      </x:c>
      <x:c r="C34" s="13" t="str">
        <x:v>FIRE</x:v>
      </x:c>
      <x:c r="D34" s="13" t="str">
        <x:v>FIRE</x:v>
      </x:c>
      <x:c r="E34" s="14" t="n">
        <x:v>0.994392991065979</x:v>
      </x:c>
      <x:c r="F34" s="15" t="str">
        <x:f>IF(E34&lt;0.95,"Ya","Tidak")</x:f>
        <x:v>Tidak</x:v>
      </x:c>
      <x:c r="G34" s="13" t="str">
        <x:v>bintang</x:v>
      </x:c>
      <x:c r="H34" s="13" t="str">
        <x:v>rumor_verified</x:v>
      </x:c>
      <x:c r="I34" s="13" t="str">
        <x:v>Bukan sekadar kabar menegaskan kejadian nyata, bukan menegasikan kejadian. Kategori dan pemicu dipertahankan.</x:v>
      </x:c>
    </x:row>
    <x:row r="35" ht="72" customHeight="1">
      <x:c r="A35" s="2" t="str">
        <x:v>FINAL081-FIRE-10</x:v>
      </x:c>
      <x:c r="B35" s="13" t="str">
        <x:v>Rekaman ini bukan adegan film. Kebakaran menghanguskan satu warung di Kampung Harumjaya Barat kemarin sore.</x:v>
      </x:c>
      <x:c r="C35" s="13" t="str">
        <x:v>FIRE</x:v>
      </x:c>
      <x:c r="D35" s="13" t="str">
        <x:v>FIRE</x:v>
      </x:c>
      <x:c r="E35" s="14" t="n">
        <x:v>0.9936313033103943</x:v>
      </x:c>
      <x:c r="F35" s="15" t="str">
        <x:f>IF(E35&lt;0.95,"Ya","Tidak")</x:f>
        <x:v>Tidak</x:v>
      </x:c>
      <x:c r="G35" s="13" t="str">
        <x:v>bintang</x:v>
      </x:c>
      <x:c r="H35" s="13" t="str">
        <x:v>fiction_denied</x:v>
      </x:c>
      <x:c r="I35" s="13" t="str">
        <x:v>Bukan adegan film menyangkal konteks fiksi. Kejadian berikutnya tetap dinyatakan nyata.</x:v>
      </x:c>
    </x:row>
    <x:row r="36" ht="72" customHeight="1">
      <x:c r="A36" s="2" t="str">
        <x:v>FINAL081-ACCIDENT-01</x:v>
      </x:c>
      <x:c r="B36" s="13" t="str">
        <x:v>Menurut warga, Kecelakaan merusak dua sepeda motor di Desa Rimbakencana Tengah subuh tadi.</x:v>
      </x:c>
      <x:c r="C36" s="13" t="str">
        <x:v>ACCIDENT</x:v>
      </x:c>
      <x:c r="D36" s="13" t="str">
        <x:v>ACCIDENT</x:v>
      </x:c>
      <x:c r="E36" s="14" t="n">
        <x:v>0.9869062304496765</x:v>
      </x:c>
      <x:c r="F36" s="15" t="str">
        <x:f>IF(E36&lt;0.95,"Ya","Tidak")</x:f>
        <x:v>Tidak</x:v>
      </x:c>
      <x:c r="G36" s="13" t="str">
        <x:v>bintang</x:v>
      </x:c>
      <x:c r="H36" s="13" t="str">
        <x:v>plain</x:v>
      </x:c>
      <x:c r="I36" s="13" t="str">
        <x:v>Warga dilengkapi sebagai pihak pelapor dan dilabeli OFFICER. Pernyataan tetap menyebut kejadian nyata.</x:v>
      </x:c>
    </x:row>
    <x:row r="37" ht="72" customHeight="1">
      <x:c r="A37" s="2" t="str">
        <x:v>FINAL081-ACCIDENT-02</x:v>
      </x:c>
      <x:c r="B37" s="13" t="str">
        <x:v>Kecelakaan merusak dua sepeda motor di Kelurahan Banyumadu Tengah pagi ini; dua warga luka ringan.</x:v>
      </x:c>
      <x:c r="C37" s="13" t="str">
        <x:v>ACCIDENT</x:v>
      </x:c>
      <x:c r="D37" s="13" t="str">
        <x:v>ACCIDENT</x:v>
      </x:c>
      <x:c r="E37" s="14" t="n">
        <x:v>0.9935446977615356</x:v>
      </x:c>
      <x:c r="F37" s="15" t="str">
        <x:f>IF(E37&lt;0.95,"Ya","Tidak")</x:f>
        <x:v>Tidak</x:v>
      </x:c>
      <x:c r="G37" s="13" t="str">
        <x:v>bintang</x:v>
      </x:c>
      <x:c r="H37" s="13" t="str">
        <x:v>plain</x:v>
      </x:c>
      <x:c r="I37" s="13" t="str">
        <x:v>Pihak dua warga dilengkapi dari korban eksplisit. Seluruh frasa korban tetap satu span WOUND.</x:v>
      </x:c>
    </x:row>
    <x:row r="38" ht="72" customHeight="1">
      <x:c r="A38" s="2" t="str">
        <x:v>FINAL081-ACCIDENT-03</x:v>
      </x:c>
      <x:c r="B38" s="13" t="str">
        <x:v>Kecelakaan merusak dua sepeda motor di Kampung Tirtajaya Tengah tadi malam; seorang penjaga meninggal.</x:v>
      </x:c>
      <x:c r="C38" s="13" t="str">
        <x:v>ACCIDENT</x:v>
      </x:c>
      <x:c r="D38" s="13" t="str">
        <x:v>ACCIDENT</x:v>
      </x:c>
      <x:c r="E38" s="14" t="n">
        <x:v>0.9943932294845581</x:v>
      </x:c>
      <x:c r="F38" s="15" t="str">
        <x:f>IF(E38&lt;0.95,"Ya","Tidak")</x:f>
        <x:v>Tidak</x:v>
      </x:c>
      <x:c r="G38" s="13" t="str">
        <x:v>bintang</x:v>
      </x:c>
      <x:c r="H38" s="13" t="str">
        <x:v>plain</x:v>
      </x:c>
      <x:c r="I38" s="13" t="str">
        <x:v>Pihak seorang penjaga dilengkapi dari korban meninggal yang eksplisit. Tidak menambah jumlah korban.</x:v>
      </x:c>
    </x:row>
    <x:row r="39" ht="72" customHeight="1">
      <x:c r="A39" s="2" t="str">
        <x:v>FINAL081-ACCIDENT-04</x:v>
      </x:c>
      <x:c r="B39" s="13" t="str">
        <x:v>Kecelakaan dipicu rem blong di Desa Cempakawana Tengah siang tadi dan merusak dua sepeda motor.</x:v>
      </x:c>
      <x:c r="C39" s="13" t="str">
        <x:v>ACCIDENT</x:v>
      </x:c>
      <x:c r="D39" s="13" t="str">
        <x:v>ACCIDENT</x:v>
      </x:c>
      <x:c r="E39" s="14" t="n">
        <x:v>0.9940189123153687</x:v>
      </x:c>
      <x:c r="F39" s="15" t="str">
        <x:f>IF(E39&lt;0.95,"Ya","Tidak")</x:f>
        <x:v>Tidak</x:v>
      </x:c>
      <x:c r="G39" s="13" t="str">
        <x:v>bintang</x:v>
      </x:c>
      <x:c r="H39" s="13" t="str">
        <x:v>cause</x:v>
      </x:c>
      <x:c r="I39" s="13" t="str">
        <x:v>Rem blong merupakan penyebab eksplisit. Tidak menambah korban atau field penyebab baru.</x:v>
      </x:c>
    </x:row>
    <x:row r="40" ht="72" customHeight="1">
      <x:c r="A40" s="2" t="str">
        <x:v>FINAL081-ACCIDENT-05</x:v>
      </x:c>
      <x:c r="B40" s="13" t="str">
        <x:v>Petugas BPBD tiba di Kelurahan Sumberasri Tengah sore ini setelah Kecelakaan merusak dua sepeda motor.</x:v>
      </x:c>
      <x:c r="C40" s="13" t="str">
        <x:v>ACCIDENT</x:v>
      </x:c>
      <x:c r="D40" s="13" t="str">
        <x:v>ACCIDENT</x:v>
      </x:c>
      <x:c r="E40" s="14" t="n">
        <x:v>0.9941678047180176</x:v>
      </x:c>
      <x:c r="F40" s="15" t="str">
        <x:f>IF(E40&lt;0.95,"Ya","Tidak")</x:f>
        <x:v>Tidak</x:v>
      </x:c>
      <x:c r="G40" s="13" t="str">
        <x:v>bintang</x:v>
      </x:c>
      <x:c r="H40" s="13" t="str">
        <x:v>plain</x:v>
      </x:c>
      <x:c r="I40" s="13" t="str">
        <x:v>Petugas BPBD adalah pihak. Sore ini disebut untuk kedatangannya, tanpa menyimpulkan tanggal kejadian.</x:v>
      </x:c>
    </x:row>
    <x:row r="41" ht="72" customHeight="1">
      <x:c r="A41" s="2" t="str">
        <x:v>FINAL081-ACCIDENT-06</x:v>
      </x:c>
      <x:c r="B41" s="13" t="str">
        <x:v>Kecelakaan di Jalan Lembayung Tengah pukul sembilan merusak dua sepeda motor; jalur tersebut sekarang ditutup.</x:v>
      </x:c>
      <x:c r="C41" s="13" t="str">
        <x:v>ACCIDENT</x:v>
      </x:c>
      <x:c r="D41" s="13" t="str">
        <x:v>ACCIDENT</x:v>
      </x:c>
      <x:c r="E41" s="14" t="n">
        <x:v>0.9935021996498108</x:v>
      </x:c>
      <x:c r="F41" s="15" t="str">
        <x:f>IF(E41&lt;0.95,"Ya","Tidak")</x:f>
        <x:v>Tidak</x:v>
      </x:c>
      <x:c r="G41" s="13" t="str">
        <x:v>bintang</x:v>
      </x:c>
      <x:c r="H41" s="13" t="str">
        <x:v>street</x:v>
      </x:c>
      <x:c r="I41" s="13" t="str">
        <x:v>Penutupan jalur dilengkapi pada dampak dan objek. Sekarang dilabeli TIME. Waktu utama tetap pukul sembilan.</x:v>
      </x:c>
    </x:row>
    <x:row r="42" ht="72" customHeight="1">
      <x:c r="A42" s="2" t="str">
        <x:v>FINAL081-ACCIDENT-07</x:v>
      </x:c>
      <x:c r="B42" s="13" t="str">
        <x:v>Kecelakaan merusak dua sepeda motor di Kampung Wanasetra Tengah malam ini; petugas memastikan tidak ada korban.</x:v>
      </x:c>
      <x:c r="C42" s="13" t="str">
        <x:v>ACCIDENT</x:v>
      </x:c>
      <x:c r="D42" s="13" t="str">
        <x:v>ACCIDENT</x:v>
      </x:c>
      <x:c r="E42" s="14" t="n">
        <x:v>0.9892932176589966</x:v>
      </x:c>
      <x:c r="F42" s="15" t="str">
        <x:f>IF(E42&lt;0.95,"Ya","Tidak")</x:f>
        <x:v>Tidak</x:v>
      </x:c>
      <x:c r="G42" s="13" t="str">
        <x:v>bintang</x:v>
      </x:c>
      <x:c r="H42" s="13" t="str">
        <x:v>local_negation</x:v>
      </x:c>
      <x:c r="I42" s="13" t="str">
        <x:v>Tidak ada korban adalah negasi. Korban tetap kosong dan frasa negasi tidak menjadi label korban positif.</x:v>
      </x:c>
    </x:row>
    <x:row r="43" ht="72" customHeight="1">
      <x:c r="A43" s="2" t="str">
        <x:v>FINAL081-ACCIDENT-08</x:v>
      </x:c>
      <x:c r="B43" s="13" t="str">
        <x:v>Di tengah latihan evakuasi, Kecelakaan sungguhan merusak dua sepeda motor di Desa Beringinwangi Tengah pagi tadi.</x:v>
      </x:c>
      <x:c r="C43" s="13" t="str">
        <x:v>ACCIDENT</x:v>
      </x:c>
      <x:c r="D43" s="13" t="str">
        <x:v>ACCIDENT</x:v>
      </x:c>
      <x:c r="E43" s="14" t="n">
        <x:v>0.9947294592857361</x:v>
      </x:c>
      <x:c r="F43" s="15" t="str">
        <x:f>IF(E43&lt;0.95,"Ya","Tidak")</x:f>
        <x:v>Tidak</x:v>
      </x:c>
      <x:c r="G43" s="13" t="str">
        <x:v>bintang</x:v>
      </x:c>
      <x:c r="H43" s="13" t="str">
        <x:v>real_during_exercise</x:v>
      </x:c>
      <x:c r="I43" s="13" t="str">
        <x:v>Di tengah latihan evakuasi dilabeli TIME. Kejadian dinyatakan sungguhan. Waktu utama tetap pagi tadi.</x:v>
      </x:c>
    </x:row>
    <x:row r="44" ht="72" customHeight="1">
      <x:c r="A44" s="2" t="str">
        <x:v>FINAL081-ACCIDENT-09</x:v>
      </x:c>
      <x:c r="B44" s="13" t="str">
        <x:v>Bukan sekadar kabar: Kecelakaan benar-benar merusak dua sepeda motor di Kelurahan Kartasena Tengah sore tadi.</x:v>
      </x:c>
      <x:c r="C44" s="13" t="str">
        <x:v>ACCIDENT</x:v>
      </x:c>
      <x:c r="D44" s="13" t="str">
        <x:v>ACCIDENT</x:v>
      </x:c>
      <x:c r="E44" s="14" t="n">
        <x:v>0.9942383766174316</x:v>
      </x:c>
      <x:c r="F44" s="15" t="str">
        <x:f>IF(E44&lt;0.95,"Ya","Tidak")</x:f>
        <x:v>Tidak</x:v>
      </x:c>
      <x:c r="G44" s="13" t="str">
        <x:v>bintang</x:v>
      </x:c>
      <x:c r="H44" s="13" t="str">
        <x:v>rumor_verified</x:v>
      </x:c>
      <x:c r="I44" s="13" t="str">
        <x:v>Bukan sekadar kabar menegaskan kejadian nyata, bukan menegasikan kejadian. Kategori dan pemicu dipertahankan.</x:v>
      </x:c>
    </x:row>
    <x:row r="45" ht="72" customHeight="1">
      <x:c r="A45" s="2" t="str">
        <x:v>FINAL081-ACCIDENT-10</x:v>
      </x:c>
      <x:c r="B45" s="13" t="str">
        <x:v>Rekaman ini bukan adegan film. Kecelakaan merusak dua sepeda motor di Kampung Harumjaya Tengah kemarin sore.</x:v>
      </x:c>
      <x:c r="C45" s="13" t="str">
        <x:v>ACCIDENT</x:v>
      </x:c>
      <x:c r="D45" s="13" t="str">
        <x:v>ACCIDENT</x:v>
      </x:c>
      <x:c r="E45" s="14" t="n">
        <x:v>0.990773618221283</x:v>
      </x:c>
      <x:c r="F45" s="15" t="str">
        <x:f>IF(E45&lt;0.95,"Ya","Tidak")</x:f>
        <x:v>Tidak</x:v>
      </x:c>
      <x:c r="G45" s="13" t="str">
        <x:v>bintang</x:v>
      </x:c>
      <x:c r="H45" s="13" t="str">
        <x:v>fiction_denied</x:v>
      </x:c>
      <x:c r="I45" s="13" t="str">
        <x:v>Bukan adegan film menyangkal konteks fiksi. Kejadian berikutnya tetap dinyatakan nyata.</x:v>
      </x:c>
    </x:row>
    <x:row r="46" ht="72" customHeight="1">
      <x:c r="A46" s="2" t="str">
        <x:v>FINAL081-NON_EVENT-01</x:v>
      </x:c>
      <x:c r="B46" s="13" t="str">
        <x:v>Petugas BPBD menggelar simulasi kebakaran di lapangan Kalimurni sore ini.</x:v>
      </x:c>
      <x:c r="C46" s="13" t="str">
        <x:v>NON_EVENT</x:v>
      </x:c>
      <x:c r="D46" s="13" t="str">
        <x:v>NON_EVENT</x:v>
      </x:c>
      <x:c r="E46" s="14" t="n">
        <x:v>0.8459794521331787</x:v>
      </x:c>
      <x:c r="F46" s="15" t="str">
        <x:f>IF(E46&lt;0.95,"Ya","Tidak")</x:f>
        <x:v>Ya</x:v>
      </x:c>
      <x:c r="G46" s="13" t="str">
        <x:v>bintang</x:v>
      </x:c>
      <x:c r="H46" s="13" t="str">
        <x:v>simulation</x:v>
      </x:c>
      <x:c r="I46" s="13" t="str">
        <x:v>Simulasi kebakaran, bukan kebakaran nyata. Lokasi, waktu dan pihak kegiatan dipertahankan.</x:v>
      </x:c>
    </x:row>
    <x:row r="47" ht="72" customHeight="1">
      <x:c r="A47" s="2" t="str">
        <x:v>FINAL081-NON_EVENT-02</x:v>
      </x:c>
      <x:c r="B47" s="13" t="str">
        <x:v>Latihan penanganan kecelakaan diselenggarakan di balai pelatihan Puspasari pagi ini.</x:v>
      </x:c>
      <x:c r="C47" s="13" t="str">
        <x:v>NON_EVENT</x:v>
      </x:c>
      <x:c r="D47" s="13" t="str">
        <x:v>NON_EVENT</x:v>
      </x:c>
      <x:c r="E47" s="14" t="n">
        <x:v>0.9999964237213135</x:v>
      </x:c>
      <x:c r="F47" s="15" t="str">
        <x:f>IF(E47&lt;0.95,"Ya","Tidak")</x:f>
        <x:v>Tidak</x:v>
      </x:c>
      <x:c r="G47" s="13" t="str">
        <x:v>bintang</x:v>
      </x:c>
      <x:c r="H47" s="13" t="str">
        <x:v>exercise_only</x:v>
      </x:c>
      <x:c r="I47" s="13" t="str">
        <x:v>Latihan penanganan, bukan laporan kecelakaan. Tidak menebak penyelenggara atau korban.</x:v>
      </x:c>
    </x:row>
    <x:row r="48" ht="72" customHeight="1">
      <x:c r="A48" s="2" t="str">
        <x:v>FINAL081-NON_EVENT-03</x:v>
      </x:c>
      <x:c r="B48" s="13" t="str">
        <x:v>Besok ada prakiraan potensi banjir di Kelurahan Cendana Baru.</x:v>
      </x:c>
      <x:c r="C48" s="13" t="str">
        <x:v>NON_EVENT</x:v>
      </x:c>
      <x:c r="D48" s="13" t="str">
        <x:v>NON_EVENT</x:v>
      </x:c>
      <x:c r="E48" s="14" t="n">
        <x:v>0.9999898672103882</x:v>
      </x:c>
      <x:c r="F48" s="15" t="str">
        <x:f>IF(E48&lt;0.95,"Ya","Tidak")</x:f>
        <x:v>Tidak</x:v>
      </x:c>
      <x:c r="G48" s="13" t="str">
        <x:v>bintang</x:v>
      </x:c>
      <x:c r="H48" s="13" t="str">
        <x:v>forecast</x:v>
      </x:c>
      <x:c r="I48" s="13" t="str">
        <x:v>Prakiraan potensi banjir, bukan kejadian yang dinyatakan terjadi. Besok tetap waktu relatif literal.</x:v>
      </x:c>
    </x:row>
    <x:row r="49" ht="72" customHeight="1">
      <x:c r="A49" s="2" t="str">
        <x:v>FINAL081-NON_EVENT-04</x:v>
      </x:c>
      <x:c r="B49" s="13" t="str">
        <x:v>Petugas memastikan tidak terjadi gempa di Desa Lazuardi siang tadi.</x:v>
      </x:c>
      <x:c r="C49" s="13" t="str">
        <x:v>NON_EVENT</x:v>
      </x:c>
      <x:c r="D49" s="13" t="str">
        <x:v>NON_EVENT</x:v>
      </x:c>
      <x:c r="E49" s="14" t="n">
        <x:v>0.9999599456787109</x:v>
      </x:c>
      <x:c r="F49" s="15" t="str">
        <x:f>IF(E49&lt;0.95,"Ya","Tidak")</x:f>
        <x:v>Tidak</x:v>
      </x:c>
      <x:c r="G49" s="13" t="str">
        <x:v>bintang</x:v>
      </x:c>
      <x:c r="H49" s="13" t="str">
        <x:v>denial</x:v>
      </x:c>
      <x:c r="I49" s="13" t="str">
        <x:v>Tidak terjadi gempa adalah negasi kejadian. Pemicu tetap FALSE-EVENT dan tidak ditambahkan dampak.</x:v>
      </x:c>
    </x:row>
    <x:row r="50" ht="72" customHeight="1">
      <x:c r="A50" s="2" t="str">
        <x:v>FINAL081-NON_EVENT-05</x:v>
      </x:c>
      <x:c r="B50" s="13" t="str">
        <x:v>Unggahan toko itu menulis banjir pesanan sejak pagi tadi.</x:v>
      </x:c>
      <x:c r="C50" s="13" t="str">
        <x:v>NON_EVENT</x:v>
      </x:c>
      <x:c r="D50" s="13" t="str">
        <x:v>NON_EVENT</x:v>
      </x:c>
      <x:c r="E50" s="14" t="n">
        <x:v>0.9999606609344482</x:v>
      </x:c>
      <x:c r="F50" s="15" t="str">
        <x:f>IF(E50&lt;0.95,"Ya","Tidak")</x:f>
        <x:v>Tidak</x:v>
      </x:c>
      <x:c r="G50" s="13" t="str">
        <x:v>bintang</x:v>
      </x:c>
      <x:c r="H50" s="13" t="str">
        <x:v>metaphor</x:v>
      </x:c>
      <x:c r="I50" s="13" t="str">
        <x:v>Toko itu adalah pihak pengunggah. Frasa waktu dilengkapi sejak pagi tadi. Banjir pesanan adalah metafora.</x:v>
      </x:c>
    </x:row>
    <x:row r="51" ht="72" customHeight="1">
      <x:c r="A51" s="2" t="str">
        <x:v>FINAL081-NON_EVENT-06</x:v>
      </x:c>
      <x:c r="B51" s="13" t="str">
        <x:v>Tim kelurahan menyiapkan jalur evakuasi untuk mengantisipasi banjir di Kampung Manggala.</x:v>
      </x:c>
      <x:c r="C51" s="13" t="str">
        <x:v>NON_EVENT</x:v>
      </x:c>
      <x:c r="D51" s="13" t="str">
        <x:v>NON_EVENT</x:v>
      </x:c>
      <x:c r="E51" s="14" t="n">
        <x:v>0.9356134533882141</x:v>
      </x:c>
      <x:c r="F51" s="15" t="str">
        <x:f>IF(E51&lt;0.95,"Ya","Tidak")</x:f>
        <x:v>Ya</x:v>
      </x:c>
      <x:c r="G51" s="13" t="str">
        <x:v>bintang</x:v>
      </x:c>
      <x:c r="H51" s="13" t="str">
        <x:v>prevention</x:v>
      </x:c>
      <x:c r="I51" s="13" t="str">
        <x:v>Persiapan mengantisipasi banjir tidak menyatakan banjir telah terjadi. Jalur evakuasi bukan objek rusak.</x:v>
      </x:c>
    </x:row>
    <x:row r="52" ht="72" customHeight="1">
      <x:c r="A52" s="2" t="str">
        <x:v>FINAL081-NON_EVENT-07</x:v>
      </x:c>
      <x:c r="B52" s="13" t="str">
        <x:v>Buku keselamatan menjelaskan cara menghindari kebakaran akibat kompor bocor.</x:v>
      </x:c>
      <x:c r="C52" s="13" t="str">
        <x:v>NON_EVENT</x:v>
      </x:c>
      <x:c r="D52" s="13" t="str">
        <x:v>NON_EVENT</x:v>
      </x:c>
      <x:c r="E52" s="14" t="n">
        <x:v>0.9999313354492188</x:v>
      </x:c>
      <x:c r="F52" s="15" t="str">
        <x:f>IF(E52&lt;0.95,"Ya","Tidak")</x:f>
        <x:v>Tidak</x:v>
      </x:c>
      <x:c r="G52" s="13" t="str">
        <x:v>bintang</x:v>
      </x:c>
      <x:c r="H52" s="13" t="str">
        <x:v>education</x:v>
      </x:c>
      <x:c r="I52" s="13" t="str">
        <x:v>Kompor bocor dilabeli REASON karena sebab disebut eksplisit. Konteks buku tetap edukasi, bukan kejadian tertentu.</x:v>
      </x:c>
    </x:row>
    <x:row r="53" ht="72" customHeight="1">
      <x:c r="A53" s="2" t="str">
        <x:v>FINAL081-NON_EVENT-08</x:v>
      </x:c>
      <x:c r="B53" s="13" t="str">
        <x:v>Artikel itu membahas sepuluh kecelakaan terburuk sepanjang dekade, tanpa laporan kejadian tertentu.</x:v>
      </x:c>
      <x:c r="C53" s="13" t="str">
        <x:v>NON_EVENT</x:v>
      </x:c>
      <x:c r="D53" s="13" t="str">
        <x:v>NON_EVENT</x:v>
      </x:c>
      <x:c r="E53" s="14" t="n">
        <x:v>0.9999923706054688</x:v>
      </x:c>
      <x:c r="F53" s="15" t="str">
        <x:f>IF(E53&lt;0.95,"Ya","Tidak")</x:f>
        <x:v>Tidak</x:v>
      </x:c>
      <x:c r="G53" s="13" t="str">
        <x:v>bintang</x:v>
      </x:c>
      <x:c r="H53" s="13" t="str">
        <x:v>statistics</x:v>
      </x:c>
      <x:c r="I53" s="13" t="str">
        <x:v>Sepanjang dekade adalah rentang waktu literal. Pembahasan kumpulan historis tetap NON_EVENT, tanpa menebak tahun.</x:v>
      </x:c>
    </x:row>
    <x:row r="54" ht="72" customHeight="1">
      <x:c r="A54" s="2" t="str">
        <x:v>FINAL081-NON_EVENT-09</x:v>
      </x:c>
      <x:c r="B54" s="13" t="str">
        <x:v>Panitia membuka donasi tahunan untuk para penyintas gempa dan banjir dari beberapa tahun berbeda.</x:v>
      </x:c>
      <x:c r="C54" s="13" t="str">
        <x:v>NON_EVENT</x:v>
      </x:c>
      <x:c r="D54" s="13" t="str">
        <x:v>NON_EVENT</x:v>
      </x:c>
      <x:c r="E54" s="14" t="n">
        <x:v>0.9949831962585449</x:v>
      </x:c>
      <x:c r="F54" s="15" t="str">
        <x:f>IF(E54&lt;0.95,"Ya","Tidak")</x:f>
        <x:v>Tidak</x:v>
      </x:c>
      <x:c r="G54" s="13" t="str">
        <x:v>bintang</x:v>
      </x:c>
      <x:c r="H54" s="13" t="str">
        <x:v>donation_aggregate</x:v>
      </x:c>
      <x:c r="I54" s="13" t="str">
        <x:v>Pihak dan frasa waktu dilengkapi. Tahunan adalah frekuensi donasi. Penyintas lintas tahun bukan korban satu kejadian baru.</x:v>
      </x:c>
    </x:row>
    <x:row r="55" ht="72" customHeight="1">
      <x:c r="A55" s="2" t="str">
        <x:v>FINAL081-NON_EVENT-10</x:v>
      </x:c>
      <x:c r="B55" s="13" t="str">
        <x:v>Di panggung teater, para pemain memeragakan gempa menggunakan efek suara; penonton tetap duduk.</x:v>
      </x:c>
      <x:c r="C55" s="13" t="str">
        <x:v>NON_EVENT</x:v>
      </x:c>
      <x:c r="D55" s="13" t="str">
        <x:v>NON_EVENT</x:v>
      </x:c>
      <x:c r="E55" s="14" t="n">
        <x:v>0.999962329864502</x:v>
      </x:c>
      <x:c r="F55" s="15" t="str">
        <x:f>IF(E55&lt;0.95,"Ya","Tidak")</x:f>
        <x:v>Tidak</x:v>
      </x:c>
      <x:c r="G55" s="13" t="str">
        <x:v>bintang</x:v>
      </x:c>
      <x:c r="H55" s="13" t="str">
        <x:v>fiction</x:v>
      </x:c>
      <x:c r="I55" s="13" t="str">
        <x:v>Lokasi dan pihak teater dilengkapi. Gempa hanya diperagakan. Penonton duduk tidak menjadi dampak gempa nyata.</x:v>
      </x:c>
    </x:row>
  </x:sheetData>
  <x:pageMargins left="0.7" right="0.7" top="0.75" bottom="0.75" header="0.3" footer="0.3"/>
  <x:tableParts count="1">
    <x:tablePart xmlns:r="http://schemas.openxmlformats.org/officeDocument/2006/relationships" r:id="Rd733a867218c46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24" hidden="0" customWidth="1"/>
    <x:col min="3" max="3" width="45" hidden="0" customWidth="1"/>
    <x:col min="4" max="4" width="48" hidden="0" customWidth="1"/>
    <x:col min="5" max="5" width="48" hidden="0" customWidth="1"/>
    <x:col min="6" max="6" width="24" hidden="0" customWidth="1"/>
    <x:col min="7" max="7" width="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Perbedaan field dan label token</x:v>
      </x:c>
      <x:c r="B2" s="5"/>
      <x:c r="C2" s="5"/>
      <x:c r="D2" s="5"/>
      <x:c r="E2" s="5"/>
      <x:c r="F2" s="5"/>
      <x:c r="G2" s="2"/>
    </x:row>
    <x:row r="3" ht="24" customHeight="1">
      <x:c r="A3" s="6" t="str">
        <x:v>Field yang belum tepat tetap ditampilkan. SENA benar 50/50 pada pilot ini.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0" customHeight="1">
      <x:c r="A5" s="9" t="str">
        <x:v>ID</x:v>
      </x:c>
      <x:c r="B5" s="9" t="str">
        <x:v>Field</x:v>
      </x:c>
      <x:c r="C5" s="9" t="str">
        <x:v>Acuan manusia</x:v>
      </x:c>
      <x:c r="D5" s="9" t="str">
        <x:v>Sebelum</x:v>
      </x:c>
      <x:c r="E5" s="9" t="str">
        <x:v>Sesudah</x:v>
      </x:c>
      <x:c r="F5" s="9" t="str">
        <x:v>Hasil perbaikan</x:v>
      </x:c>
      <x:c r="G5" s="2"/>
    </x:row>
    <x:row r="6" ht="70" customHeight="1">
      <x:c r="A6" s="2" t="str">
        <x:v>FINAL081-FLOOD-03</x:v>
      </x:c>
      <x:c r="B6" s="2" t="str">
        <x:v>involved_parties</x:v>
      </x:c>
      <x:c r="C6" s="13" t="str">
        <x:v>seorang penjaga</x:v>
      </x:c>
      <x:c r="D6" s="13" t="str">
        <x:v>kosong</x:v>
      </x:c>
      <x:c r="E6" s="13" t="str">
        <x:v>seorang penjaga</x:v>
      </x:c>
      <x:c r="F6" s="13" t="str">
        <x:v>Diperbaiki</x:v>
      </x:c>
      <x:c r="G6" s="2"/>
    </x:row>
    <x:row r="7" ht="70" customHeight="1">
      <x:c r="A7" s="2" t="str">
        <x:v>FINAL081-FLOOD-05</x:v>
      </x:c>
      <x:c r="B7" s="2" t="str">
        <x:v>impacts</x:v>
      </x:c>
      <x:c r="C7" s="13" t="str">
        <x:v>menggenangi tiga rumah</x:v>
      </x:c>
      <x:c r="D7" s="13" t="str">
        <x:v>tiba | menggenangi tiga rumah</x:v>
      </x:c>
      <x:c r="E7" s="13" t="str">
        <x:v>tiba | menggenangi tiga rumah</x:v>
      </x:c>
      <x:c r="F7" s="13" t="str">
        <x:v>Masih berbeda</x:v>
      </x:c>
      <x:c r="G7" s="2"/>
    </x:row>
    <x:row r="8" ht="70" customHeight="1">
      <x:c r="A8" s="2" t="str">
        <x:v>FINAL081-FLOOD-06</x:v>
      </x:c>
      <x:c r="B8" s="2" t="str">
        <x:v>impacts</x:v>
      </x:c>
      <x:c r="C8" s="13" t="str">
        <x:v>menggenangi tiga rumah | jalur tersebut sekarang ditutup</x:v>
      </x:c>
      <x:c r="D8" s="13" t="str">
        <x:v>menggenangi tiga rumah | jalur | sekarang ditutup</x:v>
      </x:c>
      <x:c r="E8" s="13" t="str">
        <x:v>menggenangi tiga rumah | jalur | sekarang ditutup</x:v>
      </x:c>
      <x:c r="F8" s="13" t="str">
        <x:v>Masih berbeda</x:v>
      </x:c>
      <x:c r="G8" s="2"/>
    </x:row>
    <x:row r="9" ht="70" customHeight="1">
      <x:c r="A9" s="2" t="str">
        <x:v>FINAL081-FLOOD-06</x:v>
      </x:c>
      <x:c r="B9" s="2" t="str">
        <x:v>affected_objects</x:v>
      </x:c>
      <x:c r="C9" s="13" t="str">
        <x:v>tiga rumah | jalur tersebut</x:v>
      </x:c>
      <x:c r="D9" s="13" t="str">
        <x:v>tiga rumah</x:v>
      </x:c>
      <x:c r="E9" s="13" t="str">
        <x:v>tiga rumah</x:v>
      </x:c>
      <x:c r="F9" s="13" t="str">
        <x:v>Masih berbeda</x:v>
      </x:c>
      <x:c r="G9" s="2"/>
    </x:row>
    <x:row r="10" ht="70" customHeight="1">
      <x:c r="A10" s="2" t="str">
        <x:v>FINAL081-FLOOD-10</x:v>
      </x:c>
      <x:c r="B10" s="2" t="str">
        <x:v>location_text</x:v>
      </x:c>
      <x:c r="C10" s="13" t="str">
        <x:v>Kampung Harumjaya Utara</x:v>
      </x:c>
      <x:c r="D10" s="13" t="str">
        <x:v>tiga; Kampung Harumjaya Utara</x:v>
      </x:c>
      <x:c r="E10" s="13" t="str">
        <x:v>Kampung Harumjaya Utara</x:v>
      </x:c>
      <x:c r="F10" s="13" t="str">
        <x:v>Diperbaiki</x:v>
      </x:c>
      <x:c r="G10" s="2"/>
    </x:row>
    <x:row r="11" ht="70" customHeight="1">
      <x:c r="A11" s="2" t="str">
        <x:v>FINAL081-FLOOD-10</x:v>
      </x:c>
      <x:c r="B11" s="2" t="str">
        <x:v>impacts</x:v>
      </x:c>
      <x:c r="C11" s="13" t="str">
        <x:v>menggenangi tiga rumah</x:v>
      </x:c>
      <x:c r="D11" s="13" t="str">
        <x:v>kosong</x:v>
      </x:c>
      <x:c r="E11" s="13" t="str">
        <x:v>menggenangi tiga rumah</x:v>
      </x:c>
      <x:c r="F11" s="13" t="str">
        <x:v>Diperbaiki</x:v>
      </x:c>
      <x:c r="G11" s="2"/>
    </x:row>
    <x:row r="12" ht="70" customHeight="1">
      <x:c r="A12" s="2" t="str">
        <x:v>FINAL081-FLOOD-10</x:v>
      </x:c>
      <x:c r="B12" s="2" t="str">
        <x:v>affected_objects</x:v>
      </x:c>
      <x:c r="C12" s="13" t="str">
        <x:v>tiga rumah</x:v>
      </x:c>
      <x:c r="D12" s="13" t="str">
        <x:v>rumah</x:v>
      </x:c>
      <x:c r="E12" s="13" t="str">
        <x:v>tiga rumah</x:v>
      </x:c>
      <x:c r="F12" s="13" t="str">
        <x:v>Diperbaiki</x:v>
      </x:c>
      <x:c r="G12" s="2"/>
    </x:row>
    <x:row r="13" ht="70" customHeight="1">
      <x:c r="A13" s="2" t="str">
        <x:v>FINAL081-EARTHQUAKE-03</x:v>
      </x:c>
      <x:c r="B13" s="2" t="str">
        <x:v>involved_parties</x:v>
      </x:c>
      <x:c r="C13" s="13" t="str">
        <x:v>seorang penjaga</x:v>
      </x:c>
      <x:c r="D13" s="13" t="str">
        <x:v>kosong</x:v>
      </x:c>
      <x:c r="E13" s="13" t="str">
        <x:v>seorang penjaga</x:v>
      </x:c>
      <x:c r="F13" s="13" t="str">
        <x:v>Diperbaiki</x:v>
      </x:c>
      <x:c r="G13" s="2"/>
    </x:row>
    <x:row r="14" ht="70" customHeight="1">
      <x:c r="A14" s="2" t="str">
        <x:v>FINAL081-EARTHQUAKE-05</x:v>
      </x:c>
      <x:c r="B14" s="2" t="str">
        <x:v>impacts</x:v>
      </x:c>
      <x:c r="C14" s="13" t="str">
        <x:v>merusak dinding sekolah</x:v>
      </x:c>
      <x:c r="D14" s="13" t="str">
        <x:v>tiba | merusak dinding sekolah</x:v>
      </x:c>
      <x:c r="E14" s="13" t="str">
        <x:v>tiba | merusak dinding sekolah</x:v>
      </x:c>
      <x:c r="F14" s="13" t="str">
        <x:v>Masih berbeda</x:v>
      </x:c>
      <x:c r="G14" s="2"/>
    </x:row>
    <x:row r="15" ht="70" customHeight="1">
      <x:c r="A15" s="2" t="str">
        <x:v>FINAL081-EARTHQUAKE-06</x:v>
      </x:c>
      <x:c r="B15" s="2" t="str">
        <x:v>impacts</x:v>
      </x:c>
      <x:c r="C15" s="13" t="str">
        <x:v>merusak dinding sekolah | jalur tersebut sekarang ditutup</x:v>
      </x:c>
      <x:c r="D15" s="13" t="str">
        <x:v>merusak dinding sekolah | jalur | sekarang ditutup</x:v>
      </x:c>
      <x:c r="E15" s="13" t="str">
        <x:v>merusak dinding sekolah | jalur | sekarang ditutup</x:v>
      </x:c>
      <x:c r="F15" s="13" t="str">
        <x:v>Masih berbeda</x:v>
      </x:c>
      <x:c r="G15" s="2"/>
    </x:row>
    <x:row r="16" ht="70" customHeight="1">
      <x:c r="A16" s="2" t="str">
        <x:v>FINAL081-EARTHQUAKE-06</x:v>
      </x:c>
      <x:c r="B16" s="2" t="str">
        <x:v>affected_objects</x:v>
      </x:c>
      <x:c r="C16" s="13" t="str">
        <x:v>dinding sekolah | jalur tersebut</x:v>
      </x:c>
      <x:c r="D16" s="13" t="str">
        <x:v>dinding sekolah</x:v>
      </x:c>
      <x:c r="E16" s="13" t="str">
        <x:v>dinding sekolah</x:v>
      </x:c>
      <x:c r="F16" s="13" t="str">
        <x:v>Masih berbeda</x:v>
      </x:c>
      <x:c r="G16" s="2"/>
    </x:row>
    <x:row r="17" ht="70" customHeight="1">
      <x:c r="A17" s="2" t="str">
        <x:v>FINAL081-EARTHQUAKE-09</x:v>
      </x:c>
      <x:c r="B17" s="2" t="str">
        <x:v>impacts</x:v>
      </x:c>
      <x:c r="C17" s="13" t="str">
        <x:v>merusak dinding sekolah</x:v>
      </x:c>
      <x:c r="D17" s="13" t="str">
        <x:v>benar-benar merusak dinding sekolah</x:v>
      </x:c>
      <x:c r="E17" s="13" t="str">
        <x:v>benar-benar merusak dinding sekolah</x:v>
      </x:c>
      <x:c r="F17" s="13" t="str">
        <x:v>Masih berbeda</x:v>
      </x:c>
      <x:c r="G17" s="2"/>
    </x:row>
    <x:row r="18" ht="70" customHeight="1">
      <x:c r="A18" s="2" t="str">
        <x:v>FINAL081-FIRE-01</x:v>
      </x:c>
      <x:c r="B18" s="2" t="str">
        <x:v>impacts</x:v>
      </x:c>
      <x:c r="C18" s="13" t="str">
        <x:v>menghanguskan satu warung</x:v>
      </x:c>
      <x:c r="D18" s="13" t="str">
        <x:v>kosong</x:v>
      </x:c>
      <x:c r="E18" s="13" t="str">
        <x:v>menghanguskan satu warung</x:v>
      </x:c>
      <x:c r="F18" s="13" t="str">
        <x:v>Diperbaiki</x:v>
      </x:c>
      <x:c r="G18" s="2"/>
    </x:row>
    <x:row r="19" ht="70" customHeight="1">
      <x:c r="A19" s="2" t="str">
        <x:v>FINAL081-FIRE-02</x:v>
      </x:c>
      <x:c r="B19" s="2" t="str">
        <x:v>impacts</x:v>
      </x:c>
      <x:c r="C19" s="13" t="str">
        <x:v>menghanguskan satu warung</x:v>
      </x:c>
      <x:c r="D19" s="13" t="str">
        <x:v>kosong</x:v>
      </x:c>
      <x:c r="E19" s="13" t="str">
        <x:v>menghanguskan satu warung</x:v>
      </x:c>
      <x:c r="F19" s="13" t="str">
        <x:v>Diperbaiki</x:v>
      </x:c>
      <x:c r="G19" s="2"/>
    </x:row>
    <x:row r="20" ht="70" customHeight="1">
      <x:c r="A20" s="2" t="str">
        <x:v>FINAL081-FIRE-03</x:v>
      </x:c>
      <x:c r="B20" s="2" t="str">
        <x:v>involved_parties</x:v>
      </x:c>
      <x:c r="C20" s="13" t="str">
        <x:v>seorang penjaga</x:v>
      </x:c>
      <x:c r="D20" s="13" t="str">
        <x:v>kosong</x:v>
      </x:c>
      <x:c r="E20" s="13" t="str">
        <x:v>seorang penjaga</x:v>
      </x:c>
      <x:c r="F20" s="13" t="str">
        <x:v>Diperbaiki</x:v>
      </x:c>
      <x:c r="G20" s="2"/>
    </x:row>
    <x:row r="21" ht="70" customHeight="1">
      <x:c r="A21" s="2" t="str">
        <x:v>FINAL081-FIRE-03</x:v>
      </x:c>
      <x:c r="B21" s="2" t="str">
        <x:v>impacts</x:v>
      </x:c>
      <x:c r="C21" s="13" t="str">
        <x:v>menghanguskan satu warung</x:v>
      </x:c>
      <x:c r="D21" s="13" t="str">
        <x:v>kosong</x:v>
      </x:c>
      <x:c r="E21" s="13" t="str">
        <x:v>menghanguskan satu warung</x:v>
      </x:c>
      <x:c r="F21" s="13" t="str">
        <x:v>Diperbaiki</x:v>
      </x:c>
      <x:c r="G21" s="2"/>
    </x:row>
    <x:row r="22" ht="70" customHeight="1">
      <x:c r="A22" s="2" t="str">
        <x:v>FINAL081-FIRE-04</x:v>
      </x:c>
      <x:c r="B22" s="2" t="str">
        <x:v>impacts</x:v>
      </x:c>
      <x:c r="C22" s="13" t="str">
        <x:v>menghanguskan satu warung</x:v>
      </x:c>
      <x:c r="D22" s="13" t="str">
        <x:v>kosong</x:v>
      </x:c>
      <x:c r="E22" s="13" t="str">
        <x:v>menghanguskan satu warung</x:v>
      </x:c>
      <x:c r="F22" s="13" t="str">
        <x:v>Diperbaiki</x:v>
      </x:c>
      <x:c r="G22" s="2"/>
    </x:row>
    <x:row r="23" ht="70" customHeight="1">
      <x:c r="A23" s="2" t="str">
        <x:v>FINAL081-FIRE-05</x:v>
      </x:c>
      <x:c r="B23" s="2" t="str">
        <x:v>impacts</x:v>
      </x:c>
      <x:c r="C23" s="13" t="str">
        <x:v>menghanguskan satu warung</x:v>
      </x:c>
      <x:c r="D23" s="13" t="str">
        <x:v>tiba</x:v>
      </x:c>
      <x:c r="E23" s="13" t="str">
        <x:v>tiba</x:v>
      </x:c>
      <x:c r="F23" s="13" t="str">
        <x:v>Masih berbeda</x:v>
      </x:c>
      <x:c r="G23" s="2"/>
    </x:row>
    <x:row r="24" ht="70" customHeight="1">
      <x:c r="A24" s="2" t="str">
        <x:v>FINAL081-FIRE-05</x:v>
      </x:c>
      <x:c r="B24" s="2" t="str">
        <x:v>affected_objects</x:v>
      </x:c>
      <x:c r="C24" s="13" t="str">
        <x:v>satu warung</x:v>
      </x:c>
      <x:c r="D24" s="13" t="str">
        <x:v>menghanguskan satu warung</x:v>
      </x:c>
      <x:c r="E24" s="13" t="str">
        <x:v>menghanguskan satu warung</x:v>
      </x:c>
      <x:c r="F24" s="13" t="str">
        <x:v>Masih berbeda</x:v>
      </x:c>
      <x:c r="G24" s="2"/>
    </x:row>
    <x:row r="25" ht="70" customHeight="1">
      <x:c r="A25" s="2" t="str">
        <x:v>FINAL081-FIRE-06</x:v>
      </x:c>
      <x:c r="B25" s="2" t="str">
        <x:v>impacts</x:v>
      </x:c>
      <x:c r="C25" s="13" t="str">
        <x:v>menghanguskan satu warung | jalur tersebut sekarang ditutup</x:v>
      </x:c>
      <x:c r="D25" s="13" t="str">
        <x:v>menghanguskan satu warung | jalur | sekarang ditutup</x:v>
      </x:c>
      <x:c r="E25" s="13" t="str">
        <x:v>menghanguskan satu warung | jalur | sekarang ditutup</x:v>
      </x:c>
      <x:c r="F25" s="13" t="str">
        <x:v>Masih berbeda</x:v>
      </x:c>
      <x:c r="G25" s="2"/>
    </x:row>
    <x:row r="26" ht="70" customHeight="1">
      <x:c r="A26" s="2" t="str">
        <x:v>FINAL081-FIRE-06</x:v>
      </x:c>
      <x:c r="B26" s="2" t="str">
        <x:v>affected_objects</x:v>
      </x:c>
      <x:c r="C26" s="13" t="str">
        <x:v>satu warung | jalur tersebut</x:v>
      </x:c>
      <x:c r="D26" s="13" t="str">
        <x:v>satu warung</x:v>
      </x:c>
      <x:c r="E26" s="13" t="str">
        <x:v>satu warung</x:v>
      </x:c>
      <x:c r="F26" s="13" t="str">
        <x:v>Masih berbeda</x:v>
      </x:c>
      <x:c r="G26" s="2"/>
    </x:row>
    <x:row r="27" ht="70" customHeight="1">
      <x:c r="A27" s="2" t="str">
        <x:v>FINAL081-FIRE-07</x:v>
      </x:c>
      <x:c r="B27" s="2" t="str">
        <x:v>impacts</x:v>
      </x:c>
      <x:c r="C27" s="13" t="str">
        <x:v>menghanguskan satu warung</x:v>
      </x:c>
      <x:c r="D27" s="13" t="str">
        <x:v>kosong</x:v>
      </x:c>
      <x:c r="E27" s="13" t="str">
        <x:v>menghanguskan satu warung</x:v>
      </x:c>
      <x:c r="F27" s="13" t="str">
        <x:v>Diperbaiki</x:v>
      </x:c>
      <x:c r="G27" s="2"/>
    </x:row>
    <x:row r="28" ht="70" customHeight="1">
      <x:c r="A28" s="2" t="str">
        <x:v>FINAL081-FIRE-08</x:v>
      </x:c>
      <x:c r="B28" s="2" t="str">
        <x:v>impacts</x:v>
      </x:c>
      <x:c r="C28" s="13" t="str">
        <x:v>menghanguskan satu warung</x:v>
      </x:c>
      <x:c r="D28" s="13" t="str">
        <x:v>kosong</x:v>
      </x:c>
      <x:c r="E28" s="13" t="str">
        <x:v>menghanguskan satu warung</x:v>
      </x:c>
      <x:c r="F28" s="13" t="str">
        <x:v>Diperbaiki</x:v>
      </x:c>
      <x:c r="G28" s="2"/>
    </x:row>
    <x:row r="29" ht="70" customHeight="1">
      <x:c r="A29" s="2" t="str">
        <x:v>FINAL081-FIRE-10</x:v>
      </x:c>
      <x:c r="B29" s="2" t="str">
        <x:v>impacts</x:v>
      </x:c>
      <x:c r="C29" s="13" t="str">
        <x:v>menghanguskan satu warung</x:v>
      </x:c>
      <x:c r="D29" s="13" t="str">
        <x:v>kosong</x:v>
      </x:c>
      <x:c r="E29" s="13" t="str">
        <x:v>menghanguskan satu warung</x:v>
      </x:c>
      <x:c r="F29" s="13" t="str">
        <x:v>Diperbaiki</x:v>
      </x:c>
      <x:c r="G29" s="2"/>
    </x:row>
    <x:row r="30" ht="70" customHeight="1">
      <x:c r="A30" s="2" t="str">
        <x:v>FINAL081-ACCIDENT-01</x:v>
      </x:c>
      <x:c r="B30" s="2" t="str">
        <x:v>location_text</x:v>
      </x:c>
      <x:c r="C30" s="13" t="str">
        <x:v>Desa Rimbakencana Tengah</x:v>
      </x:c>
      <x:c r="D30" s="13" t="str">
        <x:v>Desa Rimbakencana</x:v>
      </x:c>
      <x:c r="E30" s="13" t="str">
        <x:v>Desa Rimbakencana</x:v>
      </x:c>
      <x:c r="F30" s="13" t="str">
        <x:v>Masih berbeda</x:v>
      </x:c>
      <x:c r="G30" s="2"/>
    </x:row>
    <x:row r="31" ht="70" customHeight="1">
      <x:c r="A31" s="2" t="str">
        <x:v>FINAL081-ACCIDENT-01</x:v>
      </x:c>
      <x:c r="B31" s="2" t="str">
        <x:v>time_text</x:v>
      </x:c>
      <x:c r="C31" s="13" t="str">
        <x:v>subuh tadi</x:v>
      </x:c>
      <x:c r="D31" s="13" t="str">
        <x:v>Tengah subuh tadi</x:v>
      </x:c>
      <x:c r="E31" s="13" t="str">
        <x:v>Tengah subuh tadi</x:v>
      </x:c>
      <x:c r="F31" s="13" t="str">
        <x:v>Masih berbeda</x:v>
      </x:c>
      <x:c r="G31" s="2"/>
    </x:row>
    <x:row r="32" ht="70" customHeight="1">
      <x:c r="A32" s="2" t="str">
        <x:v>FINAL081-ACCIDENT-03</x:v>
      </x:c>
      <x:c r="B32" s="2" t="str">
        <x:v>location_text</x:v>
      </x:c>
      <x:c r="C32" s="13" t="str">
        <x:v>Kampung Tirtajaya Tengah</x:v>
      </x:c>
      <x:c r="D32" s="13" t="str">
        <x:v>Kampung Tirtajaya</x:v>
      </x:c>
      <x:c r="E32" s="13" t="str">
        <x:v>Kampung Tirtajaya</x:v>
      </x:c>
      <x:c r="F32" s="13" t="str">
        <x:v>Masih berbeda</x:v>
      </x:c>
      <x:c r="G32" s="2"/>
    </x:row>
    <x:row r="33" ht="70" customHeight="1">
      <x:c r="A33" s="2" t="str">
        <x:v>FINAL081-ACCIDENT-03</x:v>
      </x:c>
      <x:c r="B33" s="2" t="str">
        <x:v>time_text</x:v>
      </x:c>
      <x:c r="C33" s="13" t="str">
        <x:v>tadi malam</x:v>
      </x:c>
      <x:c r="D33" s="13" t="str">
        <x:v>Tengah tadi malam</x:v>
      </x:c>
      <x:c r="E33" s="13" t="str">
        <x:v>Tengah tadi malam</x:v>
      </x:c>
      <x:c r="F33" s="13" t="str">
        <x:v>Masih berbeda</x:v>
      </x:c>
      <x:c r="G33" s="2"/>
    </x:row>
    <x:row r="34" ht="70" customHeight="1">
      <x:c r="A34" s="2" t="str">
        <x:v>FINAL081-ACCIDENT-03</x:v>
      </x:c>
      <x:c r="B34" s="2" t="str">
        <x:v>involved_parties</x:v>
      </x:c>
      <x:c r="C34" s="13" t="str">
        <x:v>seorang penjaga</x:v>
      </x:c>
      <x:c r="D34" s="13" t="str">
        <x:v>kosong</x:v>
      </x:c>
      <x:c r="E34" s="13" t="str">
        <x:v>seorang penjaga</x:v>
      </x:c>
      <x:c r="F34" s="13" t="str">
        <x:v>Diperbaiki</x:v>
      </x:c>
      <x:c r="G34" s="2"/>
    </x:row>
    <x:row r="35" ht="70" customHeight="1">
      <x:c r="A35" s="2" t="str">
        <x:v>FINAL081-ACCIDENT-05</x:v>
      </x:c>
      <x:c r="B35" s="2" t="str">
        <x:v>location_text</x:v>
      </x:c>
      <x:c r="C35" s="13" t="str">
        <x:v>Kelurahan Sumberasri Tengah</x:v>
      </x:c>
      <x:c r="D35" s="13" t="str">
        <x:v>Kelurahan Sumberasri</x:v>
      </x:c>
      <x:c r="E35" s="13" t="str">
        <x:v>Kelurahan Sumberasri</x:v>
      </x:c>
      <x:c r="F35" s="13" t="str">
        <x:v>Masih berbeda</x:v>
      </x:c>
      <x:c r="G35" s="2"/>
    </x:row>
    <x:row r="36" ht="70" customHeight="1">
      <x:c r="A36" s="2" t="str">
        <x:v>FINAL081-ACCIDENT-05</x:v>
      </x:c>
      <x:c r="B36" s="2" t="str">
        <x:v>time_text</x:v>
      </x:c>
      <x:c r="C36" s="13" t="str">
        <x:v>sore ini</x:v>
      </x:c>
      <x:c r="D36" s="13" t="str">
        <x:v>Tengah sore ini</x:v>
      </x:c>
      <x:c r="E36" s="13" t="str">
        <x:v>Tengah sore ini</x:v>
      </x:c>
      <x:c r="F36" s="13" t="str">
        <x:v>Masih berbeda</x:v>
      </x:c>
      <x:c r="G36" s="2"/>
    </x:row>
    <x:row r="37" ht="70" customHeight="1">
      <x:c r="A37" s="2" t="str">
        <x:v>FINAL081-ACCIDENT-05</x:v>
      </x:c>
      <x:c r="B37" s="2" t="str">
        <x:v>impacts</x:v>
      </x:c>
      <x:c r="C37" s="13" t="str">
        <x:v>merusak dua sepeda motor</x:v>
      </x:c>
      <x:c r="D37" s="13" t="str">
        <x:v>tiba | merusak dua sepeda motor</x:v>
      </x:c>
      <x:c r="E37" s="13" t="str">
        <x:v>tiba | merusak dua sepeda motor</x:v>
      </x:c>
      <x:c r="F37" s="13" t="str">
        <x:v>Masih berbeda</x:v>
      </x:c>
      <x:c r="G37" s="2"/>
    </x:row>
    <x:row r="38" ht="70" customHeight="1">
      <x:c r="A38" s="2" t="str">
        <x:v>FINAL081-ACCIDENT-06</x:v>
      </x:c>
      <x:c r="B38" s="2" t="str">
        <x:v>impacts</x:v>
      </x:c>
      <x:c r="C38" s="13" t="str">
        <x:v>merusak dua sepeda motor | jalur tersebut sekarang ditutup</x:v>
      </x:c>
      <x:c r="D38" s="13" t="str">
        <x:v>merusak dua sepeda motor | sekarang ditutup</x:v>
      </x:c>
      <x:c r="E38" s="13" t="str">
        <x:v>merusak dua sepeda motor | sekarang ditutup</x:v>
      </x:c>
      <x:c r="F38" s="13" t="str">
        <x:v>Masih berbeda</x:v>
      </x:c>
      <x:c r="G38" s="2"/>
    </x:row>
    <x:row r="39" ht="70" customHeight="1">
      <x:c r="A39" s="2" t="str">
        <x:v>FINAL081-ACCIDENT-06</x:v>
      </x:c>
      <x:c r="B39" s="2" t="str">
        <x:v>affected_objects</x:v>
      </x:c>
      <x:c r="C39" s="13" t="str">
        <x:v>dua sepeda motor | jalur tersebut</x:v>
      </x:c>
      <x:c r="D39" s="13" t="str">
        <x:v>dua sepeda motor</x:v>
      </x:c>
      <x:c r="E39" s="13" t="str">
        <x:v>dua sepeda motor</x:v>
      </x:c>
      <x:c r="F39" s="13" t="str">
        <x:v>Masih berbeda</x:v>
      </x:c>
      <x:c r="G39" s="2"/>
    </x:row>
    <x:row r="40" ht="70" customHeight="1">
      <x:c r="A40" s="2" t="str">
        <x:v>FINAL081-ACCIDENT-07</x:v>
      </x:c>
      <x:c r="B40" s="2" t="str">
        <x:v>location_text</x:v>
      </x:c>
      <x:c r="C40" s="13" t="str">
        <x:v>Kampung Wanasetra Tengah</x:v>
      </x:c>
      <x:c r="D40" s="13" t="str">
        <x:v>Kampung Wanasetra</x:v>
      </x:c>
      <x:c r="E40" s="13" t="str">
        <x:v>Kampung Wanasetra</x:v>
      </x:c>
      <x:c r="F40" s="13" t="str">
        <x:v>Masih berbeda</x:v>
      </x:c>
      <x:c r="G40" s="2"/>
    </x:row>
    <x:row r="41" ht="70" customHeight="1">
      <x:c r="A41" s="2" t="str">
        <x:v>FINAL081-ACCIDENT-07</x:v>
      </x:c>
      <x:c r="B41" s="2" t="str">
        <x:v>time_text</x:v>
      </x:c>
      <x:c r="C41" s="13" t="str">
        <x:v>malam ini</x:v>
      </x:c>
      <x:c r="D41" s="13" t="str">
        <x:v>Tengah malam ini</x:v>
      </x:c>
      <x:c r="E41" s="13" t="str">
        <x:v>Tengah malam ini</x:v>
      </x:c>
      <x:c r="F41" s="13" t="str">
        <x:v>Masih berbeda</x:v>
      </x:c>
      <x:c r="G41" s="2"/>
    </x:row>
    <x:row r="42" ht="70" customHeight="1">
      <x:c r="A42" s="2" t="str">
        <x:v>FINAL081-ACCIDENT-09</x:v>
      </x:c>
      <x:c r="B42" s="2" t="str">
        <x:v>location_text</x:v>
      </x:c>
      <x:c r="C42" s="13" t="str">
        <x:v>Kelurahan Kartasena Tengah</x:v>
      </x:c>
      <x:c r="D42" s="13" t="str">
        <x:v>Kelurahan Kartasena</x:v>
      </x:c>
      <x:c r="E42" s="13" t="str">
        <x:v>Kelurahan Kartasena</x:v>
      </x:c>
      <x:c r="F42" s="13" t="str">
        <x:v>Masih berbeda</x:v>
      </x:c>
      <x:c r="G42" s="2"/>
    </x:row>
    <x:row r="43" ht="70" customHeight="1">
      <x:c r="A43" s="2" t="str">
        <x:v>FINAL081-ACCIDENT-09</x:v>
      </x:c>
      <x:c r="B43" s="2" t="str">
        <x:v>time_text</x:v>
      </x:c>
      <x:c r="C43" s="13" t="str">
        <x:v>sore tadi</x:v>
      </x:c>
      <x:c r="D43" s="13" t="str">
        <x:v>Tengah sore tadi</x:v>
      </x:c>
      <x:c r="E43" s="13" t="str">
        <x:v>Tengah sore tadi</x:v>
      </x:c>
      <x:c r="F43" s="13" t="str">
        <x:v>Masih berbeda</x:v>
      </x:c>
      <x:c r="G43" s="2"/>
    </x:row>
    <x:row r="44" ht="70" customHeight="1">
      <x:c r="A44" s="2" t="str">
        <x:v>FINAL081-ACCIDENT-10</x:v>
      </x:c>
      <x:c r="B44" s="2" t="str">
        <x:v>impacts</x:v>
      </x:c>
      <x:c r="C44" s="13" t="str">
        <x:v>merusak dua sepeda motor</x:v>
      </x:c>
      <x:c r="D44" s="13" t="str">
        <x:v>kosong</x:v>
      </x:c>
      <x:c r="E44" s="13" t="str">
        <x:v>kosong</x:v>
      </x:c>
      <x:c r="F44" s="13" t="str">
        <x:v>Masih berbeda</x:v>
      </x:c>
      <x:c r="G44" s="2"/>
    </x:row>
    <x:row r="45" ht="70" customHeight="1">
      <x:c r="A45" s="2" t="str">
        <x:v>FINAL081-NON_EVENT-02</x:v>
      </x:c>
      <x:c r="B45" s="2" t="str">
        <x:v>time_text</x:v>
      </x:c>
      <x:c r="C45" s="13" t="str">
        <x:v>pagi ini</x:v>
      </x:c>
      <x:c r="D45" s="13" t="str">
        <x:v>pagi</x:v>
      </x:c>
      <x:c r="E45" s="13" t="str">
        <x:v>pagi</x:v>
      </x:c>
      <x:c r="F45" s="13" t="str">
        <x:v>Masih berbeda</x:v>
      </x:c>
      <x:c r="G45" s="2"/>
    </x:row>
    <x:row r="46" ht="70" customHeight="1">
      <x:c r="A46" s="2" t="str">
        <x:v>FINAL081-NON_EVENT-03</x:v>
      </x:c>
      <x:c r="B46" s="2" t="str">
        <x:v>time_text</x:v>
      </x:c>
      <x:c r="C46" s="13" t="str">
        <x:v>Besok</x:v>
      </x:c>
      <x:c r="D46" s="13" t="str">
        <x:v>kosong</x:v>
      </x:c>
      <x:c r="E46" s="13" t="str">
        <x:v>kosong</x:v>
      </x:c>
      <x:c r="F46" s="13" t="str">
        <x:v>Masih berbeda</x:v>
      </x:c>
      <x:c r="G46" s="2"/>
    </x:row>
    <x:row r="47" ht="70" customHeight="1">
      <x:c r="A47" s="2" t="str">
        <x:v>FINAL081-NON_EVENT-05</x:v>
      </x:c>
      <x:c r="B47" s="2" t="str">
        <x:v>involved_parties</x:v>
      </x:c>
      <x:c r="C47" s="13" t="str">
        <x:v>toko itu</x:v>
      </x:c>
      <x:c r="D47" s="13" t="str">
        <x:v>Unggahan toko</x:v>
      </x:c>
      <x:c r="E47" s="13" t="str">
        <x:v>Unggahan toko</x:v>
      </x:c>
      <x:c r="F47" s="13" t="str">
        <x:v>Masih berbeda</x:v>
      </x:c>
      <x:c r="G47" s="2"/>
    </x:row>
    <x:row r="48" ht="70" customHeight="1">
      <x:c r="A48" s="2" t="str">
        <x:v>FINAL081-NON_EVENT-06</x:v>
      </x:c>
      <x:c r="B48" s="2" t="str">
        <x:v>impacts</x:v>
      </x:c>
      <x:c r="C48" s="13" t="str">
        <x:v>kosong</x:v>
      </x:c>
      <x:c r="D48" s="13" t="str">
        <x:v>menyiapkan jalur evakuasi | mengantisipasi</x:v>
      </x:c>
      <x:c r="E48" s="13" t="str">
        <x:v>menyiapkan jalur evakuasi | mengantisipasi</x:v>
      </x:c>
      <x:c r="F48" s="13" t="str">
        <x:v>Masih berbeda</x:v>
      </x:c>
      <x:c r="G48" s="2"/>
    </x:row>
    <x:row r="49" ht="70" customHeight="1">
      <x:c r="A49" s="2" t="str">
        <x:v>FINAL081-NON_EVENT-07</x:v>
      </x:c>
      <x:c r="B49" s="2" t="str">
        <x:v>involved_parties</x:v>
      </x:c>
      <x:c r="C49" s="13" t="str">
        <x:v>kosong</x:v>
      </x:c>
      <x:c r="D49" s="13" t="str">
        <x:v>Buku keselamatan</x:v>
      </x:c>
      <x:c r="E49" s="13" t="str">
        <x:v>Buku keselamatan</x:v>
      </x:c>
      <x:c r="F49" s="13" t="str">
        <x:v>Masih berbeda</x:v>
      </x:c>
      <x:c r="G49" s="2"/>
    </x:row>
    <x:row r="50" ht="70" customHeight="1">
      <x:c r="A50" s="2" t="str">
        <x:v>FINAL081-NON_EVENT-08</x:v>
      </x:c>
      <x:c r="B50" s="2" t="str">
        <x:v>time_text</x:v>
      </x:c>
      <x:c r="C50" s="13" t="str">
        <x:v>sepanjang dekade</x:v>
      </x:c>
      <x:c r="D50" s="13" t="str">
        <x:v>kosong</x:v>
      </x:c>
      <x:c r="E50" s="13" t="str">
        <x:v>kosong</x:v>
      </x:c>
      <x:c r="F50" s="13" t="str">
        <x:v>Masih berbeda</x:v>
      </x:c>
      <x:c r="G50" s="2"/>
    </x:row>
    <x:row r="51" ht="70" customHeight="1">
      <x:c r="A51" s="2" t="str">
        <x:v>FINAL081-NON_EVENT-09</x:v>
      </x:c>
      <x:c r="B51" s="2" t="str">
        <x:v>time_text</x:v>
      </x:c>
      <x:c r="C51" s="13" t="str">
        <x:v>tahunan</x:v>
      </x:c>
      <x:c r="D51" s="13" t="str">
        <x:v>kosong</x:v>
      </x:c>
      <x:c r="E51" s="13" t="str">
        <x:v>kosong</x:v>
      </x:c>
      <x:c r="F51" s="13" t="str">
        <x:v>Masih berbeda</x:v>
      </x:c>
      <x:c r="G51" s="2"/>
    </x:row>
    <x:row r="52" ht="24" customHeight="1">
      <x:c r="A52" s="2"/>
      <x:c r="B52" s="2"/>
      <x:c r="C52" s="2"/>
      <x:c r="D52" s="2"/>
      <x:c r="E52" s="2"/>
      <x:c r="F52" s="2"/>
      <x:c r="G52" s="2"/>
    </x:row>
    <x:row r="53" ht="24" customHeight="1">
      <x:c r="A53" s="2"/>
      <x:c r="B53" s="2"/>
      <x:c r="C53" s="2"/>
      <x:c r="D53" s="2"/>
      <x:c r="E53" s="2"/>
      <x:c r="F53" s="2"/>
      <x:c r="G53" s="2"/>
    </x:row>
    <x:row r="54" ht="24" customHeight="1">
      <x:c r="A54" s="6" t="str">
        <x:v>Label token model tidak diubah oleh perbaikan komposisi; berikut semua token yang berbeda dari acuan.</x:v>
      </x:c>
      <x:c r="B54" s="2"/>
      <x:c r="C54" s="2"/>
      <x:c r="D54" s="2"/>
      <x:c r="E54" s="2"/>
      <x:c r="F54" s="2"/>
      <x:c r="G54" s="2"/>
    </x:row>
    <x:row r="55" ht="30" customHeight="1">
      <x:c r="A55" s="9" t="str">
        <x:v>ID</x:v>
      </x:c>
      <x:c r="B55" s="9" t="str">
        <x:v>Posisi token</x:v>
      </x:c>
      <x:c r="C55" s="9" t="str">
        <x:v>Token</x:v>
      </x:c>
      <x:c r="D55" s="9" t="str">
        <x:v>Label acuan</x:v>
      </x:c>
      <x:c r="E55" s="9" t="str">
        <x:v>Label model</x:v>
      </x:c>
      <x:c r="F55" s="9" t="str">
        <x:v>Confidence token</x:v>
      </x:c>
      <x:c r="G55" s="2"/>
    </x:row>
    <x:row r="56" ht="24" customHeight="1">
      <x:c r="A56" s="2" t="str">
        <x:v>FINAL081-FLOOD-05</x:v>
      </x:c>
      <x:c r="B56" s="11" t="n">
        <x:v>3</x:v>
      </x:c>
      <x:c r="C56" s="2" t="str">
        <x:v>tiba</x:v>
      </x:c>
      <x:c r="D56" s="2" t="str">
        <x:v>O</x:v>
      </x:c>
      <x:c r="E56" s="2" t="str">
        <x:v>INFORMATION-ARG</x:v>
      </x:c>
      <x:c r="F56" s="10" t="n">
        <x:v>0.958000659942627</x:v>
      </x:c>
      <x:c r="G56" s="2"/>
    </x:row>
    <x:row r="57" ht="24" customHeight="1">
      <x:c r="A57" s="2" t="str">
        <x:v>FINAL081-FLOOD-06</x:v>
      </x:c>
      <x:c r="B57" s="11" t="n">
        <x:v>12</x:v>
      </x:c>
      <x:c r="C57" s="2" t="str">
        <x:v>jalur</x:v>
      </x:c>
      <x:c r="D57" s="2" t="str">
        <x:v>AFFECTEDOBJECTS-ARG</x:v>
      </x:c>
      <x:c r="E57" s="2" t="str">
        <x:v>INFORMATION-ARG</x:v>
      </x:c>
      <x:c r="F57" s="10" t="n">
        <x:v>0.45160922408103943</x:v>
      </x:c>
      <x:c r="G57" s="2"/>
    </x:row>
    <x:row r="58" ht="24" customHeight="1">
      <x:c r="A58" s="2" t="str">
        <x:v>FINAL081-FLOOD-06</x:v>
      </x:c>
      <x:c r="B58" s="11" t="n">
        <x:v>13</x:v>
      </x:c>
      <x:c r="C58" s="2" t="str">
        <x:v>tersebut</x:v>
      </x:c>
      <x:c r="D58" s="2" t="str">
        <x:v>AFFECTEDOBJECTS-ARG</x:v>
      </x:c>
      <x:c r="E58" s="2" t="str">
        <x:v>O</x:v>
      </x:c>
      <x:c r="F58" s="10" t="n">
        <x:v>0.5543177127838135</x:v>
      </x:c>
      <x:c r="G58" s="2"/>
    </x:row>
    <x:row r="59" ht="24" customHeight="1">
      <x:c r="A59" s="2" t="str">
        <x:v>FINAL081-FLOOD-06</x:v>
      </x:c>
      <x:c r="B59" s="11" t="n">
        <x:v>14</x:v>
      </x:c>
      <x:c r="C59" s="2" t="str">
        <x:v>sekarang</x:v>
      </x:c>
      <x:c r="D59" s="2" t="str">
        <x:v>TIME-ARG</x:v>
      </x:c>
      <x:c r="E59" s="2" t="str">
        <x:v>INFORMATION-ARG</x:v>
      </x:c>
      <x:c r="F59" s="10" t="n">
        <x:v>0.6804240942001343</x:v>
      </x:c>
      <x:c r="G59" s="2"/>
    </x:row>
    <x:row r="60" ht="24" customHeight="1">
      <x:c r="A60" s="2" t="str">
        <x:v>FINAL081-FLOOD-07</x:v>
      </x:c>
      <x:c r="B60" s="11" t="n">
        <x:v>13</x:v>
      </x:c>
      <x:c r="C60" s="2" t="str">
        <x:v>memastikan</x:v>
      </x:c>
      <x:c r="D60" s="2" t="str">
        <x:v>O</x:v>
      </x:c>
      <x:c r="E60" s="2" t="str">
        <x:v>INFORMATION-ARG</x:v>
      </x:c>
      <x:c r="F60" s="10" t="n">
        <x:v>0.9778077602386475</x:v>
      </x:c>
      <x:c r="G60" s="2"/>
    </x:row>
    <x:row r="61" ht="24" customHeight="1">
      <x:c r="A61" s="2" t="str">
        <x:v>FINAL081-FLOOD-07</x:v>
      </x:c>
      <x:c r="B61" s="11" t="n">
        <x:v>14</x:v>
      </x:c>
      <x:c r="C61" s="2" t="str">
        <x:v>tidak</x:v>
      </x:c>
      <x:c r="D61" s="2" t="str">
        <x:v>O</x:v>
      </x:c>
      <x:c r="E61" s="2" t="str">
        <x:v>INFORMATION-ARG</x:v>
      </x:c>
      <x:c r="F61" s="10" t="n">
        <x:v>0.9702264666557312</x:v>
      </x:c>
      <x:c r="G61" s="2"/>
    </x:row>
    <x:row r="62" ht="24" customHeight="1">
      <x:c r="A62" s="2" t="str">
        <x:v>FINAL081-FLOOD-07</x:v>
      </x:c>
      <x:c r="B62" s="11" t="n">
        <x:v>15</x:v>
      </x:c>
      <x:c r="C62" s="2" t="str">
        <x:v>ada</x:v>
      </x:c>
      <x:c r="D62" s="2" t="str">
        <x:v>O</x:v>
      </x:c>
      <x:c r="E62" s="2" t="str">
        <x:v>INFORMATION-ARG</x:v>
      </x:c>
      <x:c r="F62" s="10" t="n">
        <x:v>0.9612067341804504</x:v>
      </x:c>
      <x:c r="G62" s="2"/>
    </x:row>
    <x:row r="63" ht="24" customHeight="1">
      <x:c r="A63" s="2" t="str">
        <x:v>FINAL081-FLOOD-07</x:v>
      </x:c>
      <x:c r="B63" s="11" t="n">
        <x:v>16</x:v>
      </x:c>
      <x:c r="C63" s="2" t="str">
        <x:v>korban</x:v>
      </x:c>
      <x:c r="D63" s="2" t="str">
        <x:v>O</x:v>
      </x:c>
      <x:c r="E63" s="2" t="str">
        <x:v>INFORMATION-ARG</x:v>
      </x:c>
      <x:c r="F63" s="10" t="n">
        <x:v>0.934222400188446</x:v>
      </x:c>
      <x:c r="G63" s="2"/>
    </x:row>
    <x:row r="64" ht="24" customHeight="1">
      <x:c r="A64" s="2" t="str">
        <x:v>FINAL081-FLOOD-08</x:v>
      </x:c>
      <x:c r="B64" s="11" t="n">
        <x:v>1</x:v>
      </x:c>
      <x:c r="C64" s="2" t="str">
        <x:v>Di</x:v>
      </x:c>
      <x:c r="D64" s="2" t="str">
        <x:v>TIME-ARG</x:v>
      </x:c>
      <x:c r="E64" s="2" t="str">
        <x:v>O</x:v>
      </x:c>
      <x:c r="F64" s="10" t="n">
        <x:v>0.9374774098396301</x:v>
      </x:c>
      <x:c r="G64" s="2"/>
    </x:row>
    <x:row r="65" ht="24" customHeight="1">
      <x:c r="A65" s="2" t="str">
        <x:v>FINAL081-FLOOD-08</x:v>
      </x:c>
      <x:c r="B65" s="11" t="n">
        <x:v>2</x:v>
      </x:c>
      <x:c r="C65" s="2" t="str">
        <x:v>tengah</x:v>
      </x:c>
      <x:c r="D65" s="2" t="str">
        <x:v>TIME-ARG</x:v>
      </x:c>
      <x:c r="E65" s="2" t="str">
        <x:v>O</x:v>
      </x:c>
      <x:c r="F65" s="10" t="n">
        <x:v>0.7340162396430969</x:v>
      </x:c>
      <x:c r="G65" s="2"/>
    </x:row>
    <x:row r="66" ht="24" customHeight="1">
      <x:c r="A66" s="2" t="str">
        <x:v>FINAL081-FLOOD-08</x:v>
      </x:c>
      <x:c r="B66" s="11" t="n">
        <x:v>3</x:v>
      </x:c>
      <x:c r="C66" s="2" t="str">
        <x:v>latihan</x:v>
      </x:c>
      <x:c r="D66" s="2" t="str">
        <x:v>TIME-ARG</x:v>
      </x:c>
      <x:c r="E66" s="2" t="str">
        <x:v>INFORMATION-ARG</x:v>
      </x:c>
      <x:c r="F66" s="10" t="n">
        <x:v>0.6799160242080688</x:v>
      </x:c>
      <x:c r="G66" s="2"/>
    </x:row>
    <x:row r="67" ht="24" customHeight="1">
      <x:c r="A67" s="2" t="str">
        <x:v>FINAL081-FLOOD-08</x:v>
      </x:c>
      <x:c r="B67" s="11" t="n">
        <x:v>4</x:v>
      </x:c>
      <x:c r="C67" s="2" t="str">
        <x:v>evakuasi</x:v>
      </x:c>
      <x:c r="D67" s="2" t="str">
        <x:v>TIME-ARG</x:v>
      </x:c>
      <x:c r="E67" s="2" t="str">
        <x:v>INFORMATION-ARG</x:v>
      </x:c>
      <x:c r="F67" s="10" t="n">
        <x:v>0.9274047613143921</x:v>
      </x:c>
      <x:c r="G67" s="2"/>
    </x:row>
    <x:row r="68" ht="24" customHeight="1">
      <x:c r="A68" s="2" t="str">
        <x:v>FINAL081-FLOOD-10</x:v>
      </x:c>
      <x:c r="B68" s="11" t="n">
        <x:v>8</x:v>
      </x:c>
      <x:c r="C68" s="2" t="str">
        <x:v>menggenangi</x:v>
      </x:c>
      <x:c r="D68" s="2" t="str">
        <x:v>INFORMATION-ARG</x:v>
      </x:c>
      <x:c r="E68" s="2" t="str">
        <x:v>FLOOD-EVENT</x:v>
      </x:c>
      <x:c r="F68" s="10" t="n">
        <x:v>0.4546215236186981</x:v>
      </x:c>
      <x:c r="G68" s="2"/>
    </x:row>
    <x:row r="69" ht="24" customHeight="1">
      <x:c r="A69" s="2" t="str">
        <x:v>FINAL081-FLOOD-10</x:v>
      </x:c>
      <x:c r="B69" s="11" t="n">
        <x:v>9</x:v>
      </x:c>
      <x:c r="C69" s="2" t="str">
        <x:v>tiga</x:v>
      </x:c>
      <x:c r="D69" s="2" t="str">
        <x:v>AFFECTEDOBJECTS-ARG</x:v>
      </x:c>
      <x:c r="E69" s="2" t="str">
        <x:v>PLACE-ARG</x:v>
      </x:c>
      <x:c r="F69" s="10" t="n">
        <x:v>0.5088997483253479</x:v>
      </x:c>
      <x:c r="G69" s="2"/>
    </x:row>
    <x:row r="70" ht="24" customHeight="1">
      <x:c r="A70" s="2" t="str">
        <x:v>FINAL081-EARTHQUAKE-05</x:v>
      </x:c>
      <x:c r="B70" s="11" t="n">
        <x:v>3</x:v>
      </x:c>
      <x:c r="C70" s="2" t="str">
        <x:v>tiba</x:v>
      </x:c>
      <x:c r="D70" s="2" t="str">
        <x:v>O</x:v>
      </x:c>
      <x:c r="E70" s="2" t="str">
        <x:v>INFORMATION-ARG</x:v>
      </x:c>
      <x:c r="F70" s="10" t="n">
        <x:v>0.9657287001609802</x:v>
      </x:c>
      <x:c r="G70" s="2"/>
    </x:row>
    <x:row r="71" ht="24" customHeight="1">
      <x:c r="A71" s="2" t="str">
        <x:v>FINAL081-EARTHQUAKE-06</x:v>
      </x:c>
      <x:c r="B71" s="11" t="n">
        <x:v>12</x:v>
      </x:c>
      <x:c r="C71" s="2" t="str">
        <x:v>jalur</x:v>
      </x:c>
      <x:c r="D71" s="2" t="str">
        <x:v>AFFECTEDOBJECTS-ARG</x:v>
      </x:c>
      <x:c r="E71" s="2" t="str">
        <x:v>INFORMATION-ARG</x:v>
      </x:c>
      <x:c r="F71" s="10" t="n">
        <x:v>0.3904952108860016</x:v>
      </x:c>
      <x:c r="G71" s="2"/>
    </x:row>
    <x:row r="72" ht="24" customHeight="1">
      <x:c r="A72" s="2" t="str">
        <x:v>FINAL081-EARTHQUAKE-06</x:v>
      </x:c>
      <x:c r="B72" s="11" t="n">
        <x:v>13</x:v>
      </x:c>
      <x:c r="C72" s="2" t="str">
        <x:v>tersebut</x:v>
      </x:c>
      <x:c r="D72" s="2" t="str">
        <x:v>AFFECTEDOBJECTS-ARG</x:v>
      </x:c>
      <x:c r="E72" s="2" t="str">
        <x:v>O</x:v>
      </x:c>
      <x:c r="F72" s="10" t="n">
        <x:v>0.5470376014709473</x:v>
      </x:c>
      <x:c r="G72" s="2"/>
    </x:row>
    <x:row r="73" ht="24" customHeight="1">
      <x:c r="A73" s="2" t="str">
        <x:v>FINAL081-EARTHQUAKE-06</x:v>
      </x:c>
      <x:c r="B73" s="11" t="n">
        <x:v>14</x:v>
      </x:c>
      <x:c r="C73" s="2" t="str">
        <x:v>sekarang</x:v>
      </x:c>
      <x:c r="D73" s="2" t="str">
        <x:v>TIME-ARG</x:v>
      </x:c>
      <x:c r="E73" s="2" t="str">
        <x:v>INFORMATION-ARG</x:v>
      </x:c>
      <x:c r="F73" s="10" t="n">
        <x:v>0.5242955088615417</x:v>
      </x:c>
      <x:c r="G73" s="2"/>
    </x:row>
    <x:row r="74" ht="24" customHeight="1">
      <x:c r="A74" s="2" t="str">
        <x:v>FINAL081-EARTHQUAKE-07</x:v>
      </x:c>
      <x:c r="B74" s="11" t="n">
        <x:v>13</x:v>
      </x:c>
      <x:c r="C74" s="2" t="str">
        <x:v>memastikan</x:v>
      </x:c>
      <x:c r="D74" s="2" t="str">
        <x:v>O</x:v>
      </x:c>
      <x:c r="E74" s="2" t="str">
        <x:v>INFORMATION-ARG</x:v>
      </x:c>
      <x:c r="F74" s="10" t="n">
        <x:v>0.9817205667495728</x:v>
      </x:c>
      <x:c r="G74" s="2"/>
    </x:row>
    <x:row r="75" ht="24" customHeight="1">
      <x:c r="A75" s="2" t="str">
        <x:v>FINAL081-EARTHQUAKE-07</x:v>
      </x:c>
      <x:c r="B75" s="11" t="n">
        <x:v>14</x:v>
      </x:c>
      <x:c r="C75" s="2" t="str">
        <x:v>tidak</x:v>
      </x:c>
      <x:c r="D75" s="2" t="str">
        <x:v>O</x:v>
      </x:c>
      <x:c r="E75" s="2" t="str">
        <x:v>INFORMATION-ARG</x:v>
      </x:c>
      <x:c r="F75" s="10" t="n">
        <x:v>0.9850709438323975</x:v>
      </x:c>
      <x:c r="G75" s="2"/>
    </x:row>
    <x:row r="76" ht="24" customHeight="1">
      <x:c r="A76" s="2" t="str">
        <x:v>FINAL081-EARTHQUAKE-07</x:v>
      </x:c>
      <x:c r="B76" s="11" t="n">
        <x:v>15</x:v>
      </x:c>
      <x:c r="C76" s="2" t="str">
        <x:v>ada</x:v>
      </x:c>
      <x:c r="D76" s="2" t="str">
        <x:v>O</x:v>
      </x:c>
      <x:c r="E76" s="2" t="str">
        <x:v>INFORMATION-ARG</x:v>
      </x:c>
      <x:c r="F76" s="10" t="n">
        <x:v>0.982955276966095</x:v>
      </x:c>
      <x:c r="G76" s="2"/>
    </x:row>
    <x:row r="77" ht="24" customHeight="1">
      <x:c r="A77" s="2" t="str">
        <x:v>FINAL081-EARTHQUAKE-07</x:v>
      </x:c>
      <x:c r="B77" s="11" t="n">
        <x:v>16</x:v>
      </x:c>
      <x:c r="C77" s="2" t="str">
        <x:v>korban</x:v>
      </x:c>
      <x:c r="D77" s="2" t="str">
        <x:v>O</x:v>
      </x:c>
      <x:c r="E77" s="2" t="str">
        <x:v>INFORMATION-ARG</x:v>
      </x:c>
      <x:c r="F77" s="10" t="n">
        <x:v>0.9805589318275452</x:v>
      </x:c>
      <x:c r="G77" s="2"/>
    </x:row>
    <x:row r="78" ht="24" customHeight="1">
      <x:c r="A78" s="2" t="str">
        <x:v>FINAL081-EARTHQUAKE-08</x:v>
      </x:c>
      <x:c r="B78" s="11" t="n">
        <x:v>1</x:v>
      </x:c>
      <x:c r="C78" s="2" t="str">
        <x:v>Di</x:v>
      </x:c>
      <x:c r="D78" s="2" t="str">
        <x:v>TIME-ARG</x:v>
      </x:c>
      <x:c r="E78" s="2" t="str">
        <x:v>O</x:v>
      </x:c>
      <x:c r="F78" s="10" t="n">
        <x:v>0.943070650100708</x:v>
      </x:c>
      <x:c r="G78" s="2"/>
    </x:row>
    <x:row r="79" ht="24" customHeight="1">
      <x:c r="A79" s="2" t="str">
        <x:v>FINAL081-EARTHQUAKE-08</x:v>
      </x:c>
      <x:c r="B79" s="11" t="n">
        <x:v>2</x:v>
      </x:c>
      <x:c r="C79" s="2" t="str">
        <x:v>tengah</x:v>
      </x:c>
      <x:c r="D79" s="2" t="str">
        <x:v>TIME-ARG</x:v>
      </x:c>
      <x:c r="E79" s="2" t="str">
        <x:v>O</x:v>
      </x:c>
      <x:c r="F79" s="10" t="n">
        <x:v>0.6962811946868896</x:v>
      </x:c>
      <x:c r="G79" s="2"/>
    </x:row>
    <x:row r="80" ht="24" customHeight="1">
      <x:c r="A80" s="2" t="str">
        <x:v>FINAL081-EARTHQUAKE-08</x:v>
      </x:c>
      <x:c r="B80" s="11" t="n">
        <x:v>3</x:v>
      </x:c>
      <x:c r="C80" s="2" t="str">
        <x:v>latihan</x:v>
      </x:c>
      <x:c r="D80" s="2" t="str">
        <x:v>TIME-ARG</x:v>
      </x:c>
      <x:c r="E80" s="2" t="str">
        <x:v>INFORMATION-ARG</x:v>
      </x:c>
      <x:c r="F80" s="10" t="n">
        <x:v>0.7849531769752502</x:v>
      </x:c>
      <x:c r="G80" s="2"/>
    </x:row>
    <x:row r="81" ht="24" customHeight="1">
      <x:c r="A81" s="2" t="str">
        <x:v>FINAL081-EARTHQUAKE-08</x:v>
      </x:c>
      <x:c r="B81" s="11" t="n">
        <x:v>4</x:v>
      </x:c>
      <x:c r="C81" s="2" t="str">
        <x:v>evakuasi</x:v>
      </x:c>
      <x:c r="D81" s="2" t="str">
        <x:v>TIME-ARG</x:v>
      </x:c>
      <x:c r="E81" s="2" t="str">
        <x:v>INFORMATION-ARG</x:v>
      </x:c>
      <x:c r="F81" s="10" t="n">
        <x:v>0.9482194185256958</x:v>
      </x:c>
      <x:c r="G81" s="2"/>
    </x:row>
    <x:row r="82" ht="24" customHeight="1">
      <x:c r="A82" s="2" t="str">
        <x:v>FINAL081-EARTHQUAKE-09</x:v>
      </x:c>
      <x:c r="B82" s="11" t="n">
        <x:v>6</x:v>
      </x:c>
      <x:c r="C82" s="2" t="str">
        <x:v>benar-benar</x:v>
      </x:c>
      <x:c r="D82" s="2" t="str">
        <x:v>O</x:v>
      </x:c>
      <x:c r="E82" s="2" t="str">
        <x:v>INFORMATION-ARG</x:v>
      </x:c>
      <x:c r="F82" s="10" t="n">
        <x:v>0.6734200119972229</x:v>
      </x:c>
      <x:c r="G82" s="2"/>
    </x:row>
    <x:row r="83" ht="24" customHeight="1">
      <x:c r="A83" s="2" t="str">
        <x:v>FINAL081-FIRE-01</x:v>
      </x:c>
      <x:c r="B83" s="11" t="n">
        <x:v>5</x:v>
      </x:c>
      <x:c r="C83" s="2" t="str">
        <x:v>menghanguskan</x:v>
      </x:c>
      <x:c r="D83" s="2" t="str">
        <x:v>INFORMATION-ARG</x:v>
      </x:c>
      <x:c r="E83" s="2" t="str">
        <x:v>FIRE-EVENT</x:v>
      </x:c>
      <x:c r="F83" s="10" t="n">
        <x:v>0.6993791460990906</x:v>
      </x:c>
      <x:c r="G83" s="2"/>
    </x:row>
    <x:row r="84" ht="24" customHeight="1">
      <x:c r="A84" s="2" t="str">
        <x:v>FINAL081-FIRE-02</x:v>
      </x:c>
      <x:c r="B84" s="11" t="n">
        <x:v>2</x:v>
      </x:c>
      <x:c r="C84" s="2" t="str">
        <x:v>menghanguskan</x:v>
      </x:c>
      <x:c r="D84" s="2" t="str">
        <x:v>INFORMATION-ARG</x:v>
      </x:c>
      <x:c r="E84" s="2" t="str">
        <x:v>FIRE-EVENT</x:v>
      </x:c>
      <x:c r="F84" s="10" t="n">
        <x:v>0.42401841282844543</x:v>
      </x:c>
      <x:c r="G84" s="2"/>
    </x:row>
    <x:row r="85" ht="24" customHeight="1">
      <x:c r="A85" s="2" t="str">
        <x:v>FINAL081-FIRE-03</x:v>
      </x:c>
      <x:c r="B85" s="11" t="n">
        <x:v>2</x:v>
      </x:c>
      <x:c r="C85" s="2" t="str">
        <x:v>menghanguskan</x:v>
      </x:c>
      <x:c r="D85" s="2" t="str">
        <x:v>INFORMATION-ARG</x:v>
      </x:c>
      <x:c r="E85" s="2" t="str">
        <x:v>FIRE-EVENT</x:v>
      </x:c>
      <x:c r="F85" s="10" t="n">
        <x:v>0.5696248412132263</x:v>
      </x:c>
      <x:c r="G85" s="2"/>
    </x:row>
    <x:row r="86" ht="24" customHeight="1">
      <x:c r="A86" s="2" t="str">
        <x:v>FINAL081-FIRE-04</x:v>
      </x:c>
      <x:c r="B86" s="11" t="n">
        <x:v>12</x:v>
      </x:c>
      <x:c r="C86" s="2" t="str">
        <x:v>menghanguskan</x:v>
      </x:c>
      <x:c r="D86" s="2" t="str">
        <x:v>INFORMATION-ARG</x:v>
      </x:c>
      <x:c r="E86" s="2" t="str">
        <x:v>FIRE-EVENT</x:v>
      </x:c>
      <x:c r="F86" s="10" t="n">
        <x:v>0.4402987062931061</x:v>
      </x:c>
      <x:c r="G86" s="2"/>
    </x:row>
    <x:row r="87" ht="24" customHeight="1">
      <x:c r="A87" s="2" t="str">
        <x:v>FINAL081-FIRE-05</x:v>
      </x:c>
      <x:c r="B87" s="11" t="n">
        <x:v>3</x:v>
      </x:c>
      <x:c r="C87" s="2" t="str">
        <x:v>tiba</x:v>
      </x:c>
      <x:c r="D87" s="2" t="str">
        <x:v>O</x:v>
      </x:c>
      <x:c r="E87" s="2" t="str">
        <x:v>INFORMATION-ARG</x:v>
      </x:c>
      <x:c r="F87" s="10" t="n">
        <x:v>0.9621624946594238</x:v>
      </x:c>
      <x:c r="G87" s="2"/>
    </x:row>
    <x:row r="88" ht="24" customHeight="1">
      <x:c r="A88" s="2" t="str">
        <x:v>FINAL081-FIRE-05</x:v>
      </x:c>
      <x:c r="B88" s="11" t="n">
        <x:v>12</x:v>
      </x:c>
      <x:c r="C88" s="2" t="str">
        <x:v>menghanguskan</x:v>
      </x:c>
      <x:c r="D88" s="2" t="str">
        <x:v>INFORMATION-ARG</x:v>
      </x:c>
      <x:c r="E88" s="2" t="str">
        <x:v>AFFECTEDOBJECTS-ARG</x:v>
      </x:c>
      <x:c r="F88" s="10" t="n">
        <x:v>0.3765445053577423</x:v>
      </x:c>
      <x:c r="G88" s="2"/>
    </x:row>
    <x:row r="89" ht="24" customHeight="1">
      <x:c r="A89" s="2" t="str">
        <x:v>FINAL081-FIRE-06</x:v>
      </x:c>
      <x:c r="B89" s="11" t="n">
        <x:v>12</x:v>
      </x:c>
      <x:c r="C89" s="2" t="str">
        <x:v>jalur</x:v>
      </x:c>
      <x:c r="D89" s="2" t="str">
        <x:v>AFFECTEDOBJECTS-ARG</x:v>
      </x:c>
      <x:c r="E89" s="2" t="str">
        <x:v>INFORMATION-ARG</x:v>
      </x:c>
      <x:c r="F89" s="10" t="n">
        <x:v>0.4541175365447998</x:v>
      </x:c>
      <x:c r="G89" s="2"/>
    </x:row>
    <x:row r="90" ht="24" customHeight="1">
      <x:c r="A90" s="2" t="str">
        <x:v>FINAL081-FIRE-06</x:v>
      </x:c>
      <x:c r="B90" s="11" t="n">
        <x:v>13</x:v>
      </x:c>
      <x:c r="C90" s="2" t="str">
        <x:v>tersebut</x:v>
      </x:c>
      <x:c r="D90" s="2" t="str">
        <x:v>AFFECTEDOBJECTS-ARG</x:v>
      </x:c>
      <x:c r="E90" s="2" t="str">
        <x:v>O</x:v>
      </x:c>
      <x:c r="F90" s="10" t="n">
        <x:v>0.48549145460128784</x:v>
      </x:c>
      <x:c r="G90" s="2"/>
    </x:row>
    <x:row r="91" ht="24" customHeight="1">
      <x:c r="A91" s="2" t="str">
        <x:v>FINAL081-FIRE-06</x:v>
      </x:c>
      <x:c r="B91" s="11" t="n">
        <x:v>14</x:v>
      </x:c>
      <x:c r="C91" s="2" t="str">
        <x:v>sekarang</x:v>
      </x:c>
      <x:c r="D91" s="2" t="str">
        <x:v>TIME-ARG</x:v>
      </x:c>
      <x:c r="E91" s="2" t="str">
        <x:v>INFORMATION-ARG</x:v>
      </x:c>
      <x:c r="F91" s="10" t="n">
        <x:v>0.6915550827980042</x:v>
      </x:c>
      <x:c r="G91" s="2"/>
    </x:row>
    <x:row r="92" ht="24" customHeight="1">
      <x:c r="A92" s="2" t="str">
        <x:v>FINAL081-FIRE-07</x:v>
      </x:c>
      <x:c r="B92" s="11" t="n">
        <x:v>2</x:v>
      </x:c>
      <x:c r="C92" s="2" t="str">
        <x:v>menghanguskan</x:v>
      </x:c>
      <x:c r="D92" s="2" t="str">
        <x:v>INFORMATION-ARG</x:v>
      </x:c>
      <x:c r="E92" s="2" t="str">
        <x:v>FIRE-EVENT</x:v>
      </x:c>
      <x:c r="F92" s="10" t="n">
        <x:v>0.6629170179367065</x:v>
      </x:c>
      <x:c r="G92" s="2"/>
    </x:row>
    <x:row r="93" ht="24" customHeight="1">
      <x:c r="A93" s="2" t="str">
        <x:v>FINAL081-FIRE-07</x:v>
      </x:c>
      <x:c r="B93" s="11" t="n">
        <x:v>13</x:v>
      </x:c>
      <x:c r="C93" s="2" t="str">
        <x:v>memastikan</x:v>
      </x:c>
      <x:c r="D93" s="2" t="str">
        <x:v>O</x:v>
      </x:c>
      <x:c r="E93" s="2" t="str">
        <x:v>INFORMATION-ARG</x:v>
      </x:c>
      <x:c r="F93" s="10" t="n">
        <x:v>0.985863983631134</x:v>
      </x:c>
      <x:c r="G93" s="2"/>
    </x:row>
    <x:row r="94" ht="24" customHeight="1">
      <x:c r="A94" s="2" t="str">
        <x:v>FINAL081-FIRE-07</x:v>
      </x:c>
      <x:c r="B94" s="11" t="n">
        <x:v>14</x:v>
      </x:c>
      <x:c r="C94" s="2" t="str">
        <x:v>tidak</x:v>
      </x:c>
      <x:c r="D94" s="2" t="str">
        <x:v>O</x:v>
      </x:c>
      <x:c r="E94" s="2" t="str">
        <x:v>INFORMATION-ARG</x:v>
      </x:c>
      <x:c r="F94" s="10" t="n">
        <x:v>0.970655083656311</x:v>
      </x:c>
      <x:c r="G94" s="2"/>
    </x:row>
    <x:row r="95" ht="24" customHeight="1">
      <x:c r="A95" s="2" t="str">
        <x:v>FINAL081-FIRE-07</x:v>
      </x:c>
      <x:c r="B95" s="11" t="n">
        <x:v>15</x:v>
      </x:c>
      <x:c r="C95" s="2" t="str">
        <x:v>ada</x:v>
      </x:c>
      <x:c r="D95" s="2" t="str">
        <x:v>O</x:v>
      </x:c>
      <x:c r="E95" s="2" t="str">
        <x:v>INFORMATION-ARG</x:v>
      </x:c>
      <x:c r="F95" s="10" t="n">
        <x:v>0.967805802822113</x:v>
      </x:c>
      <x:c r="G95" s="2"/>
    </x:row>
    <x:row r="96" ht="24" customHeight="1">
      <x:c r="A96" s="2" t="str">
        <x:v>FINAL081-FIRE-07</x:v>
      </x:c>
      <x:c r="B96" s="11" t="n">
        <x:v>16</x:v>
      </x:c>
      <x:c r="C96" s="2" t="str">
        <x:v>korban</x:v>
      </x:c>
      <x:c r="D96" s="2" t="str">
        <x:v>O</x:v>
      </x:c>
      <x:c r="E96" s="2" t="str">
        <x:v>INFORMATION-ARG</x:v>
      </x:c>
      <x:c r="F96" s="10" t="n">
        <x:v>0.9641327857971191</x:v>
      </x:c>
      <x:c r="G96" s="2"/>
    </x:row>
    <x:row r="97" ht="24" customHeight="1">
      <x:c r="A97" s="2" t="str">
        <x:v>FINAL081-FIRE-08</x:v>
      </x:c>
      <x:c r="B97" s="11" t="n">
        <x:v>1</x:v>
      </x:c>
      <x:c r="C97" s="2" t="str">
        <x:v>Di</x:v>
      </x:c>
      <x:c r="D97" s="2" t="str">
        <x:v>TIME-ARG</x:v>
      </x:c>
      <x:c r="E97" s="2" t="str">
        <x:v>O</x:v>
      </x:c>
      <x:c r="F97" s="10" t="n">
        <x:v>0.8884868025779724</x:v>
      </x:c>
      <x:c r="G97" s="2"/>
    </x:row>
    <x:row r="98" ht="24" customHeight="1">
      <x:c r="A98" s="2" t="str">
        <x:v>FINAL081-FIRE-08</x:v>
      </x:c>
      <x:c r="B98" s="11" t="n">
        <x:v>2</x:v>
      </x:c>
      <x:c r="C98" s="2" t="str">
        <x:v>tengah</x:v>
      </x:c>
      <x:c r="D98" s="2" t="str">
        <x:v>TIME-ARG</x:v>
      </x:c>
      <x:c r="E98" s="2" t="str">
        <x:v>O</x:v>
      </x:c>
      <x:c r="F98" s="10" t="n">
        <x:v>0.5446239709854126</x:v>
      </x:c>
      <x:c r="G98" s="2"/>
    </x:row>
    <x:row r="99" ht="24" customHeight="1">
      <x:c r="A99" s="2" t="str">
        <x:v>FINAL081-FIRE-08</x:v>
      </x:c>
      <x:c r="B99" s="11" t="n">
        <x:v>3</x:v>
      </x:c>
      <x:c r="C99" s="2" t="str">
        <x:v>latihan</x:v>
      </x:c>
      <x:c r="D99" s="2" t="str">
        <x:v>TIME-ARG</x:v>
      </x:c>
      <x:c r="E99" s="2" t="str">
        <x:v>INFORMATION-ARG</x:v>
      </x:c>
      <x:c r="F99" s="10" t="n">
        <x:v>0.8135467171669006</x:v>
      </x:c>
      <x:c r="G99" s="2"/>
    </x:row>
    <x:row r="100" ht="24" customHeight="1">
      <x:c r="A100" s="2" t="str">
        <x:v>FINAL081-FIRE-08</x:v>
      </x:c>
      <x:c r="B100" s="11" t="n">
        <x:v>4</x:v>
      </x:c>
      <x:c r="C100" s="2" t="str">
        <x:v>evakuasi</x:v>
      </x:c>
      <x:c r="D100" s="2" t="str">
        <x:v>TIME-ARG</x:v>
      </x:c>
      <x:c r="E100" s="2" t="str">
        <x:v>INFORMATION-ARG</x:v>
      </x:c>
      <x:c r="F100" s="10" t="n">
        <x:v>0.9583370685577393</x:v>
      </x:c>
      <x:c r="G100" s="2"/>
    </x:row>
    <x:row r="101" ht="24" customHeight="1">
      <x:c r="A101" s="2" t="str">
        <x:v>FINAL081-FIRE-08</x:v>
      </x:c>
      <x:c r="B101" s="11" t="n">
        <x:v>8</x:v>
      </x:c>
      <x:c r="C101" s="2" t="str">
        <x:v>menghanguskan</x:v>
      </x:c>
      <x:c r="D101" s="2" t="str">
        <x:v>INFORMATION-ARG</x:v>
      </x:c>
      <x:c r="E101" s="2" t="str">
        <x:v>FIRE-EVENT</x:v>
      </x:c>
      <x:c r="F101" s="10" t="n">
        <x:v>0.5688043832778931</x:v>
      </x:c>
      <x:c r="G101" s="2"/>
    </x:row>
    <x:row r="102" ht="24" customHeight="1">
      <x:c r="A102" s="2" t="str">
        <x:v>FINAL081-FIRE-10</x:v>
      </x:c>
      <x:c r="B102" s="11" t="n">
        <x:v>8</x:v>
      </x:c>
      <x:c r="C102" s="2" t="str">
        <x:v>menghanguskan</x:v>
      </x:c>
      <x:c r="D102" s="2" t="str">
        <x:v>INFORMATION-ARG</x:v>
      </x:c>
      <x:c r="E102" s="2" t="str">
        <x:v>FIRE-EVENT</x:v>
      </x:c>
      <x:c r="F102" s="10" t="n">
        <x:v>0.7914226055145264</x:v>
      </x:c>
      <x:c r="G102" s="2"/>
    </x:row>
    <x:row r="103" ht="24" customHeight="1">
      <x:c r="A103" s="2" t="str">
        <x:v>FINAL081-ACCIDENT-01</x:v>
      </x:c>
      <x:c r="B103" s="11" t="n">
        <x:v>12</x:v>
      </x:c>
      <x:c r="C103" s="2" t="str">
        <x:v>Tengah</x:v>
      </x:c>
      <x:c r="D103" s="2" t="str">
        <x:v>PLACE-ARG</x:v>
      </x:c>
      <x:c r="E103" s="2" t="str">
        <x:v>TIME-ARG</x:v>
      </x:c>
      <x:c r="F103" s="10" t="n">
        <x:v>0.9834332466125488</x:v>
      </x:c>
      <x:c r="G103" s="2"/>
    </x:row>
    <x:row r="104" ht="24" customHeight="1">
      <x:c r="A104" s="2" t="str">
        <x:v>FINAL081-ACCIDENT-03</x:v>
      </x:c>
      <x:c r="B104" s="11" t="n">
        <x:v>9</x:v>
      </x:c>
      <x:c r="C104" s="2" t="str">
        <x:v>Tengah</x:v>
      </x:c>
      <x:c r="D104" s="2" t="str">
        <x:v>PLACE-ARG</x:v>
      </x:c>
      <x:c r="E104" s="2" t="str">
        <x:v>TIME-ARG</x:v>
      </x:c>
      <x:c r="F104" s="10" t="n">
        <x:v>0.9729793071746826</x:v>
      </x:c>
      <x:c r="G104" s="2"/>
    </x:row>
    <x:row r="105" ht="24" customHeight="1">
      <x:c r="A105" s="2" t="str">
        <x:v>FINAL081-ACCIDENT-05</x:v>
      </x:c>
      <x:c r="B105" s="11" t="n">
        <x:v>3</x:v>
      </x:c>
      <x:c r="C105" s="2" t="str">
        <x:v>tiba</x:v>
      </x:c>
      <x:c r="D105" s="2" t="str">
        <x:v>O</x:v>
      </x:c>
      <x:c r="E105" s="2" t="str">
        <x:v>INFORMATION-ARG</x:v>
      </x:c>
      <x:c r="F105" s="10" t="n">
        <x:v>0.9339922070503235</x:v>
      </x:c>
      <x:c r="G105" s="2"/>
    </x:row>
    <x:row r="106" ht="24" customHeight="1">
      <x:c r="A106" s="2" t="str">
        <x:v>FINAL081-ACCIDENT-05</x:v>
      </x:c>
      <x:c r="B106" s="11" t="n">
        <x:v>7</x:v>
      </x:c>
      <x:c r="C106" s="2" t="str">
        <x:v>Tengah</x:v>
      </x:c>
      <x:c r="D106" s="2" t="str">
        <x:v>PLACE-ARG</x:v>
      </x:c>
      <x:c r="E106" s="2" t="str">
        <x:v>TIME-ARG</x:v>
      </x:c>
      <x:c r="F106" s="10" t="n">
        <x:v>0.9269401431083679</x:v>
      </x:c>
      <x:c r="G106" s="2"/>
    </x:row>
    <x:row r="107" ht="24" customHeight="1">
      <x:c r="A107" s="2" t="str">
        <x:v>FINAL081-ACCIDENT-06</x:v>
      </x:c>
      <x:c r="B107" s="11" t="n">
        <x:v>13</x:v>
      </x:c>
      <x:c r="C107" s="2" t="str">
        <x:v>jalur</x:v>
      </x:c>
      <x:c r="D107" s="2" t="str">
        <x:v>AFFECTEDOBJECTS-ARG</x:v>
      </x:c>
      <x:c r="E107" s="2" t="str">
        <x:v>O</x:v>
      </x:c>
      <x:c r="F107" s="10" t="n">
        <x:v>0.32900023460388184</x:v>
      </x:c>
      <x:c r="G107" s="2"/>
    </x:row>
    <x:row r="108" ht="24" customHeight="1">
      <x:c r="A108" s="2" t="str">
        <x:v>FINAL081-ACCIDENT-06</x:v>
      </x:c>
      <x:c r="B108" s="11" t="n">
        <x:v>14</x:v>
      </x:c>
      <x:c r="C108" s="2" t="str">
        <x:v>tersebut</x:v>
      </x:c>
      <x:c r="D108" s="2" t="str">
        <x:v>AFFECTEDOBJECTS-ARG</x:v>
      </x:c>
      <x:c r="E108" s="2" t="str">
        <x:v>O</x:v>
      </x:c>
      <x:c r="F108" s="10" t="n">
        <x:v>0.6760461926460266</x:v>
      </x:c>
      <x:c r="G108" s="2"/>
    </x:row>
    <x:row r="109" ht="24" customHeight="1">
      <x:c r="A109" s="2" t="str">
        <x:v>FINAL081-ACCIDENT-06</x:v>
      </x:c>
      <x:c r="B109" s="11" t="n">
        <x:v>15</x:v>
      </x:c>
      <x:c r="C109" s="2" t="str">
        <x:v>sekarang</x:v>
      </x:c>
      <x:c r="D109" s="2" t="str">
        <x:v>TIME-ARG</x:v>
      </x:c>
      <x:c r="E109" s="2" t="str">
        <x:v>INFORMATION-ARG</x:v>
      </x:c>
      <x:c r="F109" s="10" t="n">
        <x:v>0.4749930500984192</x:v>
      </x:c>
      <x:c r="G109" s="2"/>
    </x:row>
    <x:row r="110" ht="24" customHeight="1">
      <x:c r="A110" s="2" t="str">
        <x:v>FINAL081-ACCIDENT-07</x:v>
      </x:c>
      <x:c r="B110" s="11" t="n">
        <x:v>9</x:v>
      </x:c>
      <x:c r="C110" s="2" t="str">
        <x:v>Tengah</x:v>
      </x:c>
      <x:c r="D110" s="2" t="str">
        <x:v>PLACE-ARG</x:v>
      </x:c>
      <x:c r="E110" s="2" t="str">
        <x:v>TIME-ARG</x:v>
      </x:c>
      <x:c r="F110" s="10" t="n">
        <x:v>0.9881523251533508</x:v>
      </x:c>
      <x:c r="G110" s="2"/>
    </x:row>
    <x:row r="111" ht="24" customHeight="1">
      <x:c r="A111" s="2" t="str">
        <x:v>FINAL081-ACCIDENT-07</x:v>
      </x:c>
      <x:c r="B111" s="11" t="n">
        <x:v>14</x:v>
      </x:c>
      <x:c r="C111" s="2" t="str">
        <x:v>memastikan</x:v>
      </x:c>
      <x:c r="D111" s="2" t="str">
        <x:v>O</x:v>
      </x:c>
      <x:c r="E111" s="2" t="str">
        <x:v>INFORMATION-ARG</x:v>
      </x:c>
      <x:c r="F111" s="10" t="n">
        <x:v>0.9760785102844238</x:v>
      </x:c>
      <x:c r="G111" s="2"/>
    </x:row>
    <x:row r="112" ht="24" customHeight="1">
      <x:c r="A112" s="2" t="str">
        <x:v>FINAL081-ACCIDENT-07</x:v>
      </x:c>
      <x:c r="B112" s="11" t="n">
        <x:v>15</x:v>
      </x:c>
      <x:c r="C112" s="2" t="str">
        <x:v>tidak</x:v>
      </x:c>
      <x:c r="D112" s="2" t="str">
        <x:v>O</x:v>
      </x:c>
      <x:c r="E112" s="2" t="str">
        <x:v>INFORMATION-ARG</x:v>
      </x:c>
      <x:c r="F112" s="10" t="n">
        <x:v>0.9147422313690186</x:v>
      </x:c>
      <x:c r="G112" s="2"/>
    </x:row>
    <x:row r="113" ht="24" customHeight="1">
      <x:c r="A113" s="2" t="str">
        <x:v>FINAL081-ACCIDENT-07</x:v>
      </x:c>
      <x:c r="B113" s="11" t="n">
        <x:v>16</x:v>
      </x:c>
      <x:c r="C113" s="2" t="str">
        <x:v>ada</x:v>
      </x:c>
      <x:c r="D113" s="2" t="str">
        <x:v>O</x:v>
      </x:c>
      <x:c r="E113" s="2" t="str">
        <x:v>INFORMATION-ARG</x:v>
      </x:c>
      <x:c r="F113" s="10" t="n">
        <x:v>0.8942795991897583</x:v>
      </x:c>
      <x:c r="G113" s="2"/>
    </x:row>
    <x:row r="114" ht="24" customHeight="1">
      <x:c r="A114" s="2" t="str">
        <x:v>FINAL081-ACCIDENT-07</x:v>
      </x:c>
      <x:c r="B114" s="11" t="n">
        <x:v>17</x:v>
      </x:c>
      <x:c r="C114" s="2" t="str">
        <x:v>korban</x:v>
      </x:c>
      <x:c r="D114" s="2" t="str">
        <x:v>O</x:v>
      </x:c>
      <x:c r="E114" s="2" t="str">
        <x:v>INFORMATION-ARG</x:v>
      </x:c>
      <x:c r="F114" s="10" t="n">
        <x:v>0.796845555305481</x:v>
      </x:c>
      <x:c r="G114" s="2"/>
    </x:row>
    <x:row r="115" ht="24" customHeight="1">
      <x:c r="A115" s="2" t="str">
        <x:v>FINAL081-ACCIDENT-08</x:v>
      </x:c>
      <x:c r="B115" s="11" t="n">
        <x:v>1</x:v>
      </x:c>
      <x:c r="C115" s="2" t="str">
        <x:v>Di</x:v>
      </x:c>
      <x:c r="D115" s="2" t="str">
        <x:v>TIME-ARG</x:v>
      </x:c>
      <x:c r="E115" s="2" t="str">
        <x:v>O</x:v>
      </x:c>
      <x:c r="F115" s="10" t="n">
        <x:v>0.9340291023254395</x:v>
      </x:c>
      <x:c r="G115" s="2"/>
    </x:row>
    <x:row r="116" ht="24" customHeight="1">
      <x:c r="A116" s="2" t="str">
        <x:v>FINAL081-ACCIDENT-08</x:v>
      </x:c>
      <x:c r="B116" s="11" t="n">
        <x:v>2</x:v>
      </x:c>
      <x:c r="C116" s="2" t="str">
        <x:v>tengah</x:v>
      </x:c>
      <x:c r="D116" s="2" t="str">
        <x:v>TIME-ARG</x:v>
      </x:c>
      <x:c r="E116" s="2" t="str">
        <x:v>O</x:v>
      </x:c>
      <x:c r="F116" s="10" t="n">
        <x:v>0.6862685680389404</x:v>
      </x:c>
      <x:c r="G116" s="2"/>
    </x:row>
    <x:row r="117" ht="24" customHeight="1">
      <x:c r="A117" s="2" t="str">
        <x:v>FINAL081-ACCIDENT-08</x:v>
      </x:c>
      <x:c r="B117" s="11" t="n">
        <x:v>3</x:v>
      </x:c>
      <x:c r="C117" s="2" t="str">
        <x:v>latihan</x:v>
      </x:c>
      <x:c r="D117" s="2" t="str">
        <x:v>TIME-ARG</x:v>
      </x:c>
      <x:c r="E117" s="2" t="str">
        <x:v>INFORMATION-ARG</x:v>
      </x:c>
      <x:c r="F117" s="10" t="n">
        <x:v>0.5189805626869202</x:v>
      </x:c>
      <x:c r="G117" s="2"/>
    </x:row>
    <x:row r="118" ht="24" customHeight="1">
      <x:c r="A118" s="2" t="str">
        <x:v>FINAL081-ACCIDENT-08</x:v>
      </x:c>
      <x:c r="B118" s="11" t="n">
        <x:v>4</x:v>
      </x:c>
      <x:c r="C118" s="2" t="str">
        <x:v>evakuasi</x:v>
      </x:c>
      <x:c r="D118" s="2" t="str">
        <x:v>TIME-ARG</x:v>
      </x:c>
      <x:c r="E118" s="2" t="str">
        <x:v>INFORMATION-ARG</x:v>
      </x:c>
      <x:c r="F118" s="10" t="n">
        <x:v>0.9074314832687378</x:v>
      </x:c>
      <x:c r="G118" s="2"/>
    </x:row>
    <x:row r="119" ht="24" customHeight="1">
      <x:c r="A119" s="2" t="str">
        <x:v>FINAL081-ACCIDENT-09</x:v>
      </x:c>
      <x:c r="B119" s="11" t="n">
        <x:v>14</x:v>
      </x:c>
      <x:c r="C119" s="2" t="str">
        <x:v>Tengah</x:v>
      </x:c>
      <x:c r="D119" s="2" t="str">
        <x:v>PLACE-ARG</x:v>
      </x:c>
      <x:c r="E119" s="2" t="str">
        <x:v>TIME-ARG</x:v>
      </x:c>
      <x:c r="F119" s="10" t="n">
        <x:v>0.9760348796844482</x:v>
      </x:c>
      <x:c r="G119" s="2"/>
    </x:row>
    <x:row r="120" ht="24" customHeight="1">
      <x:c r="A120" s="2" t="str">
        <x:v>FINAL081-ACCIDENT-10</x:v>
      </x:c>
      <x:c r="B120" s="11" t="n">
        <x:v>8</x:v>
      </x:c>
      <x:c r="C120" s="2" t="str">
        <x:v>merusak</x:v>
      </x:c>
      <x:c r="D120" s="2" t="str">
        <x:v>INFORMATION-ARG</x:v>
      </x:c>
      <x:c r="E120" s="2" t="str">
        <x:v>O</x:v>
      </x:c>
      <x:c r="F120" s="10" t="n">
        <x:v>0.39361199736595154</x:v>
      </x:c>
      <x:c r="G120" s="2"/>
    </x:row>
    <x:row r="121" ht="24" customHeight="1">
      <x:c r="A121" s="2" t="str">
        <x:v>FINAL081-NON_EVENT-01</x:v>
      </x:c>
      <x:c r="B121" s="11" t="n">
        <x:v>3</x:v>
      </x:c>
      <x:c r="C121" s="2" t="str">
        <x:v>menggelar</x:v>
      </x:c>
      <x:c r="D121" s="2" t="str">
        <x:v>O</x:v>
      </x:c>
      <x:c r="E121" s="2" t="str">
        <x:v>INFORMATION-ARG</x:v>
      </x:c>
      <x:c r="F121" s="10" t="n">
        <x:v>0.6833442449569702</x:v>
      </x:c>
      <x:c r="G121" s="2"/>
    </x:row>
    <x:row r="122" ht="24" customHeight="1">
      <x:c r="A122" s="2" t="str">
        <x:v>FINAL081-NON_EVENT-01</x:v>
      </x:c>
      <x:c r="B122" s="11" t="n">
        <x:v>4</x:v>
      </x:c>
      <x:c r="C122" s="2" t="str">
        <x:v>simulasi</x:v>
      </x:c>
      <x:c r="D122" s="2" t="str">
        <x:v>O</x:v>
      </x:c>
      <x:c r="E122" s="2" t="str">
        <x:v>INFORMATION-ARG</x:v>
      </x:c>
      <x:c r="F122" s="10" t="n">
        <x:v>0.5124785900115967</x:v>
      </x:c>
      <x:c r="G122" s="2"/>
    </x:row>
    <x:row r="123" ht="24" customHeight="1">
      <x:c r="A123" s="2" t="str">
        <x:v>FINAL081-NON_EVENT-01</x:v>
      </x:c>
      <x:c r="B123" s="11" t="n">
        <x:v>5</x:v>
      </x:c>
      <x:c r="C123" s="2" t="str">
        <x:v>kebakaran</x:v>
      </x:c>
      <x:c r="D123" s="2" t="str">
        <x:v>FALSE-EVENT</x:v>
      </x:c>
      <x:c r="E123" s="2" t="str">
        <x:v>FIRE-EVENT</x:v>
      </x:c>
      <x:c r="F123" s="10" t="n">
        <x:v>0.8647619485855103</x:v>
      </x:c>
      <x:c r="G123" s="2"/>
    </x:row>
    <x:row r="124" ht="24" customHeight="1">
      <x:c r="A124" s="2" t="str">
        <x:v>FINAL081-NON_EVENT-02</x:v>
      </x:c>
      <x:c r="B124" s="11" t="n">
        <x:v>10</x:v>
      </x:c>
      <x:c r="C124" s="2" t="str">
        <x:v>ini</x:v>
      </x:c>
      <x:c r="D124" s="2" t="str">
        <x:v>TIME-ARG</x:v>
      </x:c>
      <x:c r="E124" s="2" t="str">
        <x:v>O</x:v>
      </x:c>
      <x:c r="F124" s="10" t="n">
        <x:v>0.5903872847557068</x:v>
      </x:c>
      <x:c r="G124" s="2"/>
    </x:row>
    <x:row r="125" ht="24" customHeight="1">
      <x:c r="A125" s="2" t="str">
        <x:v>FINAL081-NON_EVENT-03</x:v>
      </x:c>
      <x:c r="B125" s="11" t="n">
        <x:v>1</x:v>
      </x:c>
      <x:c r="C125" s="2" t="str">
        <x:v>Besok</x:v>
      </x:c>
      <x:c r="D125" s="2" t="str">
        <x:v>TIME-ARG</x:v>
      </x:c>
      <x:c r="E125" s="2" t="str">
        <x:v>O</x:v>
      </x:c>
      <x:c r="F125" s="10" t="n">
        <x:v>0.9450379014015198</x:v>
      </x:c>
      <x:c r="G125" s="2"/>
    </x:row>
    <x:row r="126" ht="24" customHeight="1">
      <x:c r="A126" s="2" t="str">
        <x:v>FINAL081-NON_EVENT-03</x:v>
      </x:c>
      <x:c r="B126" s="11" t="n">
        <x:v>5</x:v>
      </x:c>
      <x:c r="C126" s="2" t="str">
        <x:v>banjir</x:v>
      </x:c>
      <x:c r="D126" s="2" t="str">
        <x:v>FALSE-EVENT</x:v>
      </x:c>
      <x:c r="E126" s="2" t="str">
        <x:v>FLOOD-EVENT</x:v>
      </x:c>
      <x:c r="F126" s="10" t="n">
        <x:v>0.712761402130127</x:v>
      </x:c>
      <x:c r="G126" s="2"/>
    </x:row>
    <x:row r="127" ht="24" customHeight="1">
      <x:c r="A127" s="2" t="str">
        <x:v>FINAL081-NON_EVENT-04</x:v>
      </x:c>
      <x:c r="B127" s="11" t="n">
        <x:v>2</x:v>
      </x:c>
      <x:c r="C127" s="2" t="str">
        <x:v>memastikan</x:v>
      </x:c>
      <x:c r="D127" s="2" t="str">
        <x:v>O</x:v>
      </x:c>
      <x:c r="E127" s="2" t="str">
        <x:v>INFORMATION-ARG</x:v>
      </x:c>
      <x:c r="F127" s="10" t="n">
        <x:v>0.6889862418174744</x:v>
      </x:c>
      <x:c r="G127" s="2"/>
    </x:row>
    <x:row r="128" ht="24" customHeight="1">
      <x:c r="A128" s="2" t="str">
        <x:v>FINAL081-NON_EVENT-04</x:v>
      </x:c>
      <x:c r="B128" s="11" t="n">
        <x:v>5</x:v>
      </x:c>
      <x:c r="C128" s="2" t="str">
        <x:v>gempa</x:v>
      </x:c>
      <x:c r="D128" s="2" t="str">
        <x:v>FALSE-EVENT</x:v>
      </x:c>
      <x:c r="E128" s="2" t="str">
        <x:v>EARTHQUAKE-EVENT</x:v>
      </x:c>
      <x:c r="F128" s="10" t="n">
        <x:v>0.8715552091598511</x:v>
      </x:c>
      <x:c r="G128" s="2"/>
    </x:row>
    <x:row r="129" ht="24" customHeight="1">
      <x:c r="A129" s="2" t="str">
        <x:v>FINAL081-NON_EVENT-05</x:v>
      </x:c>
      <x:c r="B129" s="11" t="n">
        <x:v>1</x:v>
      </x:c>
      <x:c r="C129" s="2" t="str">
        <x:v>Unggahan</x:v>
      </x:c>
      <x:c r="D129" s="2" t="str">
        <x:v>O</x:v>
      </x:c>
      <x:c r="E129" s="2" t="str">
        <x:v>OFFICER-ARG</x:v>
      </x:c>
      <x:c r="F129" s="10" t="n">
        <x:v>0.972849428653717</x:v>
      </x:c>
      <x:c r="G129" s="2"/>
    </x:row>
    <x:row r="130" ht="24" customHeight="1">
      <x:c r="A130" s="2" t="str">
        <x:v>FINAL081-NON_EVENT-05</x:v>
      </x:c>
      <x:c r="B130" s="11" t="n">
        <x:v>3</x:v>
      </x:c>
      <x:c r="C130" s="2" t="str">
        <x:v>itu</x:v>
      </x:c>
      <x:c r="D130" s="2" t="str">
        <x:v>OFFICER-ARG</x:v>
      </x:c>
      <x:c r="E130" s="2" t="str">
        <x:v>O</x:v>
      </x:c>
      <x:c r="F130" s="10" t="n">
        <x:v>0.8390783071517944</x:v>
      </x:c>
      <x:c r="G130" s="2"/>
    </x:row>
    <x:row r="131" ht="24" customHeight="1">
      <x:c r="A131" s="2" t="str">
        <x:v>FINAL081-NON_EVENT-05</x:v>
      </x:c>
      <x:c r="B131" s="11" t="n">
        <x:v>5</x:v>
      </x:c>
      <x:c r="C131" s="2" t="str">
        <x:v>banjir</x:v>
      </x:c>
      <x:c r="D131" s="2" t="str">
        <x:v>FALSE-EVENT</x:v>
      </x:c>
      <x:c r="E131" s="2" t="str">
        <x:v>FLOOD-EVENT</x:v>
      </x:c>
      <x:c r="F131" s="10" t="n">
        <x:v>0.5482016801834106</x:v>
      </x:c>
      <x:c r="G131" s="2"/>
    </x:row>
    <x:row r="132" ht="24" customHeight="1">
      <x:c r="A132" s="2" t="str">
        <x:v>FINAL081-NON_EVENT-06</x:v>
      </x:c>
      <x:c r="B132" s="11" t="n">
        <x:v>3</x:v>
      </x:c>
      <x:c r="C132" s="2" t="str">
        <x:v>menyiapkan</x:v>
      </x:c>
      <x:c r="D132" s="2" t="str">
        <x:v>O</x:v>
      </x:c>
      <x:c r="E132" s="2" t="str">
        <x:v>INFORMATION-ARG</x:v>
      </x:c>
      <x:c r="F132" s="10" t="n">
        <x:v>0.9681313037872314</x:v>
      </x:c>
      <x:c r="G132" s="2"/>
    </x:row>
    <x:row r="133" ht="24" customHeight="1">
      <x:c r="A133" s="2" t="str">
        <x:v>FINAL081-NON_EVENT-06</x:v>
      </x:c>
      <x:c r="B133" s="11" t="n">
        <x:v>4</x:v>
      </x:c>
      <x:c r="C133" s="2" t="str">
        <x:v>jalur</x:v>
      </x:c>
      <x:c r="D133" s="2" t="str">
        <x:v>O</x:v>
      </x:c>
      <x:c r="E133" s="2" t="str">
        <x:v>INFORMATION-ARG</x:v>
      </x:c>
      <x:c r="F133" s="10" t="n">
        <x:v>0.9596784710884094</x:v>
      </x:c>
      <x:c r="G133" s="2"/>
    </x:row>
    <x:row r="134" ht="24" customHeight="1">
      <x:c r="A134" s="2" t="str">
        <x:v>FINAL081-NON_EVENT-06</x:v>
      </x:c>
      <x:c r="B134" s="11" t="n">
        <x:v>5</x:v>
      </x:c>
      <x:c r="C134" s="2" t="str">
        <x:v>evakuasi</x:v>
      </x:c>
      <x:c r="D134" s="2" t="str">
        <x:v>O</x:v>
      </x:c>
      <x:c r="E134" s="2" t="str">
        <x:v>INFORMATION-ARG</x:v>
      </x:c>
      <x:c r="F134" s="10" t="n">
        <x:v>0.954251229763031</x:v>
      </x:c>
      <x:c r="G134" s="2"/>
    </x:row>
    <x:row r="135" ht="24" customHeight="1">
      <x:c r="A135" s="2" t="str">
        <x:v>FINAL081-NON_EVENT-06</x:v>
      </x:c>
      <x:c r="B135" s="11" t="n">
        <x:v>7</x:v>
      </x:c>
      <x:c r="C135" s="2" t="str">
        <x:v>mengantisipasi</x:v>
      </x:c>
      <x:c r="D135" s="2" t="str">
        <x:v>O</x:v>
      </x:c>
      <x:c r="E135" s="2" t="str">
        <x:v>INFORMATION-ARG</x:v>
      </x:c>
      <x:c r="F135" s="10" t="n">
        <x:v>0.5377991199493408</x:v>
      </x:c>
      <x:c r="G135" s="2"/>
    </x:row>
    <x:row r="136" ht="24" customHeight="1">
      <x:c r="A136" s="2" t="str">
        <x:v>FINAL081-NON_EVENT-06</x:v>
      </x:c>
      <x:c r="B136" s="11" t="n">
        <x:v>8</x:v>
      </x:c>
      <x:c r="C136" s="2" t="str">
        <x:v>banjir</x:v>
      </x:c>
      <x:c r="D136" s="2" t="str">
        <x:v>FALSE-EVENT</x:v>
      </x:c>
      <x:c r="E136" s="2" t="str">
        <x:v>FLOOD-EVENT</x:v>
      </x:c>
      <x:c r="F136" s="10" t="n">
        <x:v>0.9388761520385742</x:v>
      </x:c>
      <x:c r="G136" s="2"/>
    </x:row>
    <x:row r="137" ht="24" customHeight="1">
      <x:c r="A137" s="2" t="str">
        <x:v>FINAL081-NON_EVENT-07</x:v>
      </x:c>
      <x:c r="B137" s="11" t="n">
        <x:v>1</x:v>
      </x:c>
      <x:c r="C137" s="2" t="str">
        <x:v>Buku</x:v>
      </x:c>
      <x:c r="D137" s="2" t="str">
        <x:v>O</x:v>
      </x:c>
      <x:c r="E137" s="2" t="str">
        <x:v>OFFICER-ARG</x:v>
      </x:c>
      <x:c r="F137" s="10" t="n">
        <x:v>0.8176963925361633</x:v>
      </x:c>
      <x:c r="G137" s="2"/>
    </x:row>
    <x:row r="138" ht="24" customHeight="1">
      <x:c r="A138" s="2" t="str">
        <x:v>FINAL081-NON_EVENT-07</x:v>
      </x:c>
      <x:c r="B138" s="11" t="n">
        <x:v>2</x:v>
      </x:c>
      <x:c r="C138" s="2" t="str">
        <x:v>keselamatan</x:v>
      </x:c>
      <x:c r="D138" s="2" t="str">
        <x:v>O</x:v>
      </x:c>
      <x:c r="E138" s="2" t="str">
        <x:v>OFFICER-ARG</x:v>
      </x:c>
      <x:c r="F138" s="10" t="n">
        <x:v>0.7377757430076599</x:v>
      </x:c>
      <x:c r="G138" s="2"/>
    </x:row>
    <x:row r="139" ht="24" customHeight="1">
      <x:c r="A139" s="2" t="str">
        <x:v>FINAL081-NON_EVENT-08</x:v>
      </x:c>
      <x:c r="B139" s="11" t="n">
        <x:v>7</x:v>
      </x:c>
      <x:c r="C139" s="2" t="str">
        <x:v>sepanjang</x:v>
      </x:c>
      <x:c r="D139" s="2" t="str">
        <x:v>TIME-ARG</x:v>
      </x:c>
      <x:c r="E139" s="2" t="str">
        <x:v>O</x:v>
      </x:c>
      <x:c r="F139" s="10" t="n">
        <x:v>0.9639352560043335</x:v>
      </x:c>
      <x:c r="G139" s="2"/>
    </x:row>
    <x:row r="140" ht="24" customHeight="1">
      <x:c r="A140" s="2" t="str">
        <x:v>FINAL081-NON_EVENT-08</x:v>
      </x:c>
      <x:c r="B140" s="11" t="n">
        <x:v>8</x:v>
      </x:c>
      <x:c r="C140" s="2" t="str">
        <x:v>dekade</x:v>
      </x:c>
      <x:c r="D140" s="2" t="str">
        <x:v>TIME-ARG</x:v>
      </x:c>
      <x:c r="E140" s="2" t="str">
        <x:v>O</x:v>
      </x:c>
      <x:c r="F140" s="10" t="n">
        <x:v>0.8040630221366882</x:v>
      </x:c>
      <x:c r="G140" s="2"/>
    </x:row>
    <x:row r="141" ht="24" customHeight="1">
      <x:c r="A141" s="2" t="str">
        <x:v>FINAL081-NON_EVENT-09</x:v>
      </x:c>
      <x:c r="B141" s="11" t="n">
        <x:v>4</x:v>
      </x:c>
      <x:c r="C141" s="2" t="str">
        <x:v>tahunan</x:v>
      </x:c>
      <x:c r="D141" s="2" t="str">
        <x:v>TIME-ARG</x:v>
      </x:c>
      <x:c r="E141" s="2" t="str">
        <x:v>O</x:v>
      </x:c>
      <x:c r="F141" s="10" t="n">
        <x:v>0.958479642868042</x:v>
      </x:c>
      <x:c r="G141" s="2"/>
    </x:row>
    <x:row r="142" ht="24" customHeight="1">
      <x:c r="A142" s="2" t="str">
        <x:v>FINAL081-NON_EVENT-09</x:v>
      </x:c>
      <x:c r="B142" s="11" t="n">
        <x:v>11</x:v>
      </x:c>
      <x:c r="C142" s="2" t="str">
        <x:v>dari</x:v>
      </x:c>
      <x:c r="D142" s="2" t="str">
        <x:v>TIME-ARG</x:v>
      </x:c>
      <x:c r="E142" s="2" t="str">
        <x:v>O</x:v>
      </x:c>
      <x:c r="F142" s="10" t="n">
        <x:v>0.9933711290359497</x:v>
      </x:c>
      <x:c r="G142" s="2"/>
    </x:row>
    <x:row r="143" ht="24" customHeight="1">
      <x:c r="A143" s="2" t="str">
        <x:v>FINAL081-NON_EVENT-09</x:v>
      </x:c>
      <x:c r="B143" s="11" t="n">
        <x:v>12</x:v>
      </x:c>
      <x:c r="C143" s="2" t="str">
        <x:v>beberapa</x:v>
      </x:c>
      <x:c r="D143" s="2" t="str">
        <x:v>TIME-ARG</x:v>
      </x:c>
      <x:c r="E143" s="2" t="str">
        <x:v>O</x:v>
      </x:c>
      <x:c r="F143" s="10" t="n">
        <x:v>0.9145886301994324</x:v>
      </x:c>
      <x:c r="G143" s="2"/>
    </x:row>
    <x:row r="144" ht="24" customHeight="1">
      <x:c r="A144" s="2" t="str">
        <x:v>FINAL081-NON_EVENT-09</x:v>
      </x:c>
      <x:c r="B144" s="11" t="n">
        <x:v>13</x:v>
      </x:c>
      <x:c r="C144" s="2" t="str">
        <x:v>tahun</x:v>
      </x:c>
      <x:c r="D144" s="2" t="str">
        <x:v>TIME-ARG</x:v>
      </x:c>
      <x:c r="E144" s="2" t="str">
        <x:v>O</x:v>
      </x:c>
      <x:c r="F144" s="10" t="n">
        <x:v>0.8235276341438293</x:v>
      </x:c>
      <x:c r="G144" s="2"/>
    </x:row>
    <x:row r="145" ht="24" customHeight="1">
      <x:c r="A145" s="2" t="str">
        <x:v>FINAL081-NON_EVENT-09</x:v>
      </x:c>
      <x:c r="B145" s="11" t="n">
        <x:v>14</x:v>
      </x:c>
      <x:c r="C145" s="2" t="str">
        <x:v>berbeda</x:v>
      </x:c>
      <x:c r="D145" s="2" t="str">
        <x:v>TIME-ARG</x:v>
      </x:c>
      <x:c r="E145" s="2" t="str">
        <x:v>O</x:v>
      </x:c>
      <x:c r="F145" s="10" t="n">
        <x:v>0.9329236745834351</x:v>
      </x:c>
      <x:c r="G145" s="2"/>
    </x:row>
    <x:row r="146" ht="24" customHeight="1">
      <x:c r="A146" s="2"/>
      <x:c r="B146" s="2"/>
      <x:c r="C146" s="2"/>
      <x:c r="D146" s="2"/>
      <x:c r="E146" s="2"/>
      <x:c r="F146" s="2"/>
      <x:c r="G146" s="2"/>
    </x:row>
    <x:row r="147" ht="24" customHeight="1">
      <x:c r="A147" s="2"/>
      <x:c r="B147" s="2"/>
      <x:c r="C147" s="2"/>
      <x:c r="D147" s="2"/>
      <x:c r="E147" s="2"/>
      <x:c r="F147" s="2"/>
      <x:c r="G147" s="2"/>
    </x:row>
  </x:sheetData>
  <x:conditionalFormatting sqref="F6:F51">
    <x:cfRule type="containsText" dxfId="1" priority="1" operator="containsText" text="Masih"/>
  </x:conditionalFormatting>
  <x:pageMargins left="0.7" right="0.7" top="0.75" bottom="0.75" header="0.3" footer="0.3"/>
  <x:tableParts count="2">
    <x:tablePart xmlns:r="http://schemas.openxmlformats.org/officeDocument/2006/relationships" r:id="R9565cfbe98b04fb8"/>
    <x:tablePart xmlns:r="http://schemas.openxmlformats.org/officeDocument/2006/relationships" r:id="R952485164cab47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66" hidden="0" customWidth="1"/>
    <x:col min="3" max="3" width="54" hidden="0" customWidth="1"/>
    <x:col min="4" max="4" width="5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Rekap eksekusi terbaru</x:v>
      </x:c>
      <x:c r="B2" s="5"/>
      <x:c r="C2" s="5"/>
      <x:c r="D2" s="5"/>
    </x:row>
    <x:row r="3" ht="24" customHeight="1">
      <x:c r="A3" s="6" t="str">
        <x:v>Eksekusi notebook memakai sel CPython. Bukti gagal dan koreksi pelaporan tetap dipertahankan.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0" customHeight="1">
      <x:c r="A5" s="9" t="str">
        <x:v>Notebook/langkah</x:v>
      </x:c>
      <x:c r="B5" s="9" t="str">
        <x:v>Pekerjaan</x:v>
      </x:c>
      <x:c r="C5" s="9" t="str">
        <x:v>Eksekusi</x:v>
      </x:c>
      <x:c r="D5" s="9" t="str">
        <x:v>Peran hasil</x:v>
      </x:c>
    </x:row>
    <x:row r="6" ht="76" customHeight="1">
      <x:c r="A6" s="13" t="str">
        <x:v>23_Uji_Penerimaan_Akhir_SLR09_v0.8.1.ipynb</x:v>
      </x:c>
      <x:c r="B6" s="13" t="str">
        <x:v>Inferensi aktual 50 narasi setelah Excel lolos validasi.</x:v>
      </x:c>
      <x:c r="C6" s="13" t="str">
        <x:v>50/50 diinferensikan; workflow FAILED pada SCORING lokasi gabungan.</x:v>
      </x:c>
      <x:c r="D6" s="13" t="str">
        <x:v>Kegagalan dan keluaran asli tetap ada.</x:v>
      </x:c>
    </x:row>
    <x:row r="7" ht="76" customHeight="1">
      <x:c r="A7" s="13" t="str">
        <x:v>rescore_saved_acceptance_v081.py</x:v>
      </x:c>
      <x:c r="B7" s="13" t="str">
        <x:v>Lengkapi penilaian memakai prediksi beku yang sama.</x:v>
      </x:c>
      <x:c r="C7" s="13" t="str">
        <x:v>CLI aktual selesai; tidak ada NN baru atau perubahan gold.</x:v>
      </x:c>
      <x:c r="D7" s="13" t="str">
        <x:v>Uji pertama gagal field: 163/207=78,74%.</x:v>
      </x:c>
    </x:row>
    <x:row r="8" ht="76" customHeight="1">
      <x:c r="A8" s="13" t="str">
        <x:v>24_Verifikasi_Perbaikan_Field_v0.8.2.ipynb</x:v>
      </x:c>
      <x:c r="B8" s="13" t="str">
        <x:v>Audit bukti replay CLI, 76 tes kontrak, dan jalankan 23 tes evaluator.</x:v>
      </x:c>
      <x:c r="C8" s="13" t="str">
        <x:v>SUCCEEDED; salinan _executed tersimpan.</x:v>
      </x:c>
      <x:c r="D8" s="13" t="str">
        <x:v>Sesudah perbaikan: 169/207=81,64%, merupakan regresi.</x:v>
      </x:c>
    </x:row>
    <x:row r="9" ht="76" customHeight="1">
      <x:c r="A9" s="13" t="str">
        <x:v>24b_Verifikasi_Komposisi_Predikat_v0.8.2.ipynb</x:v>
      </x:c>
      <x:c r="B9" s="13" t="str">
        <x:v>Audit replay final dan 80 tes kontrak, lalu jalankan 23 tes evaluator.</x:v>
      </x:c>
      <x:c r="C9" s="13" t="str">
        <x:v>SUCCEEDED; tidak ada neural inference atau perubahan gold.</x:v>
      </x:c>
      <x:c r="D9" s="13" t="str">
        <x:v>Sesudah komposisi predikat: 177/207=85,51%, tetap regresi.</x:v>
      </x:c>
    </x:row>
    <x:row r="10" ht="76" customHeight="1">
      <x:c r="A10" s="13" t="str">
        <x:v>25_Uji_Penerimaan_SLR09_v0.8.2.ipynb</x:v>
      </x:c>
      <x:c r="B10" s="13" t="str">
        <x:v>Impor acuan FINAL082 setelah direview, bekukan, lalu uji kandidat.</x:v>
      </x:c>
      <x:c r="C10" s="13" t="str">
        <x:v>BELUM DIJALANKAN: 50 narasi/671 token baru PENDING.</x:v>
      </x:c>
      <x:c r="D10" s="13" t="str">
        <x:v>Putaran penerimaan berikutnya; tidak ada persetujuan mutu otomatis.</x:v>
      </x:c>
    </x:row>
    <x:row r="11" ht="24" customHeight="1">
      <x:c r="A11" s="2"/>
      <x:c r="B11" s="2"/>
      <x:c r="C11" s="2"/>
      <x:c r="D11" s="2"/>
    </x:row>
    <x:row r="12" ht="24" customHeight="1">
      <x:c r="A12" s="2"/>
      <x:c r="B12" s="2"/>
      <x:c r="C12" s="2"/>
      <x:c r="D12" s="2"/>
    </x:row>
  </x:sheetData>
  <x:pageMargins left="0.7" right="0.7" top="0.75" bottom="0.75" header="0.3" footer="0.3"/>
  <x:tableParts count="1">
    <x:tablePart xmlns:r="http://schemas.openxmlformats.org/officeDocument/2006/relationships" r:id="R74bcb7b30a1a4cdc"/>
  </x:tableParts>
</x:worksheet>
</file>