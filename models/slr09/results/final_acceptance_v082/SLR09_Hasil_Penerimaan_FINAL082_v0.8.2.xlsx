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bb6e8ff50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sil" sheetId="1" r:id="Ra7ac76b0bc074847"/>
    <x:sheet xmlns:r="http://schemas.openxmlformats.org/officeDocument/2006/relationships" name="Narasi" sheetId="2" r:id="R212c24940ea7442a"/>
    <x:sheet xmlns:r="http://schemas.openxmlformats.org/officeDocument/2006/relationships" name="Kesalahan" sheetId="3" r:id="Rd6f181a9c2b64307"/>
    <x:sheet xmlns:r="http://schemas.openxmlformats.org/officeDocument/2006/relationships" name="Notebook" sheetId="4" r:id="R5f89e835a9694c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sz val="10"/>
      <x:color rgb="FF172B3A"/>
      <x:name val="Arial"/>
    </x:font>
    <x:font>
      <x:b/>
      <x:sz val="15"/>
      <x:color rgb="FF172B3A"/>
      <x:name val="Arial"/>
    </x:font>
    <x:font>
      <x:b/>
      <x:sz val="10"/>
      <x:color rgb="FF172B3A"/>
      <x:name val="Arial"/>
    </x:font>
    <x:font>
      <x:i/>
      <x:sz val="10"/>
      <x:color rgb="FF52637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BC9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A2424"/>
      </x:font>
      <x:fill>
        <x:patternFill patternType="solid">
          <x:bgColor rgb="FFFCE6E6"/>
        </x:patternFill>
      </x:fill>
    </x:dxf>
    <x:dxf>
      <x:font>
        <x:color rgb="FF9A2424"/>
      </x:font>
      <x:fill>
        <x:patternFill patternType="solid">
          <x:bgColor rgb="FFFC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f0dd33e2514800" /><Relationship Type="http://schemas.openxmlformats.org/officeDocument/2006/relationships/theme" Target="/xl/theme/theme1.xml" Id="R2d3135ad2b4a4bca" /><Relationship Type="http://schemas.openxmlformats.org/officeDocument/2006/relationships/sharedStrings" Target="/xl/sharedStrings.xml" Id="Re033610fdae2460d" /><Relationship Type="http://schemas.openxmlformats.org/officeDocument/2006/relationships/worksheet" Target="/xl/worksheets/sheet1.xml" Id="Ra7ac76b0bc074847" /><Relationship Type="http://schemas.openxmlformats.org/officeDocument/2006/relationships/worksheet" Target="/xl/worksheets/sheet2.xml" Id="R212c24940ea7442a" /><Relationship Type="http://schemas.openxmlformats.org/officeDocument/2006/relationships/worksheet" Target="/xl/worksheets/sheet3.xml" Id="Rd6f181a9c2b64307" /><Relationship Type="http://schemas.openxmlformats.org/officeDocument/2006/relationships/worksheet" Target="/xl/worksheets/sheet4.xml" Id="R5f89e835a9694c06" /></Relationships>
</file>

<file path=xl/tables/table1.xml><?xml version="1.0" encoding="utf-8"?>
<x:table xmlns:x="http://schemas.openxmlformats.org/spreadsheetml/2006/main" id="1" name="Final082Narratives" displayName="Final082Narratives" ref="A5:I55" headerRowCount="1" totalsRowCount="0" totalsRowShown="0">
  <x:tableColumns count="9">
    <x:tableColumn id="1" name="ID"/>
    <x:tableColumn id="2" name="Narasi"/>
    <x:tableColumn id="3" name="Acuan kelas"/>
    <x:tableColumn id="4" name="Prediksi SENA"/>
    <x:tableColumn id="5" name="Confidence"/>
    <x:tableColumn id="6" name="Flag &lt;0,95"/>
    <x:tableColumn id="7" name="Reviewer"/>
    <x:tableColumn id="8" name="Keluarga"/>
    <x:tableColumn id="9" name="Catatan 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082ClassError" displayName="Final082ClassError" ref="A5:F6" headerRowCount="1" totalsRowCount="0" totalsRowShown="0">
  <x:tableColumns count="6">
    <x:tableColumn id="1" name="ID"/>
    <x:tableColumn id="2" name="Keluarga"/>
    <x:tableColumn id="3" name="Kategori acuan"/>
    <x:tableColumn id="4" name="Kategori model"/>
    <x:tableColumn id="5" name="Confidence"/>
    <x:tableColumn id="6" name="Nara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082FieldErrors" displayName="Final082FieldErrors" ref="A11:F41" headerRowCount="1" totalsRowCount="0" totalsRowShown="0">
  <x:tableColumns count="6">
    <x:tableColumn id="1" name="ID"/>
    <x:tableColumn id="2" name="Field"/>
    <x:tableColumn id="3" name="Acuan manusia"/>
    <x:tableColumn id="4" name="Hasil model"/>
    <x:tableColumn id="5" name="Jenis"/>
    <x:tableColumn id="6" name="Naras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082TokenErrors" displayName="Final082TokenErrors" ref="A45:F119" headerRowCount="1" totalsRowCount="0" totalsRowShown="0">
  <x:tableColumns count="6">
    <x:tableColumn id="1" name="ID"/>
    <x:tableColumn id="2" name="Posisi token"/>
    <x:tableColumn id="3" name="Token"/>
    <x:tableColumn id="4" name="Label acuan"/>
    <x:tableColumn id="5" name="Label model"/>
    <x:tableColumn id="6" name="Confidence tok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l082NotebookRecord" displayName="Final082NotebookRecord" ref="A5:D10" headerRowCount="1" totalsRowCount="0" totalsRowShown="0">
  <x:tableColumns count="4">
    <x:tableColumn id="1" name="Notebook/langkah"/>
    <x:tableColumn id="2" name="Pekerjaan"/>
    <x:tableColumn id="3" name="Hasil aktual"/>
    <x:tableColumn id="4" name="Makna has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20c2ad262145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a5306c4b4f4b30" /><Relationship Type="http://schemas.openxmlformats.org/officeDocument/2006/relationships/table" Target="/xl/tables/table3.xml" Id="Reaa1952b38404c41" /><Relationship Type="http://schemas.openxmlformats.org/officeDocument/2006/relationships/table" Target="/xl/tables/table4.xml" Id="Rc1c2d32320ac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b1bdfca9bb7c4d25" /></Relationships>
</file>

<file path=xl/worksheets/sheet1.xml><?xml version="1.0" encoding="utf-8"?>
<x:worksheet xmlns:x="http://schemas.openxmlformats.org/spreadsheetml/2006/main">
  <x:sheetPr>
    <x:tabColor rgb="FF18344B"/>
  </x:sheetPr>
  <x:sheetViews>
    <x:sheetView showGridLines="0" workbookViewId="0"/>
  </x:sheetViews>
  <x:sheetFormatPr defaultRowHeight="15"/>
  <x:cols>
    <x:col min="1" max="1" width="49" hidden="0" customWidth="1"/>
    <x:col min="2" max="2" width="20" hidden="0" customWidth="1"/>
    <x:col min="3" max="3" width="18" hidden="0" customWidth="1"/>
    <x:col min="4" max="4" width="18" hidden="0" customWidth="1"/>
    <x:col min="5" max="5" width="19" hidden="0" customWidth="1"/>
    <x:col min="6" max="6" width="20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4" t="str">
        <x:v>SLR_09: hasil penerimaan FINAL082</x:v>
      </x:c>
      <x:c r="B2" s="5"/>
      <x:c r="C2" s="5"/>
      <x:c r="D2" s="5"/>
      <x:c r="E2" s="5"/>
      <x:c r="F2" s="5"/>
    </x:row>
    <x:row r="3" ht="24" customHeight="1">
      <x:c r="A3" s="2"/>
      <x:c r="B3" s="2"/>
      <x:c r="C3" s="2"/>
      <x:c r="D3" s="2"/>
      <x:c r="E3" s="2"/>
      <x:c r="F3" s="2"/>
    </x:row>
    <x:row r="4" ht="24" customHeight="1">
      <x:c r="A4" s="6" t="str">
        <x:f>IF(COUNTIFS(E8:E16,"Lulus")=9,"SIAP PENERIMAAN MUTU","PERLU PERBAIKAN: SLR_09 IN REVIEW")</x:f>
        <x:v>PERLU PERBAIKAN: SLR_09 IN REVIEW</x:v>
      </x:c>
      <x:c r="B4" s="2"/>
      <x:c r="C4" s="2"/>
      <x:c r="D4" s="2"/>
      <x:c r="E4" s="2"/>
      <x:c r="F4" s="2"/>
    </x:row>
    <x:row r="5" ht="24" customHeight="1">
      <x:c r="A5" s="7" t="str">
        <x:v>50 acuan bintang; inferensi 50/50. Tujuh target angka lulus, delapan dari sembilan pemeriksaan lulus.</x:v>
      </x:c>
      <x:c r="B5" s="2"/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32" customHeight="1">
      <x:c r="A7" s="11" t="str">
        <x:v>Penilaian</x:v>
      </x:c>
      <x:c r="B7" s="11" t="str">
        <x:v>Hasil</x:v>
      </x:c>
      <x:c r="C7" s="11" t="str">
        <x:v>Aturan</x:v>
      </x:c>
      <x:c r="D7" s="11" t="str">
        <x:v>Target</x:v>
      </x:c>
      <x:c r="E7" s="11" t="str">
        <x:v>Status</x:v>
      </x:c>
      <x:c r="F7" s="2"/>
    </x:row>
    <x:row r="8" ht="24" customHeight="1">
      <x:c r="A8" s="2" t="str">
        <x:v>SENA macro F1</x:v>
      </x:c>
      <x:c r="B8" s="12" t="n">
        <x:f>AVERAGE(D26:D30)</x:f>
        <x:v>0.9799498746867169</x:v>
      </x:c>
      <x:c r="C8" s="13" t="str">
        <x:v>≥</x:v>
      </x:c>
      <x:c r="D8" s="12" t="n">
        <x:v>0.85</x:v>
      </x:c>
      <x:c r="E8" s="13" t="str">
        <x:f>IF(AND(ISNUMBER(B8),B8&gt;=D8),"Lulus","Belum")</x:f>
        <x:v>Lulus</x:v>
      </x:c>
      <x:c r="F8" s="2"/>
    </x:row>
    <x:row r="9" ht="24" customHeight="1">
      <x:c r="A9" s="2" t="str">
        <x:v>Recall NON_EVENT</x:v>
      </x:c>
      <x:c r="B9" s="12" t="n">
        <x:f>C30</x:f>
        <x:v>0.9</x:v>
      </x:c>
      <x:c r="C9" s="13" t="str">
        <x:v>≥</x:v>
      </x:c>
      <x:c r="D9" s="12" t="n">
        <x:v>0.9</x:v>
      </x:c>
      <x:c r="E9" s="13" t="str">
        <x:f>IF(AND(ISNUMBER(B9),B9&gt;=D9),"Lulus","Belum")</x:f>
        <x:v>Lulus</x:v>
      </x:c>
      <x:c r="F9" s="2"/>
    </x:row>
    <x:row r="10" ht="24" customHeight="1">
      <x:c r="A10" s="2" t="str">
        <x:v>Recall tiap kelas kejadian minimum</x:v>
      </x:c>
      <x:c r="B10" s="12" t="n">
        <x:f>MIN(C26:C29)</x:f>
        <x:v>1</x:v>
      </x:c>
      <x:c r="C10" s="13" t="str">
        <x:v>≥</x:v>
      </x:c>
      <x:c r="D10" s="12" t="n">
        <x:v>0.8</x:v>
      </x:c>
      <x:c r="E10" s="13" t="str">
        <x:f>IF(AND(ISNUMBER(B10),B10&gt;=D10),"Lulus","Belum")</x:f>
        <x:v>Lulus</x:v>
      </x:c>
      <x:c r="F10" s="2"/>
    </x:row>
    <x:row r="11" ht="24" customHeight="1">
      <x:c r="A11" s="2" t="str">
        <x:v>NARA macro F1 semua 14 non-O</x:v>
      </x:c>
      <x:c r="B11" s="12" t="n">
        <x:f>AVERAGE(D34:D47)</x:f>
        <x:v>0.8641419874646844</x:v>
      </x:c>
      <x:c r="C11" s="13" t="str">
        <x:v>≥</x:v>
      </x:c>
      <x:c r="D11" s="12" t="n">
        <x:v>0.75</x:v>
      </x:c>
      <x:c r="E11" s="13" t="str">
        <x:f>IF(AND(ISNUMBER(B11),B11&gt;=D11),"Lulus","Belum")</x:f>
        <x:v>Lulus</x:v>
      </x:c>
      <x:c r="F11" s="2"/>
    </x:row>
    <x:row r="12" ht="24" customHeight="1">
      <x:c r="A12" s="2" t="str">
        <x:v>NARA exact span F1</x:v>
      </x:c>
      <x:c r="B12" s="12" t="n">
        <x:v>0.8515625</x:v>
      </x:c>
      <x:c r="C12" s="13" t="str">
        <x:v>≥</x:v>
      </x:c>
      <x:c r="D12" s="12" t="n">
        <x:v>0.6</x:v>
      </x:c>
      <x:c r="E12" s="13" t="str">
        <x:f>IF(AND(ISNUMBER(B12),B12&gt;=D12),"Lulus","Belum")</x:f>
        <x:v>Lulus</x:v>
      </x:c>
      <x:c r="F12" s="2"/>
    </x:row>
    <x:row r="13" ht="24" customHeight="1">
      <x:c r="A13" s="2" t="str">
        <x:v>Ketepatan field nonkosong</x:v>
      </x:c>
      <x:c r="B13" s="12" t="n">
        <x:f>B22/C22</x:f>
        <x:v>0.8808290155440415</x:v>
      </x:c>
      <x:c r="C13" s="13" t="str">
        <x:v>≥</x:v>
      </x:c>
      <x:c r="D13" s="12" t="n">
        <x:v>0.8</x:v>
      </x:c>
      <x:c r="E13" s="13" t="str">
        <x:f>IF(AND(ISNUMBER(B13),B13&gt;=D13),"Lulus","Belum")</x:f>
        <x:v>Lulus</x:v>
      </x:c>
      <x:c r="F13" s="2"/>
    </x:row>
    <x:row r="14" ht="24" customHeight="1">
      <x:c r="A14" s="2" t="str">
        <x:v>Isi berlebih pada field kosong</x:v>
      </x:c>
      <x:c r="B14" s="12" t="n">
        <x:f>B23/C23</x:f>
        <x:v>0.044585987261146494</x:v>
      </x:c>
      <x:c r="C14" s="13" t="str">
        <x:v>≤</x:v>
      </x:c>
      <x:c r="D14" s="12" t="n">
        <x:v>0.05</x:v>
      </x:c>
      <x:c r="E14" s="13" t="str">
        <x:f>IF(AND(ISNUMBER(B14),B14&lt;=D14),"Lulus","Belum")</x:f>
        <x:v>Lulus</x:v>
      </x:c>
      <x:c r="F14" s="2"/>
    </x:row>
    <x:row r="15" ht="24" customHeight="1">
      <x:c r="A15" s="2" t="str">
        <x:v>Kontrak adapter</x:v>
      </x:c>
      <x:c r="B15" s="2" t="str">
        <x:v>Benar</x:v>
      </x:c>
      <x:c r="C15" s="13" t="str">
        <x:v>Wajib</x:v>
      </x:c>
      <x:c r="D15" s="2" t="str">
        <x:v>Benar</x:v>
      </x:c>
      <x:c r="E15" s="13" t="str">
        <x:f>IF(B15=D15,"Lulus","Belum")</x:f>
        <x:v>Lulus</x:v>
      </x:c>
      <x:c r="F15" s="2"/>
    </x:row>
    <x:row r="16" ht="24" customHeight="1">
      <x:c r="A16" s="2" t="str">
        <x:v>Kontras simulasi/latihan benar</x:v>
      </x:c>
      <x:c r="B16" s="2" t="n">
        <x:v>5</x:v>
      </x:c>
      <x:c r="C16" s="13" t="str">
        <x:v>Semua</x:v>
      </x:c>
      <x:c r="D16" s="2" t="n">
        <x:v>6</x:v>
      </x:c>
      <x:c r="E16" s="13" t="str">
        <x:f>IF(B16=D16,"Lulus","Belum")</x:f>
        <x:v>Belum</x:v>
      </x:c>
      <x:c r="F16" s="2"/>
    </x:row>
    <x:row r="17" ht="24" customHeight="1">
      <x:c r="A17" s="2"/>
      <x:c r="B17" s="2"/>
      <x:c r="C17" s="2"/>
      <x:c r="D17" s="2"/>
      <x:c r="E17" s="2"/>
      <x:c r="F17" s="2"/>
    </x:row>
    <x:row r="18" ht="24" customHeight="1">
      <x:c r="A18" s="7" t="str">
        <x:v>Satu latihan kecelakaan salah dianggap nyata; confidence 92,89% sudah memicu flag &lt;95%.</x:v>
      </x:c>
      <x:c r="B18" s="2"/>
      <x:c r="C18" s="2"/>
      <x:c r="D18" s="2"/>
      <x:c r="E18" s="2"/>
      <x:c r="F18" s="2"/>
    </x:row>
    <x:row r="19" ht="24" customHeight="1">
      <x:c r="A19" s="7" t="str">
        <x:v>Flag verifikasi manusia tetap bekerja. Persyaratan kontras menilai ketepatan kategori.</x:v>
      </x:c>
      <x:c r="B19" s="2"/>
      <x:c r="C19" s="2"/>
      <x:c r="D19" s="2"/>
      <x:c r="E19" s="2"/>
      <x:c r="F19" s="2"/>
    </x:row>
    <x:row r="20" ht="24" customHeight="1">
      <x:c r="A20" s="2"/>
      <x:c r="B20" s="2"/>
      <x:c r="C20" s="2"/>
      <x:c r="D20" s="2"/>
      <x:c r="E20" s="2"/>
      <x:c r="F20" s="2"/>
    </x:row>
    <x:row r="21" ht="32" customHeight="1">
      <x:c r="A21" s="11" t="str">
        <x:v>Dasar hitung field</x:v>
      </x:c>
      <x:c r="B21" s="11" t="str">
        <x:v>Jumlah tepat/berlebih</x:v>
      </x:c>
      <x:c r="C21" s="11" t="str">
        <x:v>Jumlah acuan</x:v>
      </x:c>
      <x:c r="D21" s="2"/>
      <x:c r="E21" s="2"/>
      <x:c r="F21" s="2"/>
    </x:row>
    <x:row r="22" ht="24" customHeight="1">
      <x:c r="A22" s="2" t="str">
        <x:v>Field nonkosong tepat</x:v>
      </x:c>
      <x:c r="B22" s="2" t="n">
        <x:v>170</x:v>
      </x:c>
      <x:c r="C22" s="2" t="n">
        <x:v>193</x:v>
      </x:c>
      <x:c r="D22" s="2"/>
      <x:c r="E22" s="2"/>
      <x:c r="F22" s="2"/>
    </x:row>
    <x:row r="23" ht="24" customHeight="1">
      <x:c r="A23" s="2" t="str">
        <x:v>Field kosong berisi berlebih</x:v>
      </x:c>
      <x:c r="B23" s="2" t="n">
        <x:v>7</x:v>
      </x:c>
      <x:c r="C23" s="2" t="n">
        <x:v>157</x:v>
      </x:c>
      <x:c r="D23" s="2"/>
      <x:c r="E23" s="2"/>
      <x:c r="F23" s="2"/>
    </x:row>
    <x:row r="24" ht="24" customHeight="1">
      <x:c r="A24" s="2"/>
      <x:c r="B24" s="2"/>
      <x:c r="C24" s="2"/>
      <x:c r="D24" s="2"/>
      <x:c r="E24" s="2"/>
      <x:c r="F24" s="2"/>
    </x:row>
    <x:row r="25" ht="32" customHeight="1">
      <x:c r="A25" s="11" t="str">
        <x:v>Kategori SENA</x:v>
      </x:c>
      <x:c r="B25" s="11" t="str">
        <x:v>Precision</x:v>
      </x:c>
      <x:c r="C25" s="11" t="str">
        <x:v>Recall</x:v>
      </x:c>
      <x:c r="D25" s="11" t="str">
        <x:v>F1</x:v>
      </x:c>
      <x:c r="E25" s="11" t="str">
        <x:v>Narasi</x:v>
      </x:c>
      <x:c r="F25" s="2"/>
    </x:row>
    <x:row r="26" ht="24" customHeight="1">
      <x:c r="A26" s="2" t="str">
        <x:v>FLOOD</x:v>
      </x:c>
      <x:c r="B26" s="12" t="n">
        <x:v>1</x:v>
      </x:c>
      <x:c r="C26" s="12" t="n">
        <x:v>1</x:v>
      </x:c>
      <x:c r="D26" s="12" t="n">
        <x:v>1</x:v>
      </x:c>
      <x:c r="E26" s="2" t="n">
        <x:v>10</x:v>
      </x:c>
      <x:c r="F26" s="2"/>
    </x:row>
    <x:row r="27" ht="24" customHeight="1">
      <x:c r="A27" s="2" t="str">
        <x:v>EARTHQUAKE</x:v>
      </x:c>
      <x:c r="B27" s="12" t="n">
        <x:v>1</x:v>
      </x:c>
      <x:c r="C27" s="12" t="n">
        <x:v>1</x:v>
      </x:c>
      <x:c r="D27" s="12" t="n">
        <x:v>1</x:v>
      </x:c>
      <x:c r="E27" s="2" t="n">
        <x:v>10</x:v>
      </x:c>
      <x:c r="F27" s="2"/>
    </x:row>
    <x:row r="28" ht="24" customHeight="1">
      <x:c r="A28" s="2" t="str">
        <x:v>FIRE</x:v>
      </x:c>
      <x:c r="B28" s="12" t="n">
        <x:v>1</x:v>
      </x:c>
      <x:c r="C28" s="12" t="n">
        <x:v>1</x:v>
      </x:c>
      <x:c r="D28" s="12" t="n">
        <x:v>1</x:v>
      </x:c>
      <x:c r="E28" s="2" t="n">
        <x:v>10</x:v>
      </x:c>
      <x:c r="F28" s="2"/>
    </x:row>
    <x:row r="29" ht="24" customHeight="1">
      <x:c r="A29" s="2" t="str">
        <x:v>ACCIDENT</x:v>
      </x:c>
      <x:c r="B29" s="12" t="n">
        <x:v>0.9090909090909091</x:v>
      </x:c>
      <x:c r="C29" s="12" t="n">
        <x:v>1</x:v>
      </x:c>
      <x:c r="D29" s="12" t="n">
        <x:v>0.9523809523809523</x:v>
      </x:c>
      <x:c r="E29" s="2" t="n">
        <x:v>10</x:v>
      </x:c>
      <x:c r="F29" s="2"/>
    </x:row>
    <x:row r="30" ht="24" customHeight="1">
      <x:c r="A30" s="2" t="str">
        <x:v>NON_EVENT</x:v>
      </x:c>
      <x:c r="B30" s="12" t="n">
        <x:v>1</x:v>
      </x:c>
      <x:c r="C30" s="12" t="n">
        <x:v>0.9</x:v>
      </x:c>
      <x:c r="D30" s="12" t="n">
        <x:v>0.9473684210526316</x:v>
      </x:c>
      <x:c r="E30" s="2" t="n">
        <x:v>10</x:v>
      </x:c>
      <x:c r="F30" s="2"/>
    </x:row>
    <x:row r="31" ht="24" customHeight="1">
      <x:c r="A31" s="2"/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32" customHeight="1">
      <x:c r="A33" s="11" t="str">
        <x:v>Role NARA</x:v>
      </x:c>
      <x:c r="B33" s="11" t="str">
        <x:v>Precision</x:v>
      </x:c>
      <x:c r="C33" s="11" t="str">
        <x:v>Recall</x:v>
      </x:c>
      <x:c r="D33" s="11" t="str">
        <x:v>F1</x:v>
      </x:c>
      <x:c r="E33" s="11" t="str">
        <x:v>Token acuan</x:v>
      </x:c>
      <x:c r="F33" s="2"/>
    </x:row>
    <x:row r="34" ht="24" customHeight="1">
      <x:c r="A34" s="2" t="str">
        <x:v>ACCIDENT-EVENT</x:v>
      </x:c>
      <x:c r="B34" s="12" t="n">
        <x:v>0.8333333333333334</x:v>
      </x:c>
      <x:c r="C34" s="12" t="n">
        <x:v>1</x:v>
      </x:c>
      <x:c r="D34" s="12" t="n">
        <x:v>0.9090909090909091</x:v>
      </x:c>
      <x:c r="E34" s="2" t="n">
        <x:v>10</x:v>
      </x:c>
      <x:c r="F34" s="2"/>
    </x:row>
    <x:row r="35" ht="24" customHeight="1">
      <x:c r="A35" s="2" t="str">
        <x:v>AFFECTEDOBJECTS-ARG</x:v>
      </x:c>
      <x:c r="B35" s="12" t="n">
        <x:v>0.8771929824561403</x:v>
      </x:c>
      <x:c r="C35" s="12" t="n">
        <x:v>0.9615384615384616</x:v>
      </x:c>
      <x:c r="D35" s="12" t="n">
        <x:v>0.9174311926605504</x:v>
      </x:c>
      <x:c r="E35" s="2" t="n">
        <x:v>52</x:v>
      </x:c>
      <x:c r="F35" s="2"/>
    </x:row>
    <x:row r="36" ht="24" customHeight="1">
      <x:c r="A36" s="2" t="str">
        <x:v>DEATHVICTIM-ARG</x:v>
      </x:c>
      <x:c r="B36" s="12" t="n">
        <x:v>1</x:v>
      </x:c>
      <x:c r="C36" s="12" t="n">
        <x:v>1</x:v>
      </x:c>
      <x:c r="D36" s="12" t="n">
        <x:v>1</x:v>
      </x:c>
      <x:c r="E36" s="2" t="n">
        <x:v>12</x:v>
      </x:c>
      <x:c r="F36" s="2"/>
    </x:row>
    <x:row r="37" ht="24" customHeight="1">
      <x:c r="A37" s="2" t="str">
        <x:v>EARTHQUAKE-EVENT</x:v>
      </x:c>
      <x:c r="B37" s="12" t="n">
        <x:v>0.8461538461538461</x:v>
      </x:c>
      <x:c r="C37" s="12" t="n">
        <x:v>1</x:v>
      </x:c>
      <x:c r="D37" s="12" t="n">
        <x:v>0.9166666666666666</x:v>
      </x:c>
      <x:c r="E37" s="2" t="n">
        <x:v>11</x:v>
      </x:c>
      <x:c r="F37" s="2"/>
    </x:row>
    <x:row r="38" ht="24" customHeight="1">
      <x:c r="A38" s="2" t="str">
        <x:v>FALSE-EVENT</x:v>
      </x:c>
      <x:c r="B38" s="12" t="n">
        <x:v>1</x:v>
      </x:c>
      <x:c r="C38" s="12" t="n">
        <x:v>0.2727272727272727</x:v>
      </x:c>
      <x:c r="D38" s="12" t="n">
        <x:v>0.42857142857142855</x:v>
      </x:c>
      <x:c r="E38" s="2" t="n">
        <x:v>11</x:v>
      </x:c>
      <x:c r="F38" s="2"/>
    </x:row>
    <x:row r="39" ht="24" customHeight="1">
      <x:c r="A39" s="2" t="str">
        <x:v>FIRE-EVENT</x:v>
      </x:c>
      <x:c r="B39" s="12" t="n">
        <x:v>0.6666666666666666</x:v>
      </x:c>
      <x:c r="C39" s="12" t="n">
        <x:v>1</x:v>
      </x:c>
      <x:c r="D39" s="12" t="n">
        <x:v>0.8</x:v>
      </x:c>
      <x:c r="E39" s="2" t="n">
        <x:v>10</x:v>
      </x:c>
      <x:c r="F39" s="2"/>
    </x:row>
    <x:row r="40" ht="24" customHeight="1">
      <x:c r="A40" s="2" t="str">
        <x:v>FLOOD-EVENT</x:v>
      </x:c>
      <x:c r="B40" s="12" t="n">
        <x:v>0.8333333333333334</x:v>
      </x:c>
      <x:c r="C40" s="12" t="n">
        <x:v>1</x:v>
      </x:c>
      <x:c r="D40" s="12" t="n">
        <x:v>0.9090909090909091</x:v>
      </x:c>
      <x:c r="E40" s="2" t="n">
        <x:v>10</x:v>
      </x:c>
      <x:c r="F40" s="2"/>
    </x:row>
    <x:row r="41" ht="24" customHeight="1">
      <x:c r="A41" s="2" t="str">
        <x:v>INFORMATION-ARG</x:v>
      </x:c>
      <x:c r="B41" s="12" t="n">
        <x:v>0.5303030303030303</x:v>
      </x:c>
      <x:c r="C41" s="12" t="n">
        <x:v>0.813953488372093</x:v>
      </x:c>
      <x:c r="D41" s="12" t="n">
        <x:v>0.6422018348623852</x:v>
      </x:c>
      <x:c r="E41" s="2" t="n">
        <x:v>43</x:v>
      </x:c>
      <x:c r="F41" s="2"/>
    </x:row>
    <x:row r="42" ht="24" customHeight="1">
      <x:c r="A42" s="2" t="str">
        <x:v>OFFICER-ARG</x:v>
      </x:c>
      <x:c r="B42" s="12" t="n">
        <x:v>0.9696969696969697</x:v>
      </x:c>
      <x:c r="C42" s="12" t="n">
        <x:v>1</x:v>
      </x:c>
      <x:c r="D42" s="12" t="n">
        <x:v>0.9846153846153847</x:v>
      </x:c>
      <x:c r="E42" s="2" t="n">
        <x:v>32</x:v>
      </x:c>
      <x:c r="F42" s="2"/>
    </x:row>
    <x:row r="43" ht="24" customHeight="1">
      <x:c r="A43" s="2" t="str">
        <x:v>PLACE-ARG</x:v>
      </x:c>
      <x:c r="B43" s="12" t="n">
        <x:v>0.9878048780487805</x:v>
      </x:c>
      <x:c r="C43" s="12" t="n">
        <x:v>0.9642857142857143</x:v>
      </x:c>
      <x:c r="D43" s="12" t="n">
        <x:v>0.9759036144578312</x:v>
      </x:c>
      <x:c r="E43" s="2" t="n">
        <x:v>84</x:v>
      </x:c>
      <x:c r="F43" s="2"/>
    </x:row>
    <x:row r="44" ht="24" customHeight="1">
      <x:c r="A44" s="2" t="str">
        <x:v>REASON-ARG</x:v>
      </x:c>
      <x:c r="B44" s="12" t="n">
        <x:v>0.7857142857142857</x:v>
      </x:c>
      <x:c r="C44" s="12" t="n">
        <x:v>0.9166666666666666</x:v>
      </x:c>
      <x:c r="D44" s="12" t="n">
        <x:v>0.8461538461538461</x:v>
      </x:c>
      <x:c r="E44" s="2" t="n">
        <x:v>12</x:v>
      </x:c>
      <x:c r="F44" s="2"/>
    </x:row>
    <x:row r="45" ht="24" customHeight="1">
      <x:c r="A45" s="2" t="str">
        <x:v>STREET-ARG</x:v>
      </x:c>
      <x:c r="B45" s="12" t="n">
        <x:v>0.8235294117647058</x:v>
      </x:c>
      <x:c r="C45" s="12" t="n">
        <x:v>1</x:v>
      </x:c>
      <x:c r="D45" s="12" t="n">
        <x:v>0.9032258064516129</x:v>
      </x:c>
      <x:c r="E45" s="2" t="n">
        <x:v>14</x:v>
      </x:c>
      <x:c r="F45" s="2"/>
    </x:row>
    <x:row r="46" ht="24" customHeight="1">
      <x:c r="A46" s="2" t="str">
        <x:v>TIME-ARG</x:v>
      </x:c>
      <x:c r="B46" s="12" t="n">
        <x:v>1</x:v>
      </x:c>
      <x:c r="C46" s="12" t="n">
        <x:v>0.8648648648648649</x:v>
      </x:c>
      <x:c r="D46" s="12" t="n">
        <x:v>0.927536231884058</x:v>
      </x:c>
      <x:c r="E46" s="2" t="n">
        <x:v>111</x:v>
      </x:c>
      <x:c r="F46" s="2"/>
    </x:row>
    <x:row r="47" ht="24" customHeight="1">
      <x:c r="A47" s="2" t="str">
        <x:v>WOUNDVICTIM-ARG</x:v>
      </x:c>
      <x:c r="B47" s="12" t="n">
        <x:v>0.8823529411764706</x:v>
      </x:c>
      <x:c r="C47" s="12" t="n">
        <x:v>1</x:v>
      </x:c>
      <x:c r="D47" s="12" t="n">
        <x:v>0.9375</x:v>
      </x:c>
      <x:c r="E47" s="2" t="n">
        <x:v>15</x:v>
      </x:c>
      <x:c r="F47" s="2"/>
    </x:row>
    <x:row r="48" ht="24" customHeight="1">
      <x:c r="A48" s="2"/>
      <x:c r="B48" s="2"/>
      <x:c r="C48" s="2"/>
      <x:c r="D48" s="2"/>
      <x:c r="E48" s="2"/>
      <x:c r="F48" s="2"/>
    </x:row>
    <x:row r="49" ht="24" customHeight="1">
      <x:c r="A49" s="7" t="str">
        <x:v>671 token. Macro F1 menggunakan 14 role non-O; label O tidak ikut rata-rata.</x:v>
      </x:c>
      <x:c r="B49" s="2"/>
      <x:c r="C49" s="2"/>
      <x:c r="D49" s="2"/>
      <x:c r="E49" s="2"/>
      <x:c r="F49" s="2"/>
    </x:row>
    <x:row r="50" ht="24" customHeight="1">
      <x:c r="A50" s="2"/>
      <x:c r="B50" s="2"/>
      <x:c r="C50" s="2"/>
      <x:c r="D50" s="2"/>
      <x:c r="E50" s="2"/>
      <x:c r="F50" s="2"/>
    </x:row>
    <x:row r="51" ht="32" customHeight="1">
      <x:c r="A51" s="11" t="str">
        <x:v>Field</x:v>
      </x:c>
      <x:c r="B51" s="11" t="str">
        <x:v>Nonkosong tepat</x:v>
      </x:c>
      <x:c r="C51" s="11" t="str">
        <x:v>Nonkosong acuan</x:v>
      </x:c>
      <x:c r="D51" s="11" t="str">
        <x:v>Isi berlebih</x:v>
      </x:c>
      <x:c r="E51" s="11" t="str">
        <x:v>Acuan kosong</x:v>
      </x:c>
      <x:c r="F51" s="11" t="str">
        <x:v>Ketepatan nonkosong</x:v>
      </x:c>
    </x:row>
    <x:row r="52" ht="24" customHeight="1">
      <x:c r="A52" s="2" t="str">
        <x:v>location_text</x:v>
      </x:c>
      <x:c r="B52" s="2" t="n">
        <x:v>42</x:v>
      </x:c>
      <x:c r="C52" s="2" t="n">
        <x:v>47</x:v>
      </x:c>
      <x:c r="D52" s="2" t="n">
        <x:v>0</x:v>
      </x:c>
      <x:c r="E52" s="2" t="n">
        <x:v>3</x:v>
      </x:c>
      <x:c r="F52" s="14" t="n">
        <x:f>IF(C52=0,"n.a.",B52/C52)</x:f>
        <x:v>0.8936170212765957</x:v>
      </x:c>
    </x:row>
    <x:row r="53" ht="24" customHeight="1">
      <x:c r="A53" s="2" t="str">
        <x:v>time_text</x:v>
      </x:c>
      <x:c r="B53" s="2" t="n">
        <x:v>48</x:v>
      </x:c>
      <x:c r="C53" s="2" t="n">
        <x:v>50</x:v>
      </x:c>
      <x:c r="D53" s="2" t="n">
        <x:v>0</x:v>
      </x:c>
      <x:c r="E53" s="2" t="n">
        <x:v>0</x:v>
      </x:c>
      <x:c r="F53" s="14" t="n">
        <x:f>IF(C53=0,"n.a.",B53/C53)</x:f>
        <x:v>0.96</x:v>
      </x:c>
    </x:row>
    <x:row r="54" ht="24" customHeight="1">
      <x:c r="A54" s="2" t="str">
        <x:v>occurred_at</x:v>
      </x:c>
      <x:c r="B54" s="2" t="n">
        <x:v>0</x:v>
      </x:c>
      <x:c r="C54" s="2" t="n">
        <x:v>0</x:v>
      </x:c>
      <x:c r="D54" s="2" t="n">
        <x:v>0</x:v>
      </x:c>
      <x:c r="E54" s="2" t="n">
        <x:v>50</x:v>
      </x:c>
      <x:c r="F54" s="14" t="str">
        <x:f>IF(C54=0,"n.a.",B54/C54)</x:f>
        <x:v>n.a.</x:v>
      </x:c>
    </x:row>
    <x:row r="55" ht="24" customHeight="1">
      <x:c r="A55" s="2" t="str">
        <x:v>involved_parties</x:v>
      </x:c>
      <x:c r="B55" s="2" t="n">
        <x:v>27</x:v>
      </x:c>
      <x:c r="C55" s="2" t="n">
        <x:v>27</x:v>
      </x:c>
      <x:c r="D55" s="2" t="n">
        <x:v>1</x:v>
      </x:c>
      <x:c r="E55" s="2" t="n">
        <x:v>23</x:v>
      </x:c>
      <x:c r="F55" s="14" t="n">
        <x:f>IF(C55=0,"n.a.",B55/C55)</x:f>
        <x:v>1</x:v>
      </x:c>
    </x:row>
    <x:row r="56" ht="24" customHeight="1">
      <x:c r="A56" s="2" t="str">
        <x:v>impacts</x:v>
      </x:c>
      <x:c r="B56" s="2" t="n">
        <x:v>23</x:v>
      </x:c>
      <x:c r="C56" s="2" t="n">
        <x:v>35</x:v>
      </x:c>
      <x:c r="D56" s="2" t="n">
        <x:v>4</x:v>
      </x:c>
      <x:c r="E56" s="2" t="n">
        <x:v>15</x:v>
      </x:c>
      <x:c r="F56" s="14" t="n">
        <x:f>IF(C56=0,"n.a.",B56/C56)</x:f>
        <x:v>0.6571428571428571</x:v>
      </x:c>
    </x:row>
    <x:row r="57" ht="24" customHeight="1">
      <x:c r="A57" s="2" t="str">
        <x:v>victims</x:v>
      </x:c>
      <x:c r="B57" s="2" t="n">
        <x:v>9</x:v>
      </x:c>
      <x:c r="C57" s="2" t="n">
        <x:v>9</x:v>
      </x:c>
      <x:c r="D57" s="2" t="n">
        <x:v>0</x:v>
      </x:c>
      <x:c r="E57" s="2" t="n">
        <x:v>41</x:v>
      </x:c>
      <x:c r="F57" s="14" t="n">
        <x:f>IF(C57=0,"n.a.",B57/C57)</x:f>
        <x:v>1</x:v>
      </x:c>
    </x:row>
    <x:row r="58" ht="24" customHeight="1">
      <x:c r="A58" s="2" t="str">
        <x:v>affected_objects</x:v>
      </x:c>
      <x:c r="B58" s="2" t="n">
        <x:v>21</x:v>
      </x:c>
      <x:c r="C58" s="2" t="n">
        <x:v>25</x:v>
      </x:c>
      <x:c r="D58" s="2" t="n">
        <x:v>2</x:v>
      </x:c>
      <x:c r="E58" s="2" t="n">
        <x:v>25</x:v>
      </x:c>
      <x:c r="F58" s="14" t="n">
        <x:f>IF(C58=0,"n.a.",B58/C58)</x:f>
        <x:v>0.84</x:v>
      </x:c>
    </x:row>
    <x:row r="59" ht="24" customHeight="1">
      <x:c r="A59" s="2"/>
      <x:c r="B59" s="2"/>
      <x:c r="C59" s="2"/>
      <x:c r="D59" s="2"/>
      <x:c r="E59" s="2"/>
      <x:c r="F59" s="2"/>
    </x:row>
    <x:row r="60" ht="24" customHeight="1">
      <x:c r="A60" s="7" t="str">
        <x:v>occurred_at selalu kosong dan tidak menaikkan skor field nonkosong.</x:v>
      </x:c>
      <x:c r="B60" s="2"/>
      <x:c r="C60" s="2"/>
      <x:c r="D60" s="2"/>
      <x:c r="E60" s="2"/>
      <x:c r="F60" s="2"/>
    </x:row>
    <x:row r="61" ht="24" customHeight="1">
      <x:c r="A61" s="7" t="str">
        <x:v>Sumber: review FINAL082 bintang, notebook 25 dan prediksi yang dibekukan, 19 Oktober 2026.</x:v>
      </x:c>
      <x:c r="B61" s="2"/>
      <x:c r="C61" s="2"/>
      <x:c r="D61" s="2"/>
      <x:c r="E61" s="2"/>
      <x:c r="F61" s="2"/>
    </x:row>
    <x:row r="62" ht="24" customHeight="1">
      <x:c r="A62" s="7" t="str">
        <x:v>Bobot SENA/NARA, kode kandidat dan target tetap selama pengujian; tidak ada pelatihan.</x:v>
      </x:c>
      <x:c r="B62" s="2"/>
      <x:c r="C62" s="2"/>
      <x:c r="D62" s="2"/>
      <x:c r="E62" s="2"/>
      <x:c r="F62" s="2"/>
    </x:row>
    <x:row r="63" ht="24" customHeight="1">
      <x:c r="A63" s="7" t="str">
        <x:v>Pilot sintetis kecil. Hasil ini belum menetapkan akurasi pada populasi laporan lapangan.</x:v>
      </x:c>
      <x:c r="B63" s="2"/>
      <x:c r="C63" s="2"/>
      <x:c r="D63" s="2"/>
      <x:c r="E63" s="2"/>
      <x:c r="F63" s="2"/>
    </x:row>
    <x:row r="64" ht="24" customHeight="1">
      <x:c r="A64" s="2"/>
      <x:c r="B64" s="2"/>
      <x:c r="C64" s="2"/>
      <x:c r="D64" s="2"/>
      <x:c r="E64" s="2"/>
      <x:c r="F64" s="2"/>
    </x:row>
  </x:sheetData>
  <x:conditionalFormatting sqref="E8:E16">
    <x:cfRule type="containsText" dxfId="0" priority="1" operator="containsText" text="Belum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78" hidden="0" customWidth="1"/>
    <x:col min="3" max="3" width="21" hidden="0" customWidth="1"/>
    <x:col min="4" max="4" width="21" hidden="0" customWidth="1"/>
    <x:col min="5" max="5" width="17" hidden="0" customWidth="1"/>
    <x:col min="6" max="6" width="19" hidden="0" customWidth="1"/>
    <x:col min="7" max="7" width="16" hidden="0" customWidth="1"/>
    <x:col min="8" max="8" width="29" hidden="0" customWidth="1"/>
    <x:col min="9" max="9" width="7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4" t="str">
        <x:v>Hasil per narasi FINAL082</x:v>
      </x:c>
      <x:c r="B2" s="5"/>
      <x:c r="C2" s="5"/>
      <x:c r="D2" s="5"/>
      <x:c r="E2" s="5"/>
      <x:c r="F2" s="5"/>
      <x:c r="G2" s="5"/>
      <x:c r="H2" s="5"/>
      <x:c r="I2" s="5"/>
    </x:row>
    <x:row r="3" ht="24" customHeight="1">
      <x:c r="A3" s="7" t="str">
        <x:v>Nilai acuan dari Excel reviewer dipertahankan; kolom prediksi berasal dari model aktual.</x:v>
      </x:c>
      <x:c r="B3" s="2"/>
      <x:c r="C3" s="2"/>
      <x:c r="D3" s="2"/>
      <x:c r="E3" s="2"/>
      <x:c r="F3" s="2"/>
      <x:c r="G3" s="2"/>
      <x:c r="H3" s="2"/>
      <x:c r="I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11" t="str">
        <x:v>ID</x:v>
      </x:c>
      <x:c r="B5" s="11" t="str">
        <x:v>Narasi</x:v>
      </x:c>
      <x:c r="C5" s="11" t="str">
        <x:v>Acuan kelas</x:v>
      </x:c>
      <x:c r="D5" s="11" t="str">
        <x:v>Prediksi SENA</x:v>
      </x:c>
      <x:c r="E5" s="11" t="str">
        <x:v>Confidence</x:v>
      </x:c>
      <x:c r="F5" s="11" t="str">
        <x:v>Flag &lt;0,95</x:v>
      </x:c>
      <x:c r="G5" s="11" t="str">
        <x:v>Reviewer</x:v>
      </x:c>
      <x:c r="H5" s="11" t="str">
        <x:v>Keluarga</x:v>
      </x:c>
      <x:c r="I5" s="11" t="str">
        <x:v>Catatan reviewer</x:v>
      </x:c>
    </x:row>
    <x:row r="6" ht="72" customHeight="1">
      <x:c r="A6" s="2" t="str">
        <x:v>FINAL082-FLOOD-01</x:v>
      </x:c>
      <x:c r="B6" s="15" t="str">
        <x:v>Relawan melaporkan banjir yang merendam dua warung di Kelurahan Suramerta siang ini.</x:v>
      </x:c>
      <x:c r="C6" s="15" t="str">
        <x:v>FLOOD</x:v>
      </x:c>
      <x:c r="D6" s="15" t="str">
        <x:v>FLOOD</x:v>
      </x:c>
      <x:c r="E6" s="16" t="n">
        <x:v>0.9835508465766907</x:v>
      </x:c>
      <x:c r="F6" s="17" t="str">
        <x:f>IF(E6&lt;0.95,"Ya","Tidak")</x:f>
        <x:v>Tidak</x:v>
      </x:c>
      <x:c r="G6" s="15" t="str">
        <x:v>bintang</x:v>
      </x:c>
      <x:c r="H6" s="15" t="str">
        <x:v>plain</x:v>
      </x:c>
      <x:c r="I6" s="15" t="str">
        <x:v>Relawan adalah pihak pelapor. Warung, lokasi, waktu dan dampak sesuai klaim narasi.</x:v>
      </x:c>
    </x:row>
    <x:row r="7" ht="72" customHeight="1">
      <x:c r="A7" s="2" t="str">
        <x:v>FINAL082-FLOOD-02</x:v>
      </x:c>
      <x:c r="B7" s="15" t="str">
        <x:v>Satu sekolah terendam banjir di Desa Pangkalreja sejak pagi.</x:v>
      </x:c>
      <x:c r="C7" s="15" t="str">
        <x:v>FLOOD</x:v>
      </x:c>
      <x:c r="D7" s="15" t="str">
        <x:v>FLOOD</x:v>
      </x:c>
      <x:c r="E7" s="16" t="n">
        <x:v>0.989962637424469</x:v>
      </x:c>
      <x:c r="F7" s="17" t="str">
        <x:f>IF(E7&lt;0.95,"Ya","Tidak")</x:f>
        <x:v>Tidak</x:v>
      </x:c>
      <x:c r="G7" s="15" t="str">
        <x:v>bintang</x:v>
      </x:c>
      <x:c r="H7" s="15" t="str">
        <x:v>object_first</x:v>
      </x:c>
      <x:c r="I7" s="15" t="str">
        <x:v>Satu sekolah merupakan objek yang dinyatakan terendam. Frasa waktu sejak pagi dipertahankan utuh.</x:v>
      </x:c>
    </x:row>
    <x:row r="8" ht="72" customHeight="1">
      <x:c r="A8" s="2" t="str">
        <x:v>FINAL082-FLOOD-03</x:v>
      </x:c>
      <x:c r="B8" s="15" t="str">
        <x:v>Akibat tanggul jebol, banjir menutup jalan utama di Kampung Selangwangi tadi malam.</x:v>
      </x:c>
      <x:c r="C8" s="15" t="str">
        <x:v>FLOOD</x:v>
      </x:c>
      <x:c r="D8" s="15" t="str">
        <x:v>FLOOD</x:v>
      </x:c>
      <x:c r="E8" s="16" t="n">
        <x:v>0.9835206866264343</x:v>
      </x:c>
      <x:c r="F8" s="17" t="str">
        <x:f>IF(E8&lt;0.95,"Ya","Tidak")</x:f>
        <x:v>Tidak</x:v>
      </x:c>
      <x:c r="G8" s="15" t="str">
        <x:v>bintang</x:v>
      </x:c>
      <x:c r="H8" s="15" t="str">
        <x:v>cause</x:v>
      </x:c>
      <x:c r="I8" s="15" t="str">
        <x:v>Tanggul jebol adalah penyebab eksplisit. Jalan utama menjadi objek yang tertutup, bukan nama lokasi jalan.</x:v>
      </x:c>
    </x:row>
    <x:row r="9" ht="72" customHeight="1">
      <x:c r="A9" s="2" t="str">
        <x:v>FINAL082-FLOOD-04</x:v>
      </x:c>
      <x:c r="B9" s="15" t="str">
        <x:v>Banjir menggenangi empat rumah di Desa Pakuindah pagi tadi; dua warga terluka.</x:v>
      </x:c>
      <x:c r="C9" s="15" t="str">
        <x:v>FLOOD</x:v>
      </x:c>
      <x:c r="D9" s="15" t="str">
        <x:v>FLOOD</x:v>
      </x:c>
      <x:c r="E9" s="16" t="n">
        <x:v>0.9905720353126526</x:v>
      </x:c>
      <x:c r="F9" s="17" t="str">
        <x:f>IF(E9&lt;0.95,"Ya","Tidak")</x:f>
        <x:v>Tidak</x:v>
      </x:c>
      <x:c r="G9" s="15" t="str">
        <x:v>bintang</x:v>
      </x:c>
      <x:c r="H9" s="15" t="str">
        <x:v>victim</x:v>
      </x:c>
      <x:c r="I9" s="15" t="str">
        <x:v>Dua warga terluka disebut eksplisit. Frasa korban tetap satu span WOUND, dengan pihak dua warga.</x:v>
      </x:c>
    </x:row>
    <x:row r="10" ht="72" customHeight="1">
      <x:c r="A10" s="2" t="str">
        <x:v>FINAL082-FLOOD-05</x:v>
      </x:c>
      <x:c r="B10" s="15" t="str">
        <x:v>Di Kelurahan Bentengwangi, tim SAR mengevakuasi warga akibat banjir sore ini.</x:v>
      </x:c>
      <x:c r="C10" s="15" t="str">
        <x:v>FLOOD</x:v>
      </x:c>
      <x:c r="D10" s="15" t="str">
        <x:v>FLOOD</x:v>
      </x:c>
      <x:c r="E10" s="16" t="n">
        <x:v>0.9878103733062744</x:v>
      </x:c>
      <x:c r="F10" s="17" t="str">
        <x:f>IF(E10&lt;0.95,"Ya","Tidak")</x:f>
        <x:v>Tidak</x:v>
      </x:c>
      <x:c r="G10" s="15" t="str">
        <x:v>bintang</x:v>
      </x:c>
      <x:c r="H10" s="15" t="str">
        <x:v>response</x:v>
      </x:c>
      <x:c r="I10" s="15" t="str">
        <x:v>Warga yang dievakuasi dilabeli OFFICER dan ditambahkan sebagai pihak. Evakuasi tidak membuktikan luka.</x:v>
      </x:c>
    </x:row>
    <x:row r="11" ht="72" customHeight="1">
      <x:c r="A11" s="2" t="str">
        <x:v>FINAL082-FLOOD-06</x:v>
      </x:c>
      <x:c r="B11" s="15" t="str">
        <x:v>Banjir merendam tiga kios di Jalan Mahadewi malam tadi, tetapi tidak ada korban.</x:v>
      </x:c>
      <x:c r="C11" s="15" t="str">
        <x:v>FLOOD</x:v>
      </x:c>
      <x:c r="D11" s="15" t="str">
        <x:v>FLOOD</x:v>
      </x:c>
      <x:c r="E11" s="16" t="n">
        <x:v>0.9896251559257507</x:v>
      </x:c>
      <x:c r="F11" s="17" t="str">
        <x:f>IF(E11&lt;0.95,"Ya","Tidak")</x:f>
        <x:v>Tidak</x:v>
      </x:c>
      <x:c r="G11" s="15" t="str">
        <x:v>bintang</x:v>
      </x:c>
      <x:c r="H11" s="15" t="str">
        <x:v>local_negation</x:v>
      </x:c>
      <x:c r="I11" s="15" t="str">
        <x:v>Tidak ada korban adalah negasi korban. Banjir dan dampak pada tiga kios tetap dinyatakan terjadi.</x:v>
      </x:c>
    </x:row>
    <x:row r="12" ht="72" customHeight="1">
      <x:c r="A12" s="2" t="str">
        <x:v>FINAL082-FLOOD-07</x:v>
      </x:c>
      <x:c r="B12" s="15" t="str">
        <x:v>Saat latihan pertolongan, banjir nyata merusak jembatan kayu di Desa Bantarasih siang tadi.</x:v>
      </x:c>
      <x:c r="C12" s="15" t="str">
        <x:v>FLOOD</x:v>
      </x:c>
      <x:c r="D12" s="15" t="str">
        <x:v>FLOOD</x:v>
      </x:c>
      <x:c r="E12" s="16" t="n">
        <x:v>0.9922822117805481</x:v>
      </x:c>
      <x:c r="F12" s="17" t="str">
        <x:f>IF(E12&lt;0.95,"Ya","Tidak")</x:f>
        <x:v>Tidak</x:v>
      </x:c>
      <x:c r="G12" s="15" t="str">
        <x:v>bintang</x:v>
      </x:c>
      <x:c r="H12" s="15" t="str">
        <x:v>real_during_exercise</x:v>
      </x:c>
      <x:c r="I12" s="15" t="str">
        <x:v>Saat latihan pertolongan dilabeli TIME. Banjir dinyatakan nyata. Waktu utama tetap siang tadi.</x:v>
      </x:c>
    </x:row>
    <x:row r="13" ht="72" customHeight="1">
      <x:c r="A13" s="2" t="str">
        <x:v>FINAL082-FLOOD-08</x:v>
      </x:c>
      <x:c r="B13" s="15" t="str">
        <x:v>Petugas desa memastikan banjir benar terjadi di Kampung Lembarsari kemarin sore; air masuk dua toko.</x:v>
      </x:c>
      <x:c r="C13" s="15" t="str">
        <x:v>FLOOD</x:v>
      </x:c>
      <x:c r="D13" s="15" t="str">
        <x:v>FLOOD</x:v>
      </x:c>
      <x:c r="E13" s="16" t="n">
        <x:v>0.9838716983795166</x:v>
      </x:c>
      <x:c r="F13" s="17" t="str">
        <x:f>IF(E13&lt;0.95,"Ya","Tidak")</x:f>
        <x:v>Tidak</x:v>
      </x:c>
      <x:c r="G13" s="15" t="str">
        <x:v>bintang</x:v>
      </x:c>
      <x:c r="H13" s="15" t="str">
        <x:v>rumor_verified</x:v>
      </x:c>
      <x:c r="I13" s="15" t="str">
        <x:v>Petugas desa menegaskan banjir terjadi. Air masuk dua toko adalah dampak literal yang disebut.</x:v>
      </x:c>
    </x:row>
    <x:row r="14" ht="72" customHeight="1">
      <x:c r="A14" s="2" t="str">
        <x:v>FINAL082-FLOOD-09</x:v>
      </x:c>
      <x:c r="B14" s="15" t="str">
        <x:v>Seorang penjaga meninggal setelah banjir di Desa Cisaloka subuh tadi.</x:v>
      </x:c>
      <x:c r="C14" s="15" t="str">
        <x:v>FLOOD</x:v>
      </x:c>
      <x:c r="D14" s="15" t="str">
        <x:v>FLOOD</x:v>
      </x:c>
      <x:c r="E14" s="16" t="n">
        <x:v>0.9886143207550049</x:v>
      </x:c>
      <x:c r="F14" s="17" t="str">
        <x:f>IF(E14&lt;0.95,"Ya","Tidak")</x:f>
        <x:v>Tidak</x:v>
      </x:c>
      <x:c r="G14" s="15" t="str">
        <x:v>bintang</x:v>
      </x:c>
      <x:c r="H14" s="15" t="str">
        <x:v>death</x:v>
      </x:c>
      <x:c r="I14" s="15" t="str">
        <x:v>Kematian seorang penjaga disebut setelah banjir. Tidak menambahkan mekanisme atau penyebab kematiannya.</x:v>
      </x:c>
    </x:row>
    <x:row r="15" ht="72" customHeight="1">
      <x:c r="A15" s="2" t="str">
        <x:v>FINAL082-FLOOD-10</x:v>
      </x:c>
      <x:c r="B15" s="15" t="str">
        <x:v>Banjir melanda Kampung Panyawangan malam ini. Wilayah di bukit tetap kering.</x:v>
      </x:c>
      <x:c r="C15" s="15" t="str">
        <x:v>FLOOD</x:v>
      </x:c>
      <x:c r="D15" s="15" t="str">
        <x:v>FLOOD</x:v>
      </x:c>
      <x:c r="E15" s="16" t="n">
        <x:v>0.9916436076164246</x:v>
      </x:c>
      <x:c r="F15" s="17" t="str">
        <x:f>IF(E15&lt;0.95,"Ya","Tidak")</x:f>
        <x:v>Tidak</x:v>
      </x:c>
      <x:c r="G15" s="15" t="str">
        <x:v>bintang</x:v>
      </x:c>
      <x:c r="H15" s="15" t="str">
        <x:v>contrasted_location</x:v>
      </x:c>
      <x:c r="I15" s="15" t="str">
        <x:v>Wilayah di bukit dilabeli PLACE sebagai konteks pembanding. Lokasi banjir tetap Kampung Panyawangan yang disebut terdampak.</x:v>
      </x:c>
    </x:row>
    <x:row r="16" ht="72" customHeight="1">
      <x:c r="A16" s="2" t="str">
        <x:v>FINAL082-EARTHQUAKE-01</x:v>
      </x:c>
      <x:c r="B16" s="15" t="str">
        <x:v>Tadi pagi, gempa mengguncang Kelurahan Batuwangi dan warga berlarian keluar.</x:v>
      </x:c>
      <x:c r="C16" s="15" t="str">
        <x:v>EARTHQUAKE</x:v>
      </x:c>
      <x:c r="D16" s="15" t="str">
        <x:v>EARTHQUAKE</x:v>
      </x:c>
      <x:c r="E16" s="16" t="n">
        <x:v>0.9956521391868591</x:v>
      </x:c>
      <x:c r="F16" s="17" t="str">
        <x:f>IF(E16&lt;0.95,"Ya","Tidak")</x:f>
        <x:v>Tidak</x:v>
      </x:c>
      <x:c r="G16" s="15" t="str">
        <x:v>bintang</x:v>
      </x:c>
      <x:c r="H16" s="15" t="str">
        <x:v>plain</x:v>
      </x:c>
      <x:c r="I16" s="15" t="str">
        <x:v>Guncangan dan reaksi berlarian disebut eksplisit. Warga menjadi pihak, tanpa menyimpulkan korban luka.</x:v>
      </x:c>
    </x:row>
    <x:row r="17" ht="72" customHeight="1">
      <x:c r="A17" s="2" t="str">
        <x:v>FINAL082-EARTHQUAKE-02</x:v>
      </x:c>
      <x:c r="B17" s="15" t="str">
        <x:v>Dinding balai desa roboh akibat gempa di Desa Kemuningasri siang ini.</x:v>
      </x:c>
      <x:c r="C17" s="15" t="str">
        <x:v>EARTHQUAKE</x:v>
      </x:c>
      <x:c r="D17" s="15" t="str">
        <x:v>EARTHQUAKE</x:v>
      </x:c>
      <x:c r="E17" s="16" t="n">
        <x:v>0.995810866355896</x:v>
      </x:c>
      <x:c r="F17" s="17" t="str">
        <x:f>IF(E17&lt;0.95,"Ya","Tidak")</x:f>
        <x:v>Tidak</x:v>
      </x:c>
      <x:c r="G17" s="15" t="str">
        <x:v>bintang</x:v>
      </x:c>
      <x:c r="H17" s="15" t="str">
        <x:v>object_first</x:v>
      </x:c>
      <x:c r="I17" s="15" t="str">
        <x:v>Dinding balai desa adalah objek yang roboh, bukan lokasi kejadian. Lokasi tetap Desa Kemuningasri.</x:v>
      </x:c>
    </x:row>
    <x:row r="18" ht="72" customHeight="1">
      <x:c r="A18" s="2" t="str">
        <x:v>FINAL082-EARTHQUAKE-03</x:v>
      </x:c>
      <x:c r="B18" s="15" t="str">
        <x:v>Gempa di Kampung Sukalarang tadi malam mengakibatkan tiga warga terluka.</x:v>
      </x:c>
      <x:c r="C18" s="15" t="str">
        <x:v>EARTHQUAKE</x:v>
      </x:c>
      <x:c r="D18" s="15" t="str">
        <x:v>EARTHQUAKE</x:v>
      </x:c>
      <x:c r="E18" s="16" t="n">
        <x:v>0.9951317310333252</x:v>
      </x:c>
      <x:c r="F18" s="17" t="str">
        <x:f>IF(E18&lt;0.95,"Ya","Tidak")</x:f>
        <x:v>Tidak</x:v>
      </x:c>
      <x:c r="G18" s="15" t="str">
        <x:v>bintang</x:v>
      </x:c>
      <x:c r="H18" s="15" t="str">
        <x:v>victim</x:v>
      </x:c>
      <x:c r="I18" s="15" t="str">
        <x:v>Tiga warga terluka dinyatakan eksplisit. Dampak, pihak dan span korban sesuai teks.</x:v>
      </x:c>
    </x:row>
    <x:row r="19" ht="72" customHeight="1">
      <x:c r="A19" s="2" t="str">
        <x:v>FINAL082-EARTHQUAKE-04</x:v>
      </x:c>
      <x:c r="B19" s="15" t="str">
        <x:v>Pergerakan sesar memicu gempa di Desa Linggawana sore tadi; dua rumah rusak.</x:v>
      </x:c>
      <x:c r="C19" s="15" t="str">
        <x:v>EARTHQUAKE</x:v>
      </x:c>
      <x:c r="D19" s="15" t="str">
        <x:v>EARTHQUAKE</x:v>
      </x:c>
      <x:c r="E19" s="16" t="n">
        <x:v>0.9953847527503967</x:v>
      </x:c>
      <x:c r="F19" s="17" t="str">
        <x:f>IF(E19&lt;0.95,"Ya","Tidak")</x:f>
        <x:v>Tidak</x:v>
      </x:c>
      <x:c r="G19" s="15" t="str">
        <x:v>bintang</x:v>
      </x:c>
      <x:c r="H19" s="15" t="str">
        <x:v>cause</x:v>
      </x:c>
      <x:c r="I19" s="15" t="str">
        <x:v>Pergerakan sesar adalah penyebab eksplisit. Dua rumah dinyatakan rusak, tanpa menambah korban.</x:v>
      </x:c>
    </x:row>
    <x:row r="20" ht="72" customHeight="1">
      <x:c r="A20" s="2" t="str">
        <x:v>FINAL082-EARTHQUAKE-05</x:v>
      </x:c>
      <x:c r="B20" s="15" t="str">
        <x:v>Petugas BPBD mengevakuasi warga setelah gempa di Kelurahan Banjarwangi pagi ini.</x:v>
      </x:c>
      <x:c r="C20" s="15" t="str">
        <x:v>EARTHQUAKE</x:v>
      </x:c>
      <x:c r="D20" s="15" t="str">
        <x:v>EARTHQUAKE</x:v>
      </x:c>
      <x:c r="E20" s="16" t="n">
        <x:v>0.9956653714179993</x:v>
      </x:c>
      <x:c r="F20" s="17" t="str">
        <x:f>IF(E20&lt;0.95,"Ya","Tidak")</x:f>
        <x:v>Tidak</x:v>
      </x:c>
      <x:c r="G20" s="15" t="str">
        <x:v>bintang</x:v>
      </x:c>
      <x:c r="H20" s="15" t="str">
        <x:v>response</x:v>
      </x:c>
      <x:c r="I20" s="15" t="str">
        <x:v>Warga yang dievakuasi dilabeli OFFICER dan ditambahkan sebagai pihak. Tidak menyimpulkan luka.</x:v>
      </x:c>
    </x:row>
    <x:row r="21" ht="72" customHeight="1">
      <x:c r="A21" s="2" t="str">
        <x:v>FINAL082-EARTHQUAKE-06</x:v>
      </x:c>
      <x:c r="B21" s="15" t="str">
        <x:v>Tak ada korban jiwa dalam gempa siang tadi di Desa Cikawana, tetapi pagar sekolah roboh.</x:v>
      </x:c>
      <x:c r="C21" s="15" t="str">
        <x:v>EARTHQUAKE</x:v>
      </x:c>
      <x:c r="D21" s="15" t="str">
        <x:v>EARTHQUAKE</x:v>
      </x:c>
      <x:c r="E21" s="16" t="n">
        <x:v>0.9666044116020203</x:v>
      </x:c>
      <x:c r="F21" s="17" t="str">
        <x:f>IF(E21&lt;0.95,"Ya","Tidak")</x:f>
        <x:v>Tidak</x:v>
      </x:c>
      <x:c r="G21" s="15" t="str">
        <x:v>bintang</x:v>
      </x:c>
      <x:c r="H21" s="15" t="str">
        <x:v>local_negation</x:v>
      </x:c>
      <x:c r="I21" s="15" t="str">
        <x:v>Tak ada korban jiwa menegasikan kematian, bukan gempa. Kerusakan pagar sekolah tetap dipertahankan.</x:v>
      </x:c>
    </x:row>
    <x:row r="22" ht="72" customHeight="1">
      <x:c r="A22" s="2" t="str">
        <x:v>FINAL082-EARTHQUAKE-07</x:v>
      </x:c>
      <x:c r="B22" s="15" t="str">
        <x:v>Latihan evakuasi dihentikan karena gempa sungguhan mengguncang Kampung Cendrawana sore ini.</x:v>
      </x:c>
      <x:c r="C22" s="15" t="str">
        <x:v>EARTHQUAKE</x:v>
      </x:c>
      <x:c r="D22" s="15" t="str">
        <x:v>EARTHQUAKE</x:v>
      </x:c>
      <x:c r="E22" s="16" t="n">
        <x:v>0.9954553842544556</x:v>
      </x:c>
      <x:c r="F22" s="17" t="str">
        <x:f>IF(E22&lt;0.95,"Ya","Tidak")</x:f>
        <x:v>Tidak</x:v>
      </x:c>
      <x:c r="G22" s="15" t="str">
        <x:v>bintang</x:v>
      </x:c>
      <x:c r="H22" s="15" t="str">
        <x:v>real_during_exercise</x:v>
      </x:c>
      <x:c r="I22" s="15" t="str">
        <x:v>Penghentian latihan ditambahkan sebagai dampak dan INFORMATION karena dinyatakan akibat gempa sungguhan.</x:v>
      </x:c>
    </x:row>
    <x:row r="23" ht="72" customHeight="1">
      <x:c r="A23" s="2" t="str">
        <x:v>FINAL082-EARTHQUAKE-08</x:v>
      </x:c>
      <x:c r="B23" s="15" t="str">
        <x:v>Gempa merobohkan satu warung di Desa Pagelaras malam tadi; satu pedagang meninggal.</x:v>
      </x:c>
      <x:c r="C23" s="15" t="str">
        <x:v>EARTHQUAKE</x:v>
      </x:c>
      <x:c r="D23" s="15" t="str">
        <x:v>EARTHQUAKE</x:v>
      </x:c>
      <x:c r="E23" s="16" t="n">
        <x:v>0.9937307834625244</x:v>
      </x:c>
      <x:c r="F23" s="17" t="str">
        <x:f>IF(E23&lt;0.95,"Ya","Tidak")</x:f>
        <x:v>Tidak</x:v>
      </x:c>
      <x:c r="G23" s="15" t="str">
        <x:v>bintang</x:v>
      </x:c>
      <x:c r="H23" s="15" t="str">
        <x:v>death</x:v>
      </x:c>
      <x:c r="I23" s="15" t="str">
        <x:v>Satu warung roboh dan satu pedagang meninggal disebut eksplisit. Tidak menambah pihak lain.</x:v>
      </x:c>
    </x:row>
    <x:row r="24" ht="72" customHeight="1">
      <x:c r="A24" s="2" t="str">
        <x:v>FINAL082-EARTHQUAKE-09</x:v>
      </x:c>
      <x:c r="B24" s="15" t="str">
        <x:v>Video itu asli: gempa merusak atap sekolah di Kelurahan Narawangi kemarin siang.</x:v>
      </x:c>
      <x:c r="C24" s="15" t="str">
        <x:v>EARTHQUAKE</x:v>
      </x:c>
      <x:c r="D24" s="15" t="str">
        <x:v>EARTHQUAKE</x:v>
      </x:c>
      <x:c r="E24" s="16" t="n">
        <x:v>0.9754123687744141</x:v>
      </x:c>
      <x:c r="F24" s="17" t="str">
        <x:f>IF(E24&lt;0.95,"Ya","Tidak")</x:f>
        <x:v>Tidak</x:v>
      </x:c>
      <x:c r="G24" s="15" t="str">
        <x:v>bintang</x:v>
      </x:c>
      <x:c r="H24" s="15" t="str">
        <x:v>rumor_verified</x:v>
      </x:c>
      <x:c r="I24" s="15" t="str">
        <x:v>Gempa dinyatakan terjadi dan merusak atap sekolah. Konteks video tidak mengubah label kejadian.</x:v>
      </x:c>
    </x:row>
    <x:row r="25" ht="72" customHeight="1">
      <x:c r="A25" s="2" t="str">
        <x:v>FINAL082-EARTHQUAKE-10</x:v>
      </x:c>
      <x:c r="B25" s="15" t="str">
        <x:v>Gempa susulan terasa kuat di Desa Rancamurni malam ini; warga mengungsi.</x:v>
      </x:c>
      <x:c r="C25" s="15" t="str">
        <x:v>EARTHQUAKE</x:v>
      </x:c>
      <x:c r="D25" s="15" t="str">
        <x:v>EARTHQUAKE</x:v>
      </x:c>
      <x:c r="E25" s="16" t="n">
        <x:v>0.9958778619766235</x:v>
      </x:c>
      <x:c r="F25" s="17" t="str">
        <x:f>IF(E25&lt;0.95,"Ya","Tidak")</x:f>
        <x:v>Tidak</x:v>
      </x:c>
      <x:c r="G25" s="15" t="str">
        <x:v>bintang</x:v>
      </x:c>
      <x:c r="H25" s="15" t="str">
        <x:v>ongoing</x:v>
      </x:c>
      <x:c r="I25" s="15" t="str">
        <x:v>Gempa susulan menjadi pemicu utuh. Terasa kuat dicatat literal. Mengungsi tidak menyatakan korban luka.</x:v>
      </x:c>
    </x:row>
    <x:row r="26" ht="72" customHeight="1">
      <x:c r="A26" s="2" t="str">
        <x:v>FINAL082-FIRE-01</x:v>
      </x:c>
      <x:c r="B26" s="15" t="str">
        <x:v>Api menghanguskan dua kios di Pasar Rengganis subuh tadi.</x:v>
      </x:c>
      <x:c r="C26" s="15" t="str">
        <x:v>FIRE</x:v>
      </x:c>
      <x:c r="D26" s="15" t="str">
        <x:v>FIRE</x:v>
      </x:c>
      <x:c r="E26" s="16" t="n">
        <x:v>0.9938483834266663</x:v>
      </x:c>
      <x:c r="F26" s="17" t="str">
        <x:f>IF(E26&lt;0.95,"Ya","Tidak")</x:f>
        <x:v>Tidak</x:v>
      </x:c>
      <x:c r="G26" s="15" t="str">
        <x:v>bintang</x:v>
      </x:c>
      <x:c r="H26" s="15" t="str">
        <x:v>plain</x:v>
      </x:c>
      <x:c r="I26" s="15" t="str">
        <x:v>Api merupakan pemicu kebakaran nyata karena menghanguskan dua kios. Tidak ada klaim korban.</x:v>
      </x:c>
    </x:row>
    <x:row r="27" ht="72" customHeight="1">
      <x:c r="A27" s="2" t="str">
        <x:v>FINAL082-FIRE-02</x:v>
      </x:c>
      <x:c r="B27" s="15" t="str">
        <x:v>Kebakaran akibat kompor bocor merusak dapur sekolah di Desa Kertajaya siang tadi.</x:v>
      </x:c>
      <x:c r="C27" s="15" t="str">
        <x:v>FIRE</x:v>
      </x:c>
      <x:c r="D27" s="15" t="str">
        <x:v>FIRE</x:v>
      </x:c>
      <x:c r="E27" s="16" t="n">
        <x:v>0.9951305389404297</x:v>
      </x:c>
      <x:c r="F27" s="17" t="str">
        <x:f>IF(E27&lt;0.95,"Ya","Tidak")</x:f>
        <x:v>Tidak</x:v>
      </x:c>
      <x:c r="G27" s="15" t="str">
        <x:v>bintang</x:v>
      </x:c>
      <x:c r="H27" s="15" t="str">
        <x:v>cause</x:v>
      </x:c>
      <x:c r="I27" s="15" t="str">
        <x:v>Kompor bocor merupakan penyebab eksplisit. Objek yang rusak adalah dapur sekolah.</x:v>
      </x:c>
    </x:row>
    <x:row r="28" ht="72" customHeight="1">
      <x:c r="A28" s="2" t="str">
        <x:v>FINAL082-FIRE-03</x:v>
      </x:c>
      <x:c r="B28" s="15" t="str">
        <x:v>Kebakaran terjadi di Gudang Suryamurni malam tadi; dua pekerja terluka.</x:v>
      </x:c>
      <x:c r="C28" s="15" t="str">
        <x:v>FIRE</x:v>
      </x:c>
      <x:c r="D28" s="15" t="str">
        <x:v>FIRE</x:v>
      </x:c>
      <x:c r="E28" s="16" t="n">
        <x:v>0.9950548410415649</x:v>
      </x:c>
      <x:c r="F28" s="17" t="str">
        <x:f>IF(E28&lt;0.95,"Ya","Tidak")</x:f>
        <x:v>Tidak</x:v>
      </x:c>
      <x:c r="G28" s="15" t="str">
        <x:v>bintang</x:v>
      </x:c>
      <x:c r="H28" s="15" t="str">
        <x:v>victim</x:v>
      </x:c>
      <x:c r="I28" s="15" t="str">
        <x:v>Dua pekerja terluka disebut eksplisit. Gudang Suryamurni merupakan lokasi, tanpa klaim kerusakan seluruh gudang.</x:v>
      </x:c>
    </x:row>
    <x:row r="29" ht="72" customHeight="1">
      <x:c r="A29" s="2" t="str">
        <x:v>FINAL082-FIRE-04</x:v>
      </x:c>
      <x:c r="B29" s="15" t="str">
        <x:v>Petugas damkar memadamkan kebakaran di Jalan Cempakareja pagi ini.</x:v>
      </x:c>
      <x:c r="C29" s="15" t="str">
        <x:v>FIRE</x:v>
      </x:c>
      <x:c r="D29" s="15" t="str">
        <x:v>FIRE</x:v>
      </x:c>
      <x:c r="E29" s="16" t="n">
        <x:v>0.9926637411117554</x:v>
      </x:c>
      <x:c r="F29" s="17" t="str">
        <x:f>IF(E29&lt;0.95,"Ya","Tidak")</x:f>
        <x:v>Tidak</x:v>
      </x:c>
      <x:c r="G29" s="15" t="str">
        <x:v>bintang</x:v>
      </x:c>
      <x:c r="H29" s="15" t="str">
        <x:v>response</x:v>
      </x:c>
      <x:c r="I29" s="15" t="str">
        <x:v>Petugas damkar dan tindakan pemadaman disebut eksplisit. Tidak menambahkan korban atau objek rusak.</x:v>
      </x:c>
    </x:row>
    <x:row r="30" ht="72" customHeight="1">
      <x:c r="A30" s="2" t="str">
        <x:v>FINAL082-FIRE-05</x:v>
      </x:c>
      <x:c r="B30" s="15" t="str">
        <x:v>Satu rumah hangus dalam kebakaran di Kampung Tanjungasih sore tadi.</x:v>
      </x:c>
      <x:c r="C30" s="15" t="str">
        <x:v>FIRE</x:v>
      </x:c>
      <x:c r="D30" s="15" t="str">
        <x:v>FIRE</x:v>
      </x:c>
      <x:c r="E30" s="16" t="n">
        <x:v>0.9939277172088623</x:v>
      </x:c>
      <x:c r="F30" s="17" t="str">
        <x:f>IF(E30&lt;0.95,"Ya","Tidak")</x:f>
        <x:v>Tidak</x:v>
      </x:c>
      <x:c r="G30" s="15" t="str">
        <x:v>bintang</x:v>
      </x:c>
      <x:c r="H30" s="15" t="str">
        <x:v>object_first</x:v>
      </x:c>
      <x:c r="I30" s="15" t="str">
        <x:v>Satu rumah dinyatakan hangus. Frasa objek dan dampak pasif dipertahankan sesuai teks.</x:v>
      </x:c>
    </x:row>
    <x:row r="31" ht="72" customHeight="1">
      <x:c r="A31" s="2" t="str">
        <x:v>FINAL082-FIRE-06</x:v>
      </x:c>
      <x:c r="B31" s="15" t="str">
        <x:v>Kebakaran menghanguskan gudang kayu di Desa Babakanasri kemarin malam; tidak ada korban.</x:v>
      </x:c>
      <x:c r="C31" s="15" t="str">
        <x:v>FIRE</x:v>
      </x:c>
      <x:c r="D31" s="15" t="str">
        <x:v>FIRE</x:v>
      </x:c>
      <x:c r="E31" s="16" t="n">
        <x:v>0.9948609471321106</x:v>
      </x:c>
      <x:c r="F31" s="17" t="str">
        <x:f>IF(E31&lt;0.95,"Ya","Tidak")</x:f>
        <x:v>Tidak</x:v>
      </x:c>
      <x:c r="G31" s="15" t="str">
        <x:v>bintang</x:v>
      </x:c>
      <x:c r="H31" s="15" t="str">
        <x:v>local_negation</x:v>
      </x:c>
      <x:c r="I31" s="15" t="str">
        <x:v>Tidak ada korban adalah negasi korban, bukan penyangkalan kebakaran atau gudang yang hangus.</x:v>
      </x:c>
    </x:row>
    <x:row r="32" ht="72" customHeight="1">
      <x:c r="A32" s="2" t="str">
        <x:v>FINAL082-FIRE-07</x:v>
      </x:c>
      <x:c r="B32" s="15" t="str">
        <x:v>Di tengah latihan damkar, kebakaran nyata merusak satu mobil di Lapangan Mekarjaya siang ini.</x:v>
      </x:c>
      <x:c r="C32" s="15" t="str">
        <x:v>FIRE</x:v>
      </x:c>
      <x:c r="D32" s="15" t="str">
        <x:v>FIRE</x:v>
      </x:c>
      <x:c r="E32" s="16" t="n">
        <x:v>0.9949066042900085</x:v>
      </x:c>
      <x:c r="F32" s="17" t="str">
        <x:f>IF(E32&lt;0.95,"Ya","Tidak")</x:f>
        <x:v>Tidak</x:v>
      </x:c>
      <x:c r="G32" s="15" t="str">
        <x:v>bintang</x:v>
      </x:c>
      <x:c r="H32" s="15" t="str">
        <x:v>real_during_exercise</x:v>
      </x:c>
      <x:c r="I32" s="15" t="str">
        <x:v>Di tengah latihan damkar dilabeli TIME. Kebakaran dinyatakan nyata, dengan satu mobil rusak.</x:v>
      </x:c>
    </x:row>
    <x:row r="33" ht="72" customHeight="1">
      <x:c r="A33" s="2" t="str">
        <x:v>FINAL082-FIRE-08</x:v>
      </x:c>
      <x:c r="B33" s="15" t="str">
        <x:v>Seorang penjaga meninggal dalam kebakaran di Kelurahan Citranagara dini hari.</x:v>
      </x:c>
      <x:c r="C33" s="15" t="str">
        <x:v>FIRE</x:v>
      </x:c>
      <x:c r="D33" s="15" t="str">
        <x:v>FIRE</x:v>
      </x:c>
      <x:c r="E33" s="16" t="n">
        <x:v>0.9946172833442688</x:v>
      </x:c>
      <x:c r="F33" s="17" t="str">
        <x:f>IF(E33&lt;0.95,"Ya","Tidak")</x:f>
        <x:v>Tidak</x:v>
      </x:c>
      <x:c r="G33" s="15" t="str">
        <x:v>bintang</x:v>
      </x:c>
      <x:c r="H33" s="15" t="str">
        <x:v>death</x:v>
      </x:c>
      <x:c r="I33" s="15" t="str">
        <x:v>Seorang penjaga meninggal dalam kebakaran disebut eksplisit. Tidak menambah jumlah korban.</x:v>
      </x:c>
    </x:row>
    <x:row r="34" ht="72" customHeight="1">
      <x:c r="A34" s="2" t="str">
        <x:v>FINAL082-FIRE-09</x:v>
      </x:c>
      <x:c r="B34" s="15" t="str">
        <x:v>Warga membantah kabar palsu itu: kebakaran benar-benar terjadi dan merusak kantor desa di Desa Pasirmadu sore ini.</x:v>
      </x:c>
      <x:c r="C34" s="15" t="str">
        <x:v>FIRE</x:v>
      </x:c>
      <x:c r="D34" s="15" t="str">
        <x:v>FIRE</x:v>
      </x:c>
      <x:c r="E34" s="16" t="n">
        <x:v>0.9938441514968872</x:v>
      </x:c>
      <x:c r="F34" s="17" t="str">
        <x:f>IF(E34&lt;0.95,"Ya","Tidak")</x:f>
        <x:v>Tidak</x:v>
      </x:c>
      <x:c r="G34" s="15" t="str">
        <x:v>bintang</x:v>
      </x:c>
      <x:c r="H34" s="15" t="str">
        <x:v>rumor_verified</x:v>
      </x:c>
      <x:c r="I34" s="15" t="str">
        <x:v>Klausa setelah titik dua menegaskan kebakaran benar-benar terjadi. Kabar palsu tidak menegasikan klaim itu.</x:v>
      </x:c>
    </x:row>
    <x:row r="35" ht="72" customHeight="1">
      <x:c r="A35" s="2" t="str">
        <x:v>FINAL082-FIRE-10</x:v>
      </x:c>
      <x:c r="B35" s="15" t="str">
        <x:v>Karena korsleting listrik, api melalap satu toko di Pasar Wanasari malam ini.</x:v>
      </x:c>
      <x:c r="C35" s="15" t="str">
        <x:v>FIRE</x:v>
      </x:c>
      <x:c r="D35" s="15" t="str">
        <x:v>FIRE</x:v>
      </x:c>
      <x:c r="E35" s="16" t="n">
        <x:v>0.9938884377479553</x:v>
      </x:c>
      <x:c r="F35" s="17" t="str">
        <x:f>IF(E35&lt;0.95,"Ya","Tidak")</x:f>
        <x:v>Tidak</x:v>
      </x:c>
      <x:c r="G35" s="15" t="str">
        <x:v>bintang</x:v>
      </x:c>
      <x:c r="H35" s="15" t="str">
        <x:v>cause</x:v>
      </x:c>
      <x:c r="I35" s="15" t="str">
        <x:v>Korsleting listrik adalah penyebab eksplisit. Api melalap satu toko merupakan kejadian dan dampak nyata.</x:v>
      </x:c>
    </x:row>
    <x:row r="36" ht="72" customHeight="1">
      <x:c r="A36" s="2" t="str">
        <x:v>FINAL082-ACCIDENT-01</x:v>
      </x:c>
      <x:c r="B36" s="15" t="str">
        <x:v>Kecelakaan melibatkan dua motor di Jalan Sidomurni pagi ini.</x:v>
      </x:c>
      <x:c r="C36" s="15" t="str">
        <x:v>ACCIDENT</x:v>
      </x:c>
      <x:c r="D36" s="15" t="str">
        <x:v>ACCIDENT</x:v>
      </x:c>
      <x:c r="E36" s="16" t="n">
        <x:v>0.9909952282905579</x:v>
      </x:c>
      <x:c r="F36" s="17" t="str">
        <x:f>IF(E36&lt;0.95,"Ya","Tidak")</x:f>
        <x:v>Tidak</x:v>
      </x:c>
      <x:c r="G36" s="15" t="str">
        <x:v>bintang</x:v>
      </x:c>
      <x:c r="H36" s="15" t="str">
        <x:v>plain</x:v>
      </x:c>
      <x:c r="I36" s="15" t="str">
        <x:v>Dua motor terlibat eksplisit. Tidak menebak jumlah pengendara atau kondisi korban.</x:v>
      </x:c>
    </x:row>
    <x:row r="37" ht="72" customHeight="1">
      <x:c r="A37" s="2" t="str">
        <x:v>FINAL082-ACCIDENT-02</x:v>
      </x:c>
      <x:c r="B37" s="15" t="str">
        <x:v>Akibat rem blong, kecelakaan merusak satu bus di Desa Lembahreja siang tadi.</x:v>
      </x:c>
      <x:c r="C37" s="15" t="str">
        <x:v>ACCIDENT</x:v>
      </x:c>
      <x:c r="D37" s="15" t="str">
        <x:v>ACCIDENT</x:v>
      </x:c>
      <x:c r="E37" s="16" t="n">
        <x:v>0.9936692118644714</x:v>
      </x:c>
      <x:c r="F37" s="17" t="str">
        <x:f>IF(E37&lt;0.95,"Ya","Tidak")</x:f>
        <x:v>Tidak</x:v>
      </x:c>
      <x:c r="G37" s="15" t="str">
        <x:v>bintang</x:v>
      </x:c>
      <x:c r="H37" s="15" t="str">
        <x:v>cause</x:v>
      </x:c>
      <x:c r="I37" s="15" t="str">
        <x:v>Rem blong merupakan penyebab eksplisit. Satu bus dinyatakan rusak.</x:v>
      </x:c>
    </x:row>
    <x:row r="38" ht="72" customHeight="1">
      <x:c r="A38" s="2" t="str">
        <x:v>FINAL082-ACCIDENT-03</x:v>
      </x:c>
      <x:c r="B38" s="15" t="str">
        <x:v>Kecelakaan di Jalan Angsana sore tadi menyebabkan dua penumpang terluka.</x:v>
      </x:c>
      <x:c r="C38" s="15" t="str">
        <x:v>ACCIDENT</x:v>
      </x:c>
      <x:c r="D38" s="15" t="str">
        <x:v>ACCIDENT</x:v>
      </x:c>
      <x:c r="E38" s="16" t="n">
        <x:v>0.9929785132408142</x:v>
      </x:c>
      <x:c r="F38" s="17" t="str">
        <x:f>IF(E38&lt;0.95,"Ya","Tidak")</x:f>
        <x:v>Tidak</x:v>
      </x:c>
      <x:c r="G38" s="15" t="str">
        <x:v>bintang</x:v>
      </x:c>
      <x:c r="H38" s="15" t="str">
        <x:v>victim</x:v>
      </x:c>
      <x:c r="I38" s="15" t="str">
        <x:v>Dua penumpang terluka disebut eksplisit. Seluruh frasa korban tetap satu span WOUND.</x:v>
      </x:c>
    </x:row>
    <x:row r="39" ht="72" customHeight="1">
      <x:c r="A39" s="2" t="str">
        <x:v>FINAL082-ACCIDENT-04</x:v>
      </x:c>
      <x:c r="B39" s="15" t="str">
        <x:v>Polisi mengevakuasi korban setelah kecelakaan di Kelurahan Tamanreja malam tadi.</x:v>
      </x:c>
      <x:c r="C39" s="15" t="str">
        <x:v>ACCIDENT</x:v>
      </x:c>
      <x:c r="D39" s="15" t="str">
        <x:v>ACCIDENT</x:v>
      </x:c>
      <x:c r="E39" s="16" t="n">
        <x:v>0.9890895485877991</x:v>
      </x:c>
      <x:c r="F39" s="17" t="str">
        <x:f>IF(E39&lt;0.95,"Ya","Tidak")</x:f>
        <x:v>Tidak</x:v>
      </x:c>
      <x:c r="G39" s="15" t="str">
        <x:v>bintang</x:v>
      </x:c>
      <x:c r="H39" s="15" t="str">
        <x:v>response</x:v>
      </x:c>
      <x:c r="I39" s="15" t="str">
        <x:v>Korban yang dievakuasi dilabeli OFFICER dan ditambahkan sebagai pihak. Status luka atau meninggal tidak disebut.</x:v>
      </x:c>
    </x:row>
    <x:row r="40" ht="72" customHeight="1">
      <x:c r="A40" s="2" t="str">
        <x:v>FINAL082-ACCIDENT-05</x:v>
      </x:c>
      <x:c r="B40" s="15" t="str">
        <x:v>Satu pengendara meninggal akibat kecelakaan di Jalan Sukaluyu subuh tadi.</x:v>
      </x:c>
      <x:c r="C40" s="15" t="str">
        <x:v>ACCIDENT</x:v>
      </x:c>
      <x:c r="D40" s="15" t="str">
        <x:v>ACCIDENT</x:v>
      </x:c>
      <x:c r="E40" s="16" t="n">
        <x:v>0.9920040965080261</x:v>
      </x:c>
      <x:c r="F40" s="17" t="str">
        <x:f>IF(E40&lt;0.95,"Ya","Tidak")</x:f>
        <x:v>Tidak</x:v>
      </x:c>
      <x:c r="G40" s="15" t="str">
        <x:v>bintang</x:v>
      </x:c>
      <x:c r="H40" s="15" t="str">
        <x:v>death</x:v>
      </x:c>
      <x:c r="I40" s="15" t="str">
        <x:v>Satu pengendara meninggal dinyatakan eksplisit. Pihak dan korban mengikuti kuantitas yang disebut.</x:v>
      </x:c>
    </x:row>
    <x:row r="41" ht="72" customHeight="1">
      <x:c r="A41" s="2" t="str">
        <x:v>FINAL082-ACCIDENT-06</x:v>
      </x:c>
      <x:c r="B41" s="15" t="str">
        <x:v>Tidak ada korban luka dalam kecelakaan di Desa Tegalwangi siang ini, tetapi dua mobil rusak.</x:v>
      </x:c>
      <x:c r="C41" s="15" t="str">
        <x:v>ACCIDENT</x:v>
      </x:c>
      <x:c r="D41" s="15" t="str">
        <x:v>ACCIDENT</x:v>
      </x:c>
      <x:c r="E41" s="16" t="n">
        <x:v>0.9912068247795105</x:v>
      </x:c>
      <x:c r="F41" s="17" t="str">
        <x:f>IF(E41&lt;0.95,"Ya","Tidak")</x:f>
        <x:v>Tidak</x:v>
      </x:c>
      <x:c r="G41" s="15" t="str">
        <x:v>bintang</x:v>
      </x:c>
      <x:c r="H41" s="15" t="str">
        <x:v>local_negation</x:v>
      </x:c>
      <x:c r="I41" s="15" t="str">
        <x:v>Tidak ada korban luka menegasikan luka, bukan kecelakaan. Dua mobil dinyatakan rusak.</x:v>
      </x:c>
    </x:row>
    <x:row r="42" ht="72" customHeight="1">
      <x:c r="A42" s="2" t="str">
        <x:v>FINAL082-ACCIDENT-07</x:v>
      </x:c>
      <x:c r="B42" s="15" t="str">
        <x:v>Saat latihan pertolongan, kecelakaan sungguhan merusak mobil petugas di Lapangan Binamarga sore ini.</x:v>
      </x:c>
      <x:c r="C42" s="15" t="str">
        <x:v>ACCIDENT</x:v>
      </x:c>
      <x:c r="D42" s="15" t="str">
        <x:v>ACCIDENT</x:v>
      </x:c>
      <x:c r="E42" s="16" t="n">
        <x:v>0.9953917264938354</x:v>
      </x:c>
      <x:c r="F42" s="17" t="str">
        <x:f>IF(E42&lt;0.95,"Ya","Tidak")</x:f>
        <x:v>Tidak</x:v>
      </x:c>
      <x:c r="G42" s="15" t="str">
        <x:v>bintang</x:v>
      </x:c>
      <x:c r="H42" s="15" t="str">
        <x:v>real_during_exercise</x:v>
      </x:c>
      <x:c r="I42" s="15" t="str">
        <x:v>Saat latihan pertolongan dilabeli TIME. Mobil petugas tetap objek. Kepemilikan tidak membuktikan petugas menjadi korban.</x:v>
      </x:c>
    </x:row>
    <x:row r="43" ht="72" customHeight="1">
      <x:c r="A43" s="2" t="str">
        <x:v>FINAL082-ACCIDENT-08</x:v>
      </x:c>
      <x:c r="B43" s="15" t="str">
        <x:v>Truk pengangkut pasir terguling dalam kecelakaan di Jalan Cadaswangi kemarin pagi.</x:v>
      </x:c>
      <x:c r="C43" s="15" t="str">
        <x:v>ACCIDENT</x:v>
      </x:c>
      <x:c r="D43" s="15" t="str">
        <x:v>ACCIDENT</x:v>
      </x:c>
      <x:c r="E43" s="16" t="n">
        <x:v>0.992796003818512</x:v>
      </x:c>
      <x:c r="F43" s="17" t="str">
        <x:f>IF(E43&lt;0.95,"Ya","Tidak")</x:f>
        <x:v>Tidak</x:v>
      </x:c>
      <x:c r="G43" s="15" t="str">
        <x:v>bintang</x:v>
      </x:c>
      <x:c r="H43" s="15" t="str">
        <x:v>object_first</x:v>
      </x:c>
      <x:c r="I43" s="15" t="str">
        <x:v>Truk pengangkut pasir adalah satu frasa objek. Terguling disebut, tetapi kerusakan muatan dan korban tidak ditambahkan.</x:v>
      </x:c>
    </x:row>
    <x:row r="44" ht="72" customHeight="1">
      <x:c r="A44" s="2" t="str">
        <x:v>FINAL082-ACCIDENT-09</x:v>
      </x:c>
      <x:c r="B44" s="15" t="str">
        <x:v>Rekaman itu bukan adegan film; kecelakaan benar terjadi dan merusak satu angkot di Kelurahan Mulyawana pagi tadi.</x:v>
      </x:c>
      <x:c r="C44" s="15" t="str">
        <x:v>ACCIDENT</x:v>
      </x:c>
      <x:c r="D44" s="15" t="str">
        <x:v>ACCIDENT</x:v>
      </x:c>
      <x:c r="E44" s="16" t="n">
        <x:v>0.9957464337348938</x:v>
      </x:c>
      <x:c r="F44" s="17" t="str">
        <x:f>IF(E44&lt;0.95,"Ya","Tidak")</x:f>
        <x:v>Tidak</x:v>
      </x:c>
      <x:c r="G44" s="15" t="str">
        <x:v>bintang</x:v>
      </x:c>
      <x:c r="H44" s="15" t="str">
        <x:v>rumor_verified</x:v>
      </x:c>
      <x:c r="I44" s="15" t="str">
        <x:v>Bukan adegan film menyangkal konteks fiksi. Kecelakaan dan satu angkot rusak tetap dinyatakan nyata.</x:v>
      </x:c>
    </x:row>
    <x:row r="45" ht="72" customHeight="1">
      <x:c r="A45" s="2" t="str">
        <x:v>FINAL082-ACCIDENT-10</x:v>
      </x:c>
      <x:c r="B45" s="15" t="str">
        <x:v>Kecelakaan dipicu jalan licin di Jalan Cempakaluyu malam ini; seorang sopir terluka.</x:v>
      </x:c>
      <x:c r="C45" s="15" t="str">
        <x:v>ACCIDENT</x:v>
      </x:c>
      <x:c r="D45" s="15" t="str">
        <x:v>ACCIDENT</x:v>
      </x:c>
      <x:c r="E45" s="16" t="n">
        <x:v>0.9929083585739136</x:v>
      </x:c>
      <x:c r="F45" s="17" t="str">
        <x:f>IF(E45&lt;0.95,"Ya","Tidak")</x:f>
        <x:v>Tidak</x:v>
      </x:c>
      <x:c r="G45" s="15" t="str">
        <x:v>bintang</x:v>
      </x:c>
      <x:c r="H45" s="15" t="str">
        <x:v>cause</x:v>
      </x:c>
      <x:c r="I45" s="15" t="str">
        <x:v>Jalan licin adalah penyebab, berbeda dari lokasi Jalan Cempakaluyu. Seorang sopir terluka disebut eksplisit.</x:v>
      </x:c>
    </x:row>
    <x:row r="46" ht="72" customHeight="1">
      <x:c r="A46" s="2" t="str">
        <x:v>FINAL082-NON_EVENT-01</x:v>
      </x:c>
      <x:c r="B46" s="15" t="str">
        <x:v>Tim damkar hanya menggelar simulasi kebakaran di Halaman Purnawana pagi tadi.</x:v>
      </x:c>
      <x:c r="C46" s="15" t="str">
        <x:v>NON_EVENT</x:v>
      </x:c>
      <x:c r="D46" s="15" t="str">
        <x:v>NON_EVENT</x:v>
      </x:c>
      <x:c r="E46" s="16" t="n">
        <x:v>0.9758681058883667</x:v>
      </x:c>
      <x:c r="F46" s="17" t="str">
        <x:f>IF(E46&lt;0.95,"Ya","Tidak")</x:f>
        <x:v>Tidak</x:v>
      </x:c>
      <x:c r="G46" s="15" t="str">
        <x:v>bintang</x:v>
      </x:c>
      <x:c r="H46" s="15" t="str">
        <x:v>simulation</x:v>
      </x:c>
      <x:c r="I46" s="15" t="str">
        <x:v>Hanya simulasi kebakaran. Lokasi, waktu dan pihak kegiatan dipertahankan tanpa dampak kebakaran nyata.</x:v>
      </x:c>
    </x:row>
    <x:row r="47" ht="72" customHeight="1">
      <x:c r="A47" s="2" t="str">
        <x:v>FINAL082-NON_EVENT-02</x:v>
      </x:c>
      <x:c r="B47" s="15" t="str">
        <x:v>Kecelakaan dalam latihan di Balai Suryalaya sore ini memakai mobil properti, tanpa kejadian sungguhan.</x:v>
      </x:c>
      <x:c r="C47" s="15" t="str">
        <x:v>NON_EVENT</x:v>
      </x:c>
      <x:c r="D47" s="15" t="str">
        <x:v>ACCIDENT</x:v>
      </x:c>
      <x:c r="E47" s="16" t="n">
        <x:v>0.928926944732666</x:v>
      </x:c>
      <x:c r="F47" s="17" t="str">
        <x:f>IF(E47&lt;0.95,"Ya","Tidak")</x:f>
        <x:v>Ya</x:v>
      </x:c>
      <x:c r="G47" s="15" t="str">
        <x:v>bintang</x:v>
      </x:c>
      <x:c r="H47" s="15" t="str">
        <x:v>exercise_only</x:v>
      </x:c>
      <x:c r="I47" s="15" t="str">
        <x:v>Kecelakaan hanya diperagakan dengan mobil properti. Mobil tidak dinyatakan rusak oleh kejadian nyata.</x:v>
      </x:c>
    </x:row>
    <x:row r="48" ht="72" customHeight="1">
      <x:c r="A48" s="2" t="str">
        <x:v>FINAL082-NON_EVENT-03</x:v>
      </x:c>
      <x:c r="B48" s="15" t="str">
        <x:v>Petugas mengingatkan potensi banjir di Desa Wanamerta besok pagi; belum ada laporan kejadian.</x:v>
      </x:c>
      <x:c r="C48" s="15" t="str">
        <x:v>NON_EVENT</x:v>
      </x:c>
      <x:c r="D48" s="15" t="str">
        <x:v>NON_EVENT</x:v>
      </x:c>
      <x:c r="E48" s="16" t="n">
        <x:v>0.9999866485595703</x:v>
      </x:c>
      <x:c r="F48" s="17" t="str">
        <x:f>IF(E48&lt;0.95,"Ya","Tidak")</x:f>
        <x:v>Tidak</x:v>
      </x:c>
      <x:c r="G48" s="15" t="str">
        <x:v>bintang</x:v>
      </x:c>
      <x:c r="H48" s="15" t="str">
        <x:v>forecast</x:v>
      </x:c>
      <x:c r="I48" s="15" t="str">
        <x:v>Potensi banjir besok pagi adalah peringatan, bukan kejadian yang telah dilaporkan. Waktu tetap literal.</x:v>
      </x:c>
    </x:row>
    <x:row r="49" ht="72" customHeight="1">
      <x:c r="A49" s="2" t="str">
        <x:v>FINAL082-NON_EVENT-04</x:v>
      </x:c>
      <x:c r="B49" s="15" t="str">
        <x:v>Kepala desa menyatakan tidak terjadi gempa di Desa Renggawana tadi malam.</x:v>
      </x:c>
      <x:c r="C49" s="15" t="str">
        <x:v>NON_EVENT</x:v>
      </x:c>
      <x:c r="D49" s="15" t="str">
        <x:v>NON_EVENT</x:v>
      </x:c>
      <x:c r="E49" s="16" t="n">
        <x:v>0.9999774694442749</x:v>
      </x:c>
      <x:c r="F49" s="17" t="str">
        <x:f>IF(E49&lt;0.95,"Ya","Tidak")</x:f>
        <x:v>Tidak</x:v>
      </x:c>
      <x:c r="G49" s="15" t="str">
        <x:v>bintang</x:v>
      </x:c>
      <x:c r="H49" s="15" t="str">
        <x:v>denial</x:v>
      </x:c>
      <x:c r="I49" s="15" t="str">
        <x:v>Tidak terjadi gempa merupakan negasi kejadian. Kepala desa adalah pihak pemberi pernyataan.</x:v>
      </x:c>
    </x:row>
    <x:row r="50" ht="72" customHeight="1">
      <x:c r="A50" s="2" t="str">
        <x:v>FINAL082-NON_EVENT-05</x:v>
      </x:c>
      <x:c r="B50" s="15" t="str">
        <x:v>Pemilik toko menyebut banjir pesanan sejak pagi ini; itu promosi dagangan.</x:v>
      </x:c>
      <x:c r="C50" s="15" t="str">
        <x:v>NON_EVENT</x:v>
      </x:c>
      <x:c r="D50" s="15" t="str">
        <x:v>NON_EVENT</x:v>
      </x:c>
      <x:c r="E50" s="16" t="n">
        <x:v>0.9993208646774292</x:v>
      </x:c>
      <x:c r="F50" s="17" t="str">
        <x:f>IF(E50&lt;0.95,"Ya","Tidak")</x:f>
        <x:v>Tidak</x:v>
      </x:c>
      <x:c r="G50" s="15" t="str">
        <x:v>bintang</x:v>
      </x:c>
      <x:c r="H50" s="15" t="str">
        <x:v>metaphor</x:v>
      </x:c>
      <x:c r="I50" s="15" t="str">
        <x:v>Banjir pesanan adalah metafora promosi. Pihak dan frasa waktu sejak pagi ini sesuai teks.</x:v>
      </x:c>
    </x:row>
    <x:row r="51" ht="72" customHeight="1">
      <x:c r="A51" s="2" t="str">
        <x:v>FINAL082-NON_EVENT-06</x:v>
      </x:c>
      <x:c r="B51" s="15" t="str">
        <x:v>Relawan sekolah membahas pencegahan kebakaran di Balai Cikartika siang ini.</x:v>
      </x:c>
      <x:c r="C51" s="15" t="str">
        <x:v>NON_EVENT</x:v>
      </x:c>
      <x:c r="D51" s="15" t="str">
        <x:v>NON_EVENT</x:v>
      </x:c>
      <x:c r="E51" s="16" t="n">
        <x:v>0.9999375343322754</x:v>
      </x:c>
      <x:c r="F51" s="17" t="str">
        <x:f>IF(E51&lt;0.95,"Ya","Tidak")</x:f>
        <x:v>Tidak</x:v>
      </x:c>
      <x:c r="G51" s="15" t="str">
        <x:v>bintang</x:v>
      </x:c>
      <x:c r="H51" s="15" t="str">
        <x:v>prevention</x:v>
      </x:c>
      <x:c r="I51" s="15" t="str">
        <x:v>Pembahasan pencegahan tidak menyatakan kebakaran terjadi. Lokasi, waktu dan pihak kegiatan sesuai teks.</x:v>
      </x:c>
    </x:row>
    <x:row r="52" ht="72" customHeight="1">
      <x:c r="A52" s="2" t="str">
        <x:v>FINAL082-NON_EVENT-07</x:v>
      </x:c>
      <x:c r="B52" s="15" t="str">
        <x:v>Guru menjelaskan prosedur menghadapi gempa di Sekolah Melatijaya pagi tadi, tanpa kejadian nyata.</x:v>
      </x:c>
      <x:c r="C52" s="15" t="str">
        <x:v>NON_EVENT</x:v>
      </x:c>
      <x:c r="D52" s="15" t="str">
        <x:v>NON_EVENT</x:v>
      </x:c>
      <x:c r="E52" s="16" t="n">
        <x:v>0.9999517202377319</x:v>
      </x:c>
      <x:c r="F52" s="17" t="str">
        <x:f>IF(E52&lt;0.95,"Ya","Tidak")</x:f>
        <x:v>Tidak</x:v>
      </x:c>
      <x:c r="G52" s="15" t="str">
        <x:v>bintang</x:v>
      </x:c>
      <x:c r="H52" s="15" t="str">
        <x:v>education</x:v>
      </x:c>
      <x:c r="I52" s="15" t="str">
        <x:v>Prosedur menghadapi gempa adalah materi edukasi. Tidak ada kejadian nyata, dampak atau korban yang dinyatakan.</x:v>
      </x:c>
    </x:row>
    <x:row r="53" ht="72" customHeight="1">
      <x:c r="A53" s="2" t="str">
        <x:v>FINAL082-NON_EVENT-08</x:v>
      </x:c>
      <x:c r="B53" s="15" t="str">
        <x:v>Peneliti membahas angka kecelakaan tahunan; tidak ada satu kejadian tertentu yang dilaporkan.</x:v>
      </x:c>
      <x:c r="C53" s="15" t="str">
        <x:v>NON_EVENT</x:v>
      </x:c>
      <x:c r="D53" s="15" t="str">
        <x:v>NON_EVENT</x:v>
      </x:c>
      <x:c r="E53" s="16" t="n">
        <x:v>0.9999948740005493</x:v>
      </x:c>
      <x:c r="F53" s="17" t="str">
        <x:f>IF(E53&lt;0.95,"Ya","Tidak")</x:f>
        <x:v>Tidak</x:v>
      </x:c>
      <x:c r="G53" s="15" t="str">
        <x:v>bintang</x:v>
      </x:c>
      <x:c r="H53" s="15" t="str">
        <x:v>statistics</x:v>
      </x:c>
      <x:c r="I53" s="15" t="str">
        <x:v>Angka tahunan adalah statistik agregat, bukan satu kecelakaan tertentu. Tahunan tetap waktu literal.</x:v>
      </x:c>
    </x:row>
    <x:row r="54" ht="72" customHeight="1">
      <x:c r="A54" s="2" t="str">
        <x:v>FINAL082-NON_EVENT-09</x:v>
      </x:c>
      <x:c r="B54" s="15" t="str">
        <x:v>Panitia sosial mengumpulkan donasi bagi penyintas banjir dan gempa dari beragam tahun, tanpa laporan peristiwa baru.</x:v>
      </x:c>
      <x:c r="C54" s="15" t="str">
        <x:v>NON_EVENT</x:v>
      </x:c>
      <x:c r="D54" s="15" t="str">
        <x:v>NON_EVENT</x:v>
      </x:c>
      <x:c r="E54" s="16" t="n">
        <x:v>0.9997228980064392</x:v>
      </x:c>
      <x:c r="F54" s="17" t="str">
        <x:f>IF(E54&lt;0.95,"Ya","Tidak")</x:f>
        <x:v>Tidak</x:v>
      </x:c>
      <x:c r="G54" s="15" t="str">
        <x:v>bintang</x:v>
      </x:c>
      <x:c r="H54" s="15" t="str">
        <x:v>donation_aggregate</x:v>
      </x:c>
      <x:c r="I54" s="15" t="str">
        <x:v>Penyintas ditambahkan sebagai pihak. Dari beragam tahun dilabeli TIME dan dicatat literal, tanpa menetapkan tanggal atau korban baru.</x:v>
      </x:c>
    </x:row>
    <x:row r="55" ht="72" customHeight="1">
      <x:c r="A55" s="2" t="str">
        <x:v>FINAL082-NON_EVENT-10</x:v>
      </x:c>
      <x:c r="B55" s="15" t="str">
        <x:v>Para pemain memeragakan kebakaran di panggung Teater Nawasena malam ini; seluruh adegan fiksi.</x:v>
      </x:c>
      <x:c r="C55" s="15" t="str">
        <x:v>NON_EVENT</x:v>
      </x:c>
      <x:c r="D55" s="15" t="str">
        <x:v>NON_EVENT</x:v>
      </x:c>
      <x:c r="E55" s="16" t="n">
        <x:v>0.981046736240387</x:v>
      </x:c>
      <x:c r="F55" s="17" t="str">
        <x:f>IF(E55&lt;0.95,"Ya","Tidak")</x:f>
        <x:v>Tidak</x:v>
      </x:c>
      <x:c r="G55" s="15" t="str">
        <x:v>bintang</x:v>
      </x:c>
      <x:c r="H55" s="15" t="str">
        <x:v>fiction</x:v>
      </x:c>
      <x:c r="I55" s="15" t="str">
        <x:v>Lokasi diperjelas menjadi panggung Teater Nawasena dan seluruh frasanya dilabeli PLACE. Kebakaran hanya adegan fiksi.</x:v>
      </x:c>
    </x:row>
  </x:sheetData>
  <x:conditionalFormatting sqref="A6:I55">
    <x:cfRule type="expression" dxfId="1" priority="1">
      <x:formula>$C6&lt;&gt;$D6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20c2ad262145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26" hidden="0" customWidth="1"/>
    <x:col min="3" max="3" width="54" hidden="0" customWidth="1"/>
    <x:col min="4" max="4" width="54" hidden="0" customWidth="1"/>
    <x:col min="5" max="5" width="21" hidden="0" customWidth="1"/>
    <x:col min="6" max="6" width="82" hidden="0" customWidth="1"/>
  </x:cols>
  <x:sheetData>
    <x:row r="1" ht="24" customHeight="1">
      <x:c r="A1" s="2"/>
      <x:c r="B1" s="2"/>
      <x:c r="C1" s="2"/>
      <x:c r="D1" s="2"/>
      <x:c r="E1" s="2"/>
      <x:c r="F1" s="2"/>
    </x:row>
    <x:row r="2" ht="24" customHeight="1">
      <x:c r="A2" s="4" t="str">
        <x:v>Perbedaan yang ditemukan pada uji baru</x:v>
      </x:c>
      <x:c r="B2" s="5"/>
      <x:c r="C2" s="5"/>
      <x:c r="D2" s="5"/>
      <x:c r="E2" s="5"/>
      <x:c r="F2" s="5"/>
    </x:row>
    <x:row r="3" ht="24" customHeight="1">
      <x:c r="A3" s="7" t="str">
        <x:v>1 kategori, 30 field, dan 74 label token berbeda. Acuan dan prediksi asli tidak diubah.</x:v>
      </x:c>
      <x:c r="B3" s="2"/>
      <x:c r="C3" s="2"/>
      <x:c r="D3" s="2"/>
      <x:c r="E3" s="2"/>
      <x:c r="F3" s="2"/>
    </x:row>
    <x:row r="4" ht="24" customHeight="1">
      <x:c r="A4" s="2"/>
      <x:c r="B4" s="2"/>
      <x:c r="C4" s="2"/>
      <x:c r="D4" s="2"/>
      <x:c r="E4" s="2"/>
      <x:c r="F4" s="2"/>
    </x:row>
    <x:row r="5" ht="32" customHeight="1">
      <x:c r="A5" s="11" t="str">
        <x:v>ID</x:v>
      </x:c>
      <x:c r="B5" s="11" t="str">
        <x:v>Keluarga</x:v>
      </x:c>
      <x:c r="C5" s="11" t="str">
        <x:v>Kategori acuan</x:v>
      </x:c>
      <x:c r="D5" s="11" t="str">
        <x:v>Kategori model</x:v>
      </x:c>
      <x:c r="E5" s="11" t="str">
        <x:v>Confidence</x:v>
      </x:c>
      <x:c r="F5" s="11" t="str">
        <x:v>Narasi</x:v>
      </x:c>
    </x:row>
    <x:row r="6" ht="66" customHeight="1">
      <x:c r="A6" s="15" t="str">
        <x:v>FINAL082-NON_EVENT-02</x:v>
      </x:c>
      <x:c r="B6" s="15" t="str">
        <x:v>exercise_only</x:v>
      </x:c>
      <x:c r="C6" s="15" t="str">
        <x:v>NON_EVENT</x:v>
      </x:c>
      <x:c r="D6" s="15" t="str">
        <x:v>ACCIDENT</x:v>
      </x:c>
      <x:c r="E6" s="16" t="n">
        <x:v>0.928926944732666</x:v>
      </x:c>
      <x:c r="F6" s="15" t="str">
        <x:v>Kecelakaan dalam latihan di Balai Suryalaya sore ini memakai mobil properti, tanpa kejadian sungguhan.</x:v>
      </x:c>
    </x:row>
    <x:row r="7" ht="24" customHeight="1">
      <x:c r="A7" s="2"/>
      <x:c r="B7" s="2"/>
      <x:c r="C7" s="2"/>
      <x:c r="D7" s="2"/>
      <x:c r="E7" s="2"/>
      <x:c r="F7" s="2"/>
    </x:row>
    <x:row r="8" ht="24" customHeight="1">
      <x:c r="A8" s="7" t="str">
        <x:v>Kasus latihan diprediksi ACCIDENT; flag confidence rendah tidak mengubah kategori menjadi NON_EVENT.</x:v>
      </x:c>
      <x:c r="B8" s="2"/>
      <x:c r="C8" s="2"/>
      <x:c r="D8" s="2"/>
      <x:c r="E8" s="2"/>
      <x:c r="F8" s="2"/>
    </x:row>
    <x:row r="9" ht="24" customHeight="1">
      <x:c r="A9" s="2"/>
      <x:c r="B9" s="2"/>
      <x:c r="C9" s="2"/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32" customHeight="1">
      <x:c r="A11" s="11" t="str">
        <x:v>ID</x:v>
      </x:c>
      <x:c r="B11" s="11" t="str">
        <x:v>Field</x:v>
      </x:c>
      <x:c r="C11" s="11" t="str">
        <x:v>Acuan manusia</x:v>
      </x:c>
      <x:c r="D11" s="11" t="str">
        <x:v>Hasil model</x:v>
      </x:c>
      <x:c r="E11" s="11" t="str">
        <x:v>Jenis</x:v>
      </x:c>
      <x:c r="F11" s="11" t="str">
        <x:v>Narasi</x:v>
      </x:c>
    </x:row>
    <x:row r="12" ht="60" customHeight="1">
      <x:c r="A12" s="2" t="str">
        <x:v>FINAL082-FLOOD-03</x:v>
      </x:c>
      <x:c r="B12" s="2" t="str">
        <x:v>location_text</x:v>
      </x:c>
      <x:c r="C12" s="15" t="str">
        <x:v>Kampung Selangwangi</x:v>
      </x:c>
      <x:c r="D12" s="15" t="str">
        <x:v>Kampung Selangwangi; jalan utama</x:v>
      </x:c>
      <x:c r="E12" s="15" t="str">
        <x:v>Tidak tepat</x:v>
      </x:c>
      <x:c r="F12" s="15" t="str">
        <x:v>Akibat tanggul jebol, banjir menutup jalan utama di Kampung Selangwangi tadi malam.</x:v>
      </x:c>
    </x:row>
    <x:row r="13" ht="60" customHeight="1">
      <x:c r="A13" s="2" t="str">
        <x:v>FINAL082-FLOOD-03</x:v>
      </x:c>
      <x:c r="B13" s="2" t="str">
        <x:v>affected_objects</x:v>
      </x:c>
      <x:c r="C13" s="15" t="str">
        <x:v>jalan utama</x:v>
      </x:c>
      <x:c r="D13" s="15" t="str">
        <x:v>kosong</x:v>
      </x:c>
      <x:c r="E13" s="15" t="str">
        <x:v>Tidak tepat</x:v>
      </x:c>
      <x:c r="F13" s="15" t="str">
        <x:v>Akibat tanggul jebol, banjir menutup jalan utama di Kampung Selangwangi tadi malam.</x:v>
      </x:c>
    </x:row>
    <x:row r="14" ht="60" customHeight="1">
      <x:c r="A14" s="2" t="str">
        <x:v>FINAL082-FLOOD-06</x:v>
      </x:c>
      <x:c r="B14" s="2" t="str">
        <x:v>impacts</x:v>
      </x:c>
      <x:c r="C14" s="15" t="str">
        <x:v>merendam tiga kios</x:v>
      </x:c>
      <x:c r="D14" s="15" t="str">
        <x:v>merendam tiga kios | tidak ada korban</x:v>
      </x:c>
      <x:c r="E14" s="15" t="str">
        <x:v>Tidak tepat</x:v>
      </x:c>
      <x:c r="F14" s="15" t="str">
        <x:v>Banjir merendam tiga kios di Jalan Mahadewi malam tadi, tetapi tidak ada korban.</x:v>
      </x:c>
    </x:row>
    <x:row r="15" ht="60" customHeight="1">
      <x:c r="A15" s="2" t="str">
        <x:v>FINAL082-FLOOD-07</x:v>
      </x:c>
      <x:c r="B15" s="2" t="str">
        <x:v>impacts</x:v>
      </x:c>
      <x:c r="C15" s="15" t="str">
        <x:v>merusak jembatan kayu</x:v>
      </x:c>
      <x:c r="D15" s="15" t="str">
        <x:v>pertolongan | merusak jembatan kayu</x:v>
      </x:c>
      <x:c r="E15" s="15" t="str">
        <x:v>Tidak tepat</x:v>
      </x:c>
      <x:c r="F15" s="15" t="str">
        <x:v>Saat latihan pertolongan, banjir nyata merusak jembatan kayu di Desa Bantarasih siang tadi.</x:v>
      </x:c>
    </x:row>
    <x:row r="16" ht="60" customHeight="1">
      <x:c r="A16" s="2" t="str">
        <x:v>FINAL082-FLOOD-10</x:v>
      </x:c>
      <x:c r="B16" s="2" t="str">
        <x:v>location_text</x:v>
      </x:c>
      <x:c r="C16" s="15" t="str">
        <x:v>Kampung Panyawangan</x:v>
      </x:c>
      <x:c r="D16" s="15" t="str">
        <x:v>Kampung Panyawangan; Wilayah; bukit</x:v>
      </x:c>
      <x:c r="E16" s="15" t="str">
        <x:v>Tidak tepat</x:v>
      </x:c>
      <x:c r="F16" s="15" t="str">
        <x:v>Banjir melanda Kampung Panyawangan malam ini. Wilayah di bukit tetap kering.</x:v>
      </x:c>
    </x:row>
    <x:row r="17" ht="60" customHeight="1">
      <x:c r="A17" s="2" t="str">
        <x:v>FINAL082-FLOOD-10</x:v>
      </x:c>
      <x:c r="B17" s="2" t="str">
        <x:v>impacts</x:v>
      </x:c>
      <x:c r="C17" s="15" t="str">
        <x:v>melanda Kampung Panyawangan</x:v>
      </x:c>
      <x:c r="D17" s="15" t="str">
        <x:v>melanda Kampung Panyawangan | tetap kering</x:v>
      </x:c>
      <x:c r="E17" s="15" t="str">
        <x:v>Tidak tepat</x:v>
      </x:c>
      <x:c r="F17" s="15" t="str">
        <x:v>Banjir melanda Kampung Panyawangan malam ini. Wilayah di bukit tetap kering.</x:v>
      </x:c>
    </x:row>
    <x:row r="18" ht="60" customHeight="1">
      <x:c r="A18" s="2" t="str">
        <x:v>FINAL082-EARTHQUAKE-01</x:v>
      </x:c>
      <x:c r="B18" s="2" t="str">
        <x:v>impacts</x:v>
      </x:c>
      <x:c r="C18" s="15" t="str">
        <x:v>mengguncang Kelurahan Batuwangi | berlarian keluar</x:v>
      </x:c>
      <x:c r="D18" s="15" t="str">
        <x:v>berlarian keluar</x:v>
      </x:c>
      <x:c r="E18" s="15" t="str">
        <x:v>Tidak tepat</x:v>
      </x:c>
      <x:c r="F18" s="15" t="str">
        <x:v>Tadi pagi, gempa mengguncang Kelurahan Batuwangi dan warga berlarian keluar.</x:v>
      </x:c>
    </x:row>
    <x:row r="19" ht="60" customHeight="1">
      <x:c r="A19" s="2" t="str">
        <x:v>FINAL082-EARTHQUAKE-04</x:v>
      </x:c>
      <x:c r="B19" s="2" t="str">
        <x:v>impacts</x:v>
      </x:c>
      <x:c r="C19" s="15" t="str">
        <x:v>dua rumah rusak</x:v>
      </x:c>
      <x:c r="D19" s="15" t="str">
        <x:v>kosong</x:v>
      </x:c>
      <x:c r="E19" s="15" t="str">
        <x:v>Tidak tepat</x:v>
      </x:c>
      <x:c r="F19" s="15" t="str">
        <x:v>Pergerakan sesar memicu gempa di Desa Linggawana sore tadi; dua rumah rusak.</x:v>
      </x:c>
    </x:row>
    <x:row r="20" ht="60" customHeight="1">
      <x:c r="A20" s="2" t="str">
        <x:v>FINAL082-EARTHQUAKE-04</x:v>
      </x:c>
      <x:c r="B20" s="2" t="str">
        <x:v>affected_objects</x:v>
      </x:c>
      <x:c r="C20" s="15" t="str">
        <x:v>dua rumah</x:v>
      </x:c>
      <x:c r="D20" s="15" t="str">
        <x:v>dua rumah rusak</x:v>
      </x:c>
      <x:c r="E20" s="15" t="str">
        <x:v>Tidak tepat</x:v>
      </x:c>
      <x:c r="F20" s="15" t="str">
        <x:v>Pergerakan sesar memicu gempa di Desa Linggawana sore tadi; dua rumah rusak.</x:v>
      </x:c>
    </x:row>
    <x:row r="21" ht="60" customHeight="1">
      <x:c r="A21" s="2" t="str">
        <x:v>FINAL082-EARTHQUAKE-06</x:v>
      </x:c>
      <x:c r="B21" s="2" t="str">
        <x:v>impacts</x:v>
      </x:c>
      <x:c r="C21" s="15" t="str">
        <x:v>pagar sekolah roboh</x:v>
      </x:c>
      <x:c r="D21" s="15" t="str">
        <x:v>Tak ada korban jiwa</x:v>
      </x:c>
      <x:c r="E21" s="15" t="str">
        <x:v>Tidak tepat</x:v>
      </x:c>
      <x:c r="F21" s="15" t="str">
        <x:v>Tak ada korban jiwa dalam gempa siang tadi di Desa Cikawana, tetapi pagar sekolah roboh.</x:v>
      </x:c>
    </x:row>
    <x:row r="22" ht="60" customHeight="1">
      <x:c r="A22" s="2" t="str">
        <x:v>FINAL082-EARTHQUAKE-06</x:v>
      </x:c>
      <x:c r="B22" s="2" t="str">
        <x:v>affected_objects</x:v>
      </x:c>
      <x:c r="C22" s="15" t="str">
        <x:v>pagar sekolah</x:v>
      </x:c>
      <x:c r="D22" s="15" t="str">
        <x:v>pagar sekolah roboh</x:v>
      </x:c>
      <x:c r="E22" s="15" t="str">
        <x:v>Tidak tepat</x:v>
      </x:c>
      <x:c r="F22" s="15" t="str">
        <x:v>Tak ada korban jiwa dalam gempa siang tadi di Desa Cikawana, tetapi pagar sekolah roboh.</x:v>
      </x:c>
    </x:row>
    <x:row r="23" ht="60" customHeight="1">
      <x:c r="A23" s="2" t="str">
        <x:v>FINAL082-EARTHQUAKE-07</x:v>
      </x:c>
      <x:c r="B23" s="2" t="str">
        <x:v>impacts</x:v>
      </x:c>
      <x:c r="C23" s="15" t="str">
        <x:v>Latihan evakuasi dihentikan | mengguncang Kampung Cendrawana</x:v>
      </x:c>
      <x:c r="D23" s="15" t="str">
        <x:v>kosong</x:v>
      </x:c>
      <x:c r="E23" s="15" t="str">
        <x:v>Tidak tepat</x:v>
      </x:c>
      <x:c r="F23" s="15" t="str">
        <x:v>Latihan evakuasi dihentikan karena gempa sungguhan mengguncang Kampung Cendrawana sore ini.</x:v>
      </x:c>
    </x:row>
    <x:row r="24" ht="60" customHeight="1">
      <x:c r="A24" s="2" t="str">
        <x:v>FINAL082-FIRE-03</x:v>
      </x:c>
      <x:c r="B24" s="2" t="str">
        <x:v>location_text</x:v>
      </x:c>
      <x:c r="C24" s="15" t="str">
        <x:v>Gudang Suryamurni</x:v>
      </x:c>
      <x:c r="D24" s="15" t="str">
        <x:v>kosong</x:v>
      </x:c>
      <x:c r="E24" s="15" t="str">
        <x:v>Tidak tepat</x:v>
      </x:c>
      <x:c r="F24" s="15" t="str">
        <x:v>Kebakaran terjadi di Gudang Suryamurni malam tadi; dua pekerja terluka.</x:v>
      </x:c>
    </x:row>
    <x:row r="25" ht="60" customHeight="1">
      <x:c r="A25" s="2" t="str">
        <x:v>FINAL082-FIRE-03</x:v>
      </x:c>
      <x:c r="B25" s="2" t="str">
        <x:v>affected_objects</x:v>
      </x:c>
      <x:c r="C25" s="15" t="str">
        <x:v>kosong</x:v>
      </x:c>
      <x:c r="D25" s="15" t="str">
        <x:v>Gudang Suryamurni</x:v>
      </x:c>
      <x:c r="E25" s="15" t="str">
        <x:v>Isi berlebih</x:v>
      </x:c>
      <x:c r="F25" s="15" t="str">
        <x:v>Kebakaran terjadi di Gudang Suryamurni malam tadi; dua pekerja terluka.</x:v>
      </x:c>
    </x:row>
    <x:row r="26" ht="60" customHeight="1">
      <x:c r="A26" s="2" t="str">
        <x:v>FINAL082-FIRE-04</x:v>
      </x:c>
      <x:c r="B26" s="2" t="str">
        <x:v>impacts</x:v>
      </x:c>
      <x:c r="C26" s="15" t="str">
        <x:v>memadamkan kebakaran</x:v>
      </x:c>
      <x:c r="D26" s="15" t="str">
        <x:v>memadamkan</x:v>
      </x:c>
      <x:c r="E26" s="15" t="str">
        <x:v>Tidak tepat</x:v>
      </x:c>
      <x:c r="F26" s="15" t="str">
        <x:v>Petugas damkar memadamkan kebakaran di Jalan Cempakareja pagi ini.</x:v>
      </x:c>
    </x:row>
    <x:row r="27" ht="60" customHeight="1">
      <x:c r="A27" s="2" t="str">
        <x:v>FINAL082-FIRE-06</x:v>
      </x:c>
      <x:c r="B27" s="2" t="str">
        <x:v>impacts</x:v>
      </x:c>
      <x:c r="C27" s="15" t="str">
        <x:v>menghanguskan gudang kayu</x:v>
      </x:c>
      <x:c r="D27" s="15" t="str">
        <x:v>tidak ada korban | menghanguskan gudang kayu</x:v>
      </x:c>
      <x:c r="E27" s="15" t="str">
        <x:v>Tidak tepat</x:v>
      </x:c>
      <x:c r="F27" s="15" t="str">
        <x:v>Kebakaran menghanguskan gudang kayu di Desa Babakanasri kemarin malam; tidak ada korban.</x:v>
      </x:c>
    </x:row>
    <x:row r="28" ht="60" customHeight="1">
      <x:c r="A28" s="2" t="str">
        <x:v>FINAL082-FIRE-07</x:v>
      </x:c>
      <x:c r="B28" s="2" t="str">
        <x:v>location_text</x:v>
      </x:c>
      <x:c r="C28" s="15" t="str">
        <x:v>Lapangan Mekarjaya</x:v>
      </x:c>
      <x:c r="D28" s="15" t="str">
        <x:v>latihan; Lapangan Mekarjaya</x:v>
      </x:c>
      <x:c r="E28" s="15" t="str">
        <x:v>Tidak tepat</x:v>
      </x:c>
      <x:c r="F28" s="15" t="str">
        <x:v>Di tengah latihan damkar, kebakaran nyata merusak satu mobil di Lapangan Mekarjaya siang ini.</x:v>
      </x:c>
    </x:row>
    <x:row r="29" ht="60" customHeight="1">
      <x:c r="A29" s="2" t="str">
        <x:v>FINAL082-FIRE-07</x:v>
      </x:c>
      <x:c r="B29" s="2" t="str">
        <x:v>involved_parties</x:v>
      </x:c>
      <x:c r="C29" s="15" t="str">
        <x:v>kosong</x:v>
      </x:c>
      <x:c r="D29" s="15" t="str">
        <x:v>damkar</x:v>
      </x:c>
      <x:c r="E29" s="15" t="str">
        <x:v>Isi berlebih</x:v>
      </x:c>
      <x:c r="F29" s="15" t="str">
        <x:v>Di tengah latihan damkar, kebakaran nyata merusak satu mobil di Lapangan Mekarjaya siang ini.</x:v>
      </x:c>
    </x:row>
    <x:row r="30" ht="60" customHeight="1">
      <x:c r="A30" s="2" t="str">
        <x:v>FINAL082-ACCIDENT-01</x:v>
      </x:c>
      <x:c r="B30" s="2" t="str">
        <x:v>impacts</x:v>
      </x:c>
      <x:c r="C30" s="15" t="str">
        <x:v>melibatkan dua motor</x:v>
      </x:c>
      <x:c r="D30" s="15" t="str">
        <x:v>kosong</x:v>
      </x:c>
      <x:c r="E30" s="15" t="str">
        <x:v>Tidak tepat</x:v>
      </x:c>
      <x:c r="F30" s="15" t="str">
        <x:v>Kecelakaan melibatkan dua motor di Jalan Sidomurni pagi ini.</x:v>
      </x:c>
    </x:row>
    <x:row r="31" ht="60" customHeight="1">
      <x:c r="A31" s="2" t="str">
        <x:v>FINAL082-ACCIDENT-06</x:v>
      </x:c>
      <x:c r="B31" s="2" t="str">
        <x:v>impacts</x:v>
      </x:c>
      <x:c r="C31" s="15" t="str">
        <x:v>dua mobil rusak</x:v>
      </x:c>
      <x:c r="D31" s="15" t="str">
        <x:v>Tidak ada</x:v>
      </x:c>
      <x:c r="E31" s="15" t="str">
        <x:v>Tidak tepat</x:v>
      </x:c>
      <x:c r="F31" s="15" t="str">
        <x:v>Tidak ada korban luka dalam kecelakaan di Desa Tegalwangi siang ini, tetapi dua mobil rusak.</x:v>
      </x:c>
    </x:row>
    <x:row r="32" ht="60" customHeight="1">
      <x:c r="A32" s="2" t="str">
        <x:v>FINAL082-ACCIDENT-06</x:v>
      </x:c>
      <x:c r="B32" s="2" t="str">
        <x:v>affected_objects</x:v>
      </x:c>
      <x:c r="C32" s="15" t="str">
        <x:v>dua mobil</x:v>
      </x:c>
      <x:c r="D32" s="15" t="str">
        <x:v>dua mobil rusak</x:v>
      </x:c>
      <x:c r="E32" s="15" t="str">
        <x:v>Tidak tepat</x:v>
      </x:c>
      <x:c r="F32" s="15" t="str">
        <x:v>Tidak ada korban luka dalam kecelakaan di Desa Tegalwangi siang ini, tetapi dua mobil rusak.</x:v>
      </x:c>
    </x:row>
    <x:row r="33" ht="60" customHeight="1">
      <x:c r="A33" s="2" t="str">
        <x:v>FINAL082-ACCIDENT-07</x:v>
      </x:c>
      <x:c r="B33" s="2" t="str">
        <x:v>impacts</x:v>
      </x:c>
      <x:c r="C33" s="15" t="str">
        <x:v>merusak mobil petugas</x:v>
      </x:c>
      <x:c r="D33" s="15" t="str">
        <x:v>pertolongan | merusak mobil petugas</x:v>
      </x:c>
      <x:c r="E33" s="15" t="str">
        <x:v>Tidak tepat</x:v>
      </x:c>
      <x:c r="F33" s="15" t="str">
        <x:v>Saat latihan pertolongan, kecelakaan sungguhan merusak mobil petugas di Lapangan Binamarga sore ini.</x:v>
      </x:c>
    </x:row>
    <x:row r="34" ht="60" customHeight="1">
      <x:c r="A34" s="2" t="str">
        <x:v>FINAL082-ACCIDENT-10</x:v>
      </x:c>
      <x:c r="B34" s="2" t="str">
        <x:v>location_text</x:v>
      </x:c>
      <x:c r="C34" s="15" t="str">
        <x:v>Jalan Cempakaluyu</x:v>
      </x:c>
      <x:c r="D34" s="15" t="str">
        <x:v>jalan; Jalan Cempakaluyu</x:v>
      </x:c>
      <x:c r="E34" s="15" t="str">
        <x:v>Tidak tepat</x:v>
      </x:c>
      <x:c r="F34" s="15" t="str">
        <x:v>Kecelakaan dipicu jalan licin di Jalan Cempakaluyu malam ini; seorang sopir terluka.</x:v>
      </x:c>
    </x:row>
    <x:row r="35" ht="60" customHeight="1">
      <x:c r="A35" s="2" t="str">
        <x:v>FINAL082-NON_EVENT-01</x:v>
      </x:c>
      <x:c r="B35" s="2" t="str">
        <x:v>impacts</x:v>
      </x:c>
      <x:c r="C35" s="15" t="str">
        <x:v>kosong</x:v>
      </x:c>
      <x:c r="D35" s="15" t="str">
        <x:v>hanya menggelar simulasi</x:v>
      </x:c>
      <x:c r="E35" s="15" t="str">
        <x:v>Isi berlebih</x:v>
      </x:c>
      <x:c r="F35" s="15" t="str">
        <x:v>Tim damkar hanya menggelar simulasi kebakaran di Halaman Purnawana pagi tadi.</x:v>
      </x:c>
    </x:row>
    <x:row r="36" ht="60" customHeight="1">
      <x:c r="A36" s="2" t="str">
        <x:v>FINAL082-NON_EVENT-02</x:v>
      </x:c>
      <x:c r="B36" s="2" t="str">
        <x:v>affected_objects</x:v>
      </x:c>
      <x:c r="C36" s="15" t="str">
        <x:v>kosong</x:v>
      </x:c>
      <x:c r="D36" s="15" t="str">
        <x:v>mobil properti</x:v>
      </x:c>
      <x:c r="E36" s="15" t="str">
        <x:v>Isi berlebih</x:v>
      </x:c>
      <x:c r="F36" s="15" t="str">
        <x:v>Kecelakaan dalam latihan di Balai Suryalaya sore ini memakai mobil properti, tanpa kejadian sungguhan.</x:v>
      </x:c>
    </x:row>
    <x:row r="37" ht="60" customHeight="1">
      <x:c r="A37" s="2" t="str">
        <x:v>FINAL082-NON_EVENT-03</x:v>
      </x:c>
      <x:c r="B37" s="2" t="str">
        <x:v>impacts</x:v>
      </x:c>
      <x:c r="C37" s="15" t="str">
        <x:v>kosong</x:v>
      </x:c>
      <x:c r="D37" s="15" t="str">
        <x:v>mengingatkan potensi | belum ada laporan kejadian</x:v>
      </x:c>
      <x:c r="E37" s="15" t="str">
        <x:v>Isi berlebih</x:v>
      </x:c>
      <x:c r="F37" s="15" t="str">
        <x:v>Petugas mengingatkan potensi banjir di Desa Wanamerta besok pagi; belum ada laporan kejadian.</x:v>
      </x:c>
    </x:row>
    <x:row r="38" ht="60" customHeight="1">
      <x:c r="A38" s="2" t="str">
        <x:v>FINAL082-NON_EVENT-08</x:v>
      </x:c>
      <x:c r="B38" s="2" t="str">
        <x:v>time_text</x:v>
      </x:c>
      <x:c r="C38" s="15" t="str">
        <x:v>tahunan</x:v>
      </x:c>
      <x:c r="D38" s="15" t="str">
        <x:v>kosong</x:v>
      </x:c>
      <x:c r="E38" s="15" t="str">
        <x:v>Tidak tepat</x:v>
      </x:c>
      <x:c r="F38" s="15" t="str">
        <x:v>Peneliti membahas angka kecelakaan tahunan; tidak ada satu kejadian tertentu yang dilaporkan.</x:v>
      </x:c>
    </x:row>
    <x:row r="39" ht="60" customHeight="1">
      <x:c r="A39" s="2" t="str">
        <x:v>FINAL082-NON_EVENT-09</x:v>
      </x:c>
      <x:c r="B39" s="2" t="str">
        <x:v>time_text</x:v>
      </x:c>
      <x:c r="C39" s="15" t="str">
        <x:v>dari beragam tahun</x:v>
      </x:c>
      <x:c r="D39" s="15" t="str">
        <x:v>kosong</x:v>
      </x:c>
      <x:c r="E39" s="15" t="str">
        <x:v>Tidak tepat</x:v>
      </x:c>
      <x:c r="F39" s="15" t="str">
        <x:v>Panitia sosial mengumpulkan donasi bagi penyintas banjir dan gempa dari beragam tahun, tanpa laporan peristiwa baru.</x:v>
      </x:c>
    </x:row>
    <x:row r="40" ht="60" customHeight="1">
      <x:c r="A40" s="2" t="str">
        <x:v>FINAL082-NON_EVENT-09</x:v>
      </x:c>
      <x:c r="B40" s="2" t="str">
        <x:v>impacts</x:v>
      </x:c>
      <x:c r="C40" s="15" t="str">
        <x:v>kosong</x:v>
      </x:c>
      <x:c r="D40" s="15" t="str">
        <x:v>mengumpulkan donasi</x:v>
      </x:c>
      <x:c r="E40" s="15" t="str">
        <x:v>Isi berlebih</x:v>
      </x:c>
      <x:c r="F40" s="15" t="str">
        <x:v>Panitia sosial mengumpulkan donasi bagi penyintas banjir dan gempa dari beragam tahun, tanpa laporan peristiwa baru.</x:v>
      </x:c>
    </x:row>
    <x:row r="41" ht="60" customHeight="1">
      <x:c r="A41" s="2" t="str">
        <x:v>FINAL082-NON_EVENT-10</x:v>
      </x:c>
      <x:c r="B41" s="2" t="str">
        <x:v>impacts</x:v>
      </x:c>
      <x:c r="C41" s="15" t="str">
        <x:v>kosong</x:v>
      </x:c>
      <x:c r="D41" s="15" t="str">
        <x:v>memeragakan</x:v>
      </x:c>
      <x:c r="E41" s="15" t="str">
        <x:v>Isi berlebih</x:v>
      </x:c>
      <x:c r="F41" s="15" t="str">
        <x:v>Para pemain memeragakan kebakaran di panggung Teater Nawasena malam ini; seluruh adegan fiksi.</x:v>
      </x:c>
    </x:row>
    <x:row r="42" ht="24" customHeight="1">
      <x:c r="A42" s="2"/>
      <x:c r="B42" s="2"/>
      <x:c r="C42" s="2"/>
      <x:c r="D42" s="2"/>
      <x:c r="E42" s="2"/>
      <x:c r="F42" s="2"/>
    </x:row>
    <x:row r="43" ht="24" customHeight="1">
      <x:c r="A43" s="2"/>
      <x:c r="B43" s="2"/>
      <x:c r="C43" s="2"/>
      <x:c r="D43" s="2"/>
      <x:c r="E43" s="2"/>
      <x:c r="F43" s="2"/>
    </x:row>
    <x:row r="44" ht="24" customHeight="1">
      <x:c r="A44" s="7" t="str">
        <x:v>Semua perbedaan label token mentah; perbaikan komposisi tidak mengubah label model.</x:v>
      </x:c>
      <x:c r="B44" s="2"/>
      <x:c r="C44" s="2"/>
      <x:c r="D44" s="2"/>
      <x:c r="E44" s="2"/>
      <x:c r="F44" s="2"/>
    </x:row>
    <x:row r="45" ht="32" customHeight="1">
      <x:c r="A45" s="11" t="str">
        <x:v>ID</x:v>
      </x:c>
      <x:c r="B45" s="11" t="str">
        <x:v>Posisi token</x:v>
      </x:c>
      <x:c r="C45" s="11" t="str">
        <x:v>Token</x:v>
      </x:c>
      <x:c r="D45" s="11" t="str">
        <x:v>Label acuan</x:v>
      </x:c>
      <x:c r="E45" s="11" t="str">
        <x:v>Label model</x:v>
      </x:c>
      <x:c r="F45" s="11" t="str">
        <x:v>Confidence token</x:v>
      </x:c>
    </x:row>
    <x:row r="46" ht="24" customHeight="1">
      <x:c r="A46" s="2" t="str">
        <x:v>FINAL082-FLOOD-01</x:v>
      </x:c>
      <x:c r="B46" s="13" t="n">
        <x:v>2</x:v>
      </x:c>
      <x:c r="C46" s="2" t="str">
        <x:v>melaporkan</x:v>
      </x:c>
      <x:c r="D46" s="2" t="str">
        <x:v>O</x:v>
      </x:c>
      <x:c r="E46" s="2" t="str">
        <x:v>INFORMATION-ARG</x:v>
      </x:c>
      <x:c r="F46" s="12" t="n">
        <x:v>0.551829993724823</x:v>
      </x:c>
    </x:row>
    <x:row r="47" ht="24" customHeight="1">
      <x:c r="A47" s="2" t="str">
        <x:v>FINAL082-FLOOD-03</x:v>
      </x:c>
      <x:c r="B47" s="13" t="n">
        <x:v>1</x:v>
      </x:c>
      <x:c r="C47" s="2" t="str">
        <x:v>Akibat</x:v>
      </x:c>
      <x:c r="D47" s="2" t="str">
        <x:v>O</x:v>
      </x:c>
      <x:c r="E47" s="2" t="str">
        <x:v>REASON-ARG</x:v>
      </x:c>
      <x:c r="F47" s="12" t="n">
        <x:v>0.6640769243240356</x:v>
      </x:c>
    </x:row>
    <x:row r="48" ht="24" customHeight="1">
      <x:c r="A48" s="2" t="str">
        <x:v>FINAL082-FLOOD-03</x:v>
      </x:c>
      <x:c r="B48" s="13" t="n">
        <x:v>7</x:v>
      </x:c>
      <x:c r="C48" s="2" t="str">
        <x:v>jalan</x:v>
      </x:c>
      <x:c r="D48" s="2" t="str">
        <x:v>AFFECTEDOBJECTS-ARG</x:v>
      </x:c>
      <x:c r="E48" s="2" t="str">
        <x:v>STREET-ARG</x:v>
      </x:c>
      <x:c r="F48" s="12" t="n">
        <x:v>0.6908853054046631</x:v>
      </x:c>
    </x:row>
    <x:row r="49" ht="24" customHeight="1">
      <x:c r="A49" s="2" t="str">
        <x:v>FINAL082-FLOOD-03</x:v>
      </x:c>
      <x:c r="B49" s="13" t="n">
        <x:v>8</x:v>
      </x:c>
      <x:c r="C49" s="2" t="str">
        <x:v>utama</x:v>
      </x:c>
      <x:c r="D49" s="2" t="str">
        <x:v>AFFECTEDOBJECTS-ARG</x:v>
      </x:c>
      <x:c r="E49" s="2" t="str">
        <x:v>STREET-ARG</x:v>
      </x:c>
      <x:c r="F49" s="12" t="n">
        <x:v>0.7417891621589661</x:v>
      </x:c>
    </x:row>
    <x:row r="50" ht="24" customHeight="1">
      <x:c r="A50" s="2" t="str">
        <x:v>FINAL082-FLOOD-06</x:v>
      </x:c>
      <x:c r="B50" s="13" t="n">
        <x:v>12</x:v>
      </x:c>
      <x:c r="C50" s="2" t="str">
        <x:v>tidak</x:v>
      </x:c>
      <x:c r="D50" s="2" t="str">
        <x:v>O</x:v>
      </x:c>
      <x:c r="E50" s="2" t="str">
        <x:v>INFORMATION-ARG</x:v>
      </x:c>
      <x:c r="F50" s="12" t="n">
        <x:v>0.9725260734558105</x:v>
      </x:c>
    </x:row>
    <x:row r="51" ht="24" customHeight="1">
      <x:c r="A51" s="2" t="str">
        <x:v>FINAL082-FLOOD-06</x:v>
      </x:c>
      <x:c r="B51" s="13" t="n">
        <x:v>13</x:v>
      </x:c>
      <x:c r="C51" s="2" t="str">
        <x:v>ada</x:v>
      </x:c>
      <x:c r="D51" s="2" t="str">
        <x:v>O</x:v>
      </x:c>
      <x:c r="E51" s="2" t="str">
        <x:v>INFORMATION-ARG</x:v>
      </x:c>
      <x:c r="F51" s="12" t="n">
        <x:v>0.9729591012001038</x:v>
      </x:c>
    </x:row>
    <x:row r="52" ht="24" customHeight="1">
      <x:c r="A52" s="2" t="str">
        <x:v>FINAL082-FLOOD-06</x:v>
      </x:c>
      <x:c r="B52" s="13" t="n">
        <x:v>14</x:v>
      </x:c>
      <x:c r="C52" s="2" t="str">
        <x:v>korban</x:v>
      </x:c>
      <x:c r="D52" s="2" t="str">
        <x:v>O</x:v>
      </x:c>
      <x:c r="E52" s="2" t="str">
        <x:v>INFORMATION-ARG</x:v>
      </x:c>
      <x:c r="F52" s="12" t="n">
        <x:v>0.9559033513069153</x:v>
      </x:c>
    </x:row>
    <x:row r="53" ht="24" customHeight="1">
      <x:c r="A53" s="2" t="str">
        <x:v>FINAL082-FLOOD-07</x:v>
      </x:c>
      <x:c r="B53" s="13" t="n">
        <x:v>1</x:v>
      </x:c>
      <x:c r="C53" s="2" t="str">
        <x:v>Saat</x:v>
      </x:c>
      <x:c r="D53" s="2" t="str">
        <x:v>TIME-ARG</x:v>
      </x:c>
      <x:c r="E53" s="2" t="str">
        <x:v>O</x:v>
      </x:c>
      <x:c r="F53" s="12" t="n">
        <x:v>0.792122483253479</x:v>
      </x:c>
    </x:row>
    <x:row r="54" ht="24" customHeight="1">
      <x:c r="A54" s="2" t="str">
        <x:v>FINAL082-FLOOD-07</x:v>
      </x:c>
      <x:c r="B54" s="13" t="n">
        <x:v>2</x:v>
      </x:c>
      <x:c r="C54" s="2" t="str">
        <x:v>latihan</x:v>
      </x:c>
      <x:c r="D54" s="2" t="str">
        <x:v>TIME-ARG</x:v>
      </x:c>
      <x:c r="E54" s="2" t="str">
        <x:v>O</x:v>
      </x:c>
      <x:c r="F54" s="12" t="n">
        <x:v>0.6511477828025818</x:v>
      </x:c>
    </x:row>
    <x:row r="55" ht="24" customHeight="1">
      <x:c r="A55" s="2" t="str">
        <x:v>FINAL082-FLOOD-07</x:v>
      </x:c>
      <x:c r="B55" s="13" t="n">
        <x:v>3</x:v>
      </x:c>
      <x:c r="C55" s="2" t="str">
        <x:v>pertolongan</x:v>
      </x:c>
      <x:c r="D55" s="2" t="str">
        <x:v>TIME-ARG</x:v>
      </x:c>
      <x:c r="E55" s="2" t="str">
        <x:v>INFORMATION-ARG</x:v>
      </x:c>
      <x:c r="F55" s="12" t="n">
        <x:v>0.5959555506706238</x:v>
      </x:c>
    </x:row>
    <x:row r="56" ht="24" customHeight="1">
      <x:c r="A56" s="2" t="str">
        <x:v>FINAL082-FLOOD-10</x:v>
      </x:c>
      <x:c r="B56" s="13" t="n">
        <x:v>9</x:v>
      </x:c>
      <x:c r="C56" s="2" t="str">
        <x:v>di</x:v>
      </x:c>
      <x:c r="D56" s="2" t="str">
        <x:v>PLACE-ARG</x:v>
      </x:c>
      <x:c r="E56" s="2" t="str">
        <x:v>O</x:v>
      </x:c>
      <x:c r="F56" s="12" t="n">
        <x:v>0.6833654046058655</x:v>
      </x:c>
    </x:row>
    <x:row r="57" ht="24" customHeight="1">
      <x:c r="A57" s="2" t="str">
        <x:v>FINAL082-FLOOD-10</x:v>
      </x:c>
      <x:c r="B57" s="13" t="n">
        <x:v>11</x:v>
      </x:c>
      <x:c r="C57" s="2" t="str">
        <x:v>tetap</x:v>
      </x:c>
      <x:c r="D57" s="2" t="str">
        <x:v>O</x:v>
      </x:c>
      <x:c r="E57" s="2" t="str">
        <x:v>INFORMATION-ARG</x:v>
      </x:c>
      <x:c r="F57" s="12" t="n">
        <x:v>0.6081377863883972</x:v>
      </x:c>
    </x:row>
    <x:row r="58" ht="24" customHeight="1">
      <x:c r="A58" s="2" t="str">
        <x:v>FINAL082-FLOOD-10</x:v>
      </x:c>
      <x:c r="B58" s="13" t="n">
        <x:v>12</x:v>
      </x:c>
      <x:c r="C58" s="2" t="str">
        <x:v>kering</x:v>
      </x:c>
      <x:c r="D58" s="2" t="str">
        <x:v>O</x:v>
      </x:c>
      <x:c r="E58" s="2" t="str">
        <x:v>INFORMATION-ARG</x:v>
      </x:c>
      <x:c r="F58" s="12" t="n">
        <x:v>0.7967711091041565</x:v>
      </x:c>
    </x:row>
    <x:row r="59" ht="24" customHeight="1">
      <x:c r="A59" s="2" t="str">
        <x:v>FINAL082-EARTHQUAKE-01</x:v>
      </x:c>
      <x:c r="B59" s="13" t="n">
        <x:v>5</x:v>
      </x:c>
      <x:c r="C59" s="2" t="str">
        <x:v>mengguncang</x:v>
      </x:c>
      <x:c r="D59" s="2" t="str">
        <x:v>INFORMATION-ARG</x:v>
      </x:c>
      <x:c r="E59" s="2" t="str">
        <x:v>O</x:v>
      </x:c>
      <x:c r="F59" s="12" t="n">
        <x:v>0.6882819533348083</x:v>
      </x:c>
    </x:row>
    <x:row r="60" ht="24" customHeight="1">
      <x:c r="A60" s="2" t="str">
        <x:v>FINAL082-EARTHQUAKE-04</x:v>
      </x:c>
      <x:c r="B60" s="13" t="n">
        <x:v>13</x:v>
      </x:c>
      <x:c r="C60" s="2" t="str">
        <x:v>rusak</x:v>
      </x:c>
      <x:c r="D60" s="2" t="str">
        <x:v>INFORMATION-ARG</x:v>
      </x:c>
      <x:c r="E60" s="2" t="str">
        <x:v>AFFECTEDOBJECTS-ARG</x:v>
      </x:c>
      <x:c r="F60" s="12" t="n">
        <x:v>0.8500293493270874</x:v>
      </x:c>
    </x:row>
    <x:row r="61" ht="24" customHeight="1">
      <x:c r="A61" s="2" t="str">
        <x:v>FINAL082-EARTHQUAKE-06</x:v>
      </x:c>
      <x:c r="B61" s="13" t="n">
        <x:v>1</x:v>
      </x:c>
      <x:c r="C61" s="2" t="str">
        <x:v>Tak</x:v>
      </x:c>
      <x:c r="D61" s="2" t="str">
        <x:v>O</x:v>
      </x:c>
      <x:c r="E61" s="2" t="str">
        <x:v>INFORMATION-ARG</x:v>
      </x:c>
      <x:c r="F61" s="12" t="n">
        <x:v>0.8970180749893188</x:v>
      </x:c>
    </x:row>
    <x:row r="62" ht="24" customHeight="1">
      <x:c r="A62" s="2" t="str">
        <x:v>FINAL082-EARTHQUAKE-06</x:v>
      </x:c>
      <x:c r="B62" s="13" t="n">
        <x:v>2</x:v>
      </x:c>
      <x:c r="C62" s="2" t="str">
        <x:v>ada</x:v>
      </x:c>
      <x:c r="D62" s="2" t="str">
        <x:v>O</x:v>
      </x:c>
      <x:c r="E62" s="2" t="str">
        <x:v>INFORMATION-ARG</x:v>
      </x:c>
      <x:c r="F62" s="12" t="n">
        <x:v>0.9182826280593872</x:v>
      </x:c>
    </x:row>
    <x:row r="63" ht="24" customHeight="1">
      <x:c r="A63" s="2" t="str">
        <x:v>FINAL082-EARTHQUAKE-06</x:v>
      </x:c>
      <x:c r="B63" s="13" t="n">
        <x:v>3</x:v>
      </x:c>
      <x:c r="C63" s="2" t="str">
        <x:v>korban</x:v>
      </x:c>
      <x:c r="D63" s="2" t="str">
        <x:v>O</x:v>
      </x:c>
      <x:c r="E63" s="2" t="str">
        <x:v>INFORMATION-ARG</x:v>
      </x:c>
      <x:c r="F63" s="12" t="n">
        <x:v>0.8977941870689392</x:v>
      </x:c>
    </x:row>
    <x:row r="64" ht="24" customHeight="1">
      <x:c r="A64" s="2" t="str">
        <x:v>FINAL082-EARTHQUAKE-06</x:v>
      </x:c>
      <x:c r="B64" s="13" t="n">
        <x:v>4</x:v>
      </x:c>
      <x:c r="C64" s="2" t="str">
        <x:v>jiwa</x:v>
      </x:c>
      <x:c r="D64" s="2" t="str">
        <x:v>O</x:v>
      </x:c>
      <x:c r="E64" s="2" t="str">
        <x:v>INFORMATION-ARG</x:v>
      </x:c>
      <x:c r="F64" s="12" t="n">
        <x:v>0.9307371973991394</x:v>
      </x:c>
    </x:row>
    <x:row r="65" ht="24" customHeight="1">
      <x:c r="A65" s="2" t="str">
        <x:v>FINAL082-EARTHQUAKE-06</x:v>
      </x:c>
      <x:c r="B65" s="13" t="n">
        <x:v>16</x:v>
      </x:c>
      <x:c r="C65" s="2" t="str">
        <x:v>roboh</x:v>
      </x:c>
      <x:c r="D65" s="2" t="str">
        <x:v>INFORMATION-ARG</x:v>
      </x:c>
      <x:c r="E65" s="2" t="str">
        <x:v>AFFECTEDOBJECTS-ARG</x:v>
      </x:c>
      <x:c r="F65" s="12" t="n">
        <x:v>0.6110484600067139</x:v>
      </x:c>
    </x:row>
    <x:row r="66" ht="24" customHeight="1">
      <x:c r="A66" s="2" t="str">
        <x:v>FINAL082-EARTHQUAKE-07</x:v>
      </x:c>
      <x:c r="B66" s="13" t="n">
        <x:v>7</x:v>
      </x:c>
      <x:c r="C66" s="2" t="str">
        <x:v>mengguncang</x:v>
      </x:c>
      <x:c r="D66" s="2" t="str">
        <x:v>INFORMATION-ARG</x:v>
      </x:c>
      <x:c r="E66" s="2" t="str">
        <x:v>O</x:v>
      </x:c>
      <x:c r="F66" s="12" t="n">
        <x:v>0.8218843936920166</x:v>
      </x:c>
    </x:row>
    <x:row r="67" ht="24" customHeight="1">
      <x:c r="A67" s="2" t="str">
        <x:v>FINAL082-FIRE-01</x:v>
      </x:c>
      <x:c r="B67" s="13" t="n">
        <x:v>2</x:v>
      </x:c>
      <x:c r="C67" s="2" t="str">
        <x:v>menghanguskan</x:v>
      </x:c>
      <x:c r="D67" s="2" t="str">
        <x:v>INFORMATION-ARG</x:v>
      </x:c>
      <x:c r="E67" s="2" t="str">
        <x:v>FIRE-EVENT</x:v>
      </x:c>
      <x:c r="F67" s="12" t="n">
        <x:v>0.5687441825866699</x:v>
      </x:c>
    </x:row>
    <x:row r="68" ht="24" customHeight="1">
      <x:c r="A68" s="2" t="str">
        <x:v>FINAL082-FIRE-03</x:v>
      </x:c>
      <x:c r="B68" s="13" t="n">
        <x:v>4</x:v>
      </x:c>
      <x:c r="C68" s="2" t="str">
        <x:v>Gudang</x:v>
      </x:c>
      <x:c r="D68" s="2" t="str">
        <x:v>PLACE-ARG</x:v>
      </x:c>
      <x:c r="E68" s="2" t="str">
        <x:v>AFFECTEDOBJECTS-ARG</x:v>
      </x:c>
      <x:c r="F68" s="12" t="n">
        <x:v>0.5650867223739624</x:v>
      </x:c>
    </x:row>
    <x:row r="69" ht="24" customHeight="1">
      <x:c r="A69" s="2" t="str">
        <x:v>FINAL082-FIRE-03</x:v>
      </x:c>
      <x:c r="B69" s="13" t="n">
        <x:v>5</x:v>
      </x:c>
      <x:c r="C69" s="2" t="str">
        <x:v>Suryamurni</x:v>
      </x:c>
      <x:c r="D69" s="2" t="str">
        <x:v>PLACE-ARG</x:v>
      </x:c>
      <x:c r="E69" s="2" t="str">
        <x:v>AFFECTEDOBJECTS-ARG</x:v>
      </x:c>
      <x:c r="F69" s="12" t="n">
        <x:v>0.5660914778709412</x:v>
      </x:c>
    </x:row>
    <x:row r="70" ht="24" customHeight="1">
      <x:c r="A70" s="2" t="str">
        <x:v>FINAL082-FIRE-06</x:v>
      </x:c>
      <x:c r="B70" s="13" t="n">
        <x:v>2</x:v>
      </x:c>
      <x:c r="C70" s="2" t="str">
        <x:v>menghanguskan</x:v>
      </x:c>
      <x:c r="D70" s="2" t="str">
        <x:v>INFORMATION-ARG</x:v>
      </x:c>
      <x:c r="E70" s="2" t="str">
        <x:v>FIRE-EVENT</x:v>
      </x:c>
      <x:c r="F70" s="12" t="n">
        <x:v>0.5261530876159668</x:v>
      </x:c>
    </x:row>
    <x:row r="71" ht="24" customHeight="1">
      <x:c r="A71" s="2" t="str">
        <x:v>FINAL082-FIRE-06</x:v>
      </x:c>
      <x:c r="B71" s="13" t="n">
        <x:v>11</x:v>
      </x:c>
      <x:c r="C71" s="2" t="str">
        <x:v>tidak</x:v>
      </x:c>
      <x:c r="D71" s="2" t="str">
        <x:v>O</x:v>
      </x:c>
      <x:c r="E71" s="2" t="str">
        <x:v>INFORMATION-ARG</x:v>
      </x:c>
      <x:c r="F71" s="12" t="n">
        <x:v>0.9695947766304016</x:v>
      </x:c>
    </x:row>
    <x:row r="72" ht="24" customHeight="1">
      <x:c r="A72" s="2" t="str">
        <x:v>FINAL082-FIRE-06</x:v>
      </x:c>
      <x:c r="B72" s="13" t="n">
        <x:v>12</x:v>
      </x:c>
      <x:c r="C72" s="2" t="str">
        <x:v>ada</x:v>
      </x:c>
      <x:c r="D72" s="2" t="str">
        <x:v>O</x:v>
      </x:c>
      <x:c r="E72" s="2" t="str">
        <x:v>INFORMATION-ARG</x:v>
      </x:c>
      <x:c r="F72" s="12" t="n">
        <x:v>0.9777289032936096</x:v>
      </x:c>
    </x:row>
    <x:row r="73" ht="24" customHeight="1">
      <x:c r="A73" s="2" t="str">
        <x:v>FINAL082-FIRE-06</x:v>
      </x:c>
      <x:c r="B73" s="13" t="n">
        <x:v>13</x:v>
      </x:c>
      <x:c r="C73" s="2" t="str">
        <x:v>korban</x:v>
      </x:c>
      <x:c r="D73" s="2" t="str">
        <x:v>O</x:v>
      </x:c>
      <x:c r="E73" s="2" t="str">
        <x:v>INFORMATION-ARG</x:v>
      </x:c>
      <x:c r="F73" s="12" t="n">
        <x:v>0.9744311571121216</x:v>
      </x:c>
    </x:row>
    <x:row r="74" ht="24" customHeight="1">
      <x:c r="A74" s="2" t="str">
        <x:v>FINAL082-FIRE-07</x:v>
      </x:c>
      <x:c r="B74" s="13" t="n">
        <x:v>1</x:v>
      </x:c>
      <x:c r="C74" s="2" t="str">
        <x:v>Di</x:v>
      </x:c>
      <x:c r="D74" s="2" t="str">
        <x:v>TIME-ARG</x:v>
      </x:c>
      <x:c r="E74" s="2" t="str">
        <x:v>O</x:v>
      </x:c>
      <x:c r="F74" s="12" t="n">
        <x:v>0.9886177182197571</x:v>
      </x:c>
    </x:row>
    <x:row r="75" ht="24" customHeight="1">
      <x:c r="A75" s="2" t="str">
        <x:v>FINAL082-FIRE-07</x:v>
      </x:c>
      <x:c r="B75" s="13" t="n">
        <x:v>2</x:v>
      </x:c>
      <x:c r="C75" s="2" t="str">
        <x:v>tengah</x:v>
      </x:c>
      <x:c r="D75" s="2" t="str">
        <x:v>TIME-ARG</x:v>
      </x:c>
      <x:c r="E75" s="2" t="str">
        <x:v>O</x:v>
      </x:c>
      <x:c r="F75" s="12" t="n">
        <x:v>0.5137587785720825</x:v>
      </x:c>
    </x:row>
    <x:row r="76" ht="24" customHeight="1">
      <x:c r="A76" s="2" t="str">
        <x:v>FINAL082-FIRE-07</x:v>
      </x:c>
      <x:c r="B76" s="13" t="n">
        <x:v>3</x:v>
      </x:c>
      <x:c r="C76" s="2" t="str">
        <x:v>latihan</x:v>
      </x:c>
      <x:c r="D76" s="2" t="str">
        <x:v>TIME-ARG</x:v>
      </x:c>
      <x:c r="E76" s="2" t="str">
        <x:v>PLACE-ARG</x:v>
      </x:c>
      <x:c r="F76" s="12" t="n">
        <x:v>0.5101351737976074</x:v>
      </x:c>
    </x:row>
    <x:row r="77" ht="24" customHeight="1">
      <x:c r="A77" s="2" t="str">
        <x:v>FINAL082-FIRE-07</x:v>
      </x:c>
      <x:c r="B77" s="13" t="n">
        <x:v>4</x:v>
      </x:c>
      <x:c r="C77" s="2" t="str">
        <x:v>damkar</x:v>
      </x:c>
      <x:c r="D77" s="2" t="str">
        <x:v>TIME-ARG</x:v>
      </x:c>
      <x:c r="E77" s="2" t="str">
        <x:v>OFFICER-ARG</x:v>
      </x:c>
      <x:c r="F77" s="12" t="n">
        <x:v>0.6017217636108398</x:v>
      </x:c>
    </x:row>
    <x:row r="78" ht="24" customHeight="1">
      <x:c r="A78" s="2" t="str">
        <x:v>FINAL082-FIRE-10</x:v>
      </x:c>
      <x:c r="B78" s="13" t="n">
        <x:v>1</x:v>
      </x:c>
      <x:c r="C78" s="2" t="str">
        <x:v>Karena</x:v>
      </x:c>
      <x:c r="D78" s="2" t="str">
        <x:v>O</x:v>
      </x:c>
      <x:c r="E78" s="2" t="str">
        <x:v>REASON-ARG</x:v>
      </x:c>
      <x:c r="F78" s="12" t="n">
        <x:v>0.7536952495574951</x:v>
      </x:c>
    </x:row>
    <x:row r="79" ht="24" customHeight="1">
      <x:c r="A79" s="2" t="str">
        <x:v>FINAL082-ACCIDENT-01</x:v>
      </x:c>
      <x:c r="B79" s="13" t="n">
        <x:v>2</x:v>
      </x:c>
      <x:c r="C79" s="2" t="str">
        <x:v>melibatkan</x:v>
      </x:c>
      <x:c r="D79" s="2" t="str">
        <x:v>INFORMATION-ARG</x:v>
      </x:c>
      <x:c r="E79" s="2" t="str">
        <x:v>O</x:v>
      </x:c>
      <x:c r="F79" s="12" t="n">
        <x:v>0.9621986150741577</x:v>
      </x:c>
    </x:row>
    <x:row r="80" ht="24" customHeight="1">
      <x:c r="A80" s="2" t="str">
        <x:v>FINAL082-ACCIDENT-02</x:v>
      </x:c>
      <x:c r="B80" s="13" t="n">
        <x:v>1</x:v>
      </x:c>
      <x:c r="C80" s="2" t="str">
        <x:v>Akibat</x:v>
      </x:c>
      <x:c r="D80" s="2" t="str">
        <x:v>O</x:v>
      </x:c>
      <x:c r="E80" s="2" t="str">
        <x:v>REASON-ARG</x:v>
      </x:c>
      <x:c r="F80" s="12" t="n">
        <x:v>0.974115252494812</x:v>
      </x:c>
    </x:row>
    <x:row r="81" ht="24" customHeight="1">
      <x:c r="A81" s="2" t="str">
        <x:v>FINAL082-ACCIDENT-06</x:v>
      </x:c>
      <x:c r="B81" s="13" t="n">
        <x:v>1</x:v>
      </x:c>
      <x:c r="C81" s="2" t="str">
        <x:v>Tidak</x:v>
      </x:c>
      <x:c r="D81" s="2" t="str">
        <x:v>O</x:v>
      </x:c>
      <x:c r="E81" s="2" t="str">
        <x:v>INFORMATION-ARG</x:v>
      </x:c>
      <x:c r="F81" s="12" t="n">
        <x:v>0.5666640400886536</x:v>
      </x:c>
    </x:row>
    <x:row r="82" ht="24" customHeight="1">
      <x:c r="A82" s="2" t="str">
        <x:v>FINAL082-ACCIDENT-06</x:v>
      </x:c>
      <x:c r="B82" s="13" t="n">
        <x:v>2</x:v>
      </x:c>
      <x:c r="C82" s="2" t="str">
        <x:v>ada</x:v>
      </x:c>
      <x:c r="D82" s="2" t="str">
        <x:v>O</x:v>
      </x:c>
      <x:c r="E82" s="2" t="str">
        <x:v>INFORMATION-ARG</x:v>
      </x:c>
      <x:c r="F82" s="12" t="n">
        <x:v>0.47096341848373413</x:v>
      </x:c>
    </x:row>
    <x:row r="83" ht="24" customHeight="1">
      <x:c r="A83" s="2" t="str">
        <x:v>FINAL082-ACCIDENT-06</x:v>
      </x:c>
      <x:c r="B83" s="13" t="n">
        <x:v>3</x:v>
      </x:c>
      <x:c r="C83" s="2" t="str">
        <x:v>korban</x:v>
      </x:c>
      <x:c r="D83" s="2" t="str">
        <x:v>O</x:v>
      </x:c>
      <x:c r="E83" s="2" t="str">
        <x:v>WOUNDVICTIM-ARG</x:v>
      </x:c>
      <x:c r="F83" s="12" t="n">
        <x:v>0.7368938326835632</x:v>
      </x:c>
    </x:row>
    <x:row r="84" ht="24" customHeight="1">
      <x:c r="A84" s="2" t="str">
        <x:v>FINAL082-ACCIDENT-06</x:v>
      </x:c>
      <x:c r="B84" s="13" t="n">
        <x:v>4</x:v>
      </x:c>
      <x:c r="C84" s="2" t="str">
        <x:v>luka</x:v>
      </x:c>
      <x:c r="D84" s="2" t="str">
        <x:v>O</x:v>
      </x:c>
      <x:c r="E84" s="2" t="str">
        <x:v>WOUNDVICTIM-ARG</x:v>
      </x:c>
      <x:c r="F84" s="12" t="n">
        <x:v>0.7840125560760498</x:v>
      </x:c>
    </x:row>
    <x:row r="85" ht="24" customHeight="1">
      <x:c r="A85" s="2" t="str">
        <x:v>FINAL082-ACCIDENT-06</x:v>
      </x:c>
      <x:c r="B85" s="13" t="n">
        <x:v>16</x:v>
      </x:c>
      <x:c r="C85" s="2" t="str">
        <x:v>rusak</x:v>
      </x:c>
      <x:c r="D85" s="2" t="str">
        <x:v>INFORMATION-ARG</x:v>
      </x:c>
      <x:c r="E85" s="2" t="str">
        <x:v>AFFECTEDOBJECTS-ARG</x:v>
      </x:c>
      <x:c r="F85" s="12" t="n">
        <x:v>0.8170927166938782</x:v>
      </x:c>
    </x:row>
    <x:row r="86" ht="24" customHeight="1">
      <x:c r="A86" s="2" t="str">
        <x:v>FINAL082-ACCIDENT-07</x:v>
      </x:c>
      <x:c r="B86" s="13" t="n">
        <x:v>1</x:v>
      </x:c>
      <x:c r="C86" s="2" t="str">
        <x:v>Saat</x:v>
      </x:c>
      <x:c r="D86" s="2" t="str">
        <x:v>TIME-ARG</x:v>
      </x:c>
      <x:c r="E86" s="2" t="str">
        <x:v>O</x:v>
      </x:c>
      <x:c r="F86" s="12" t="n">
        <x:v>0.8943563103675842</x:v>
      </x:c>
    </x:row>
    <x:row r="87" ht="24" customHeight="1">
      <x:c r="A87" s="2" t="str">
        <x:v>FINAL082-ACCIDENT-07</x:v>
      </x:c>
      <x:c r="B87" s="13" t="n">
        <x:v>2</x:v>
      </x:c>
      <x:c r="C87" s="2" t="str">
        <x:v>latihan</x:v>
      </x:c>
      <x:c r="D87" s="2" t="str">
        <x:v>TIME-ARG</x:v>
      </x:c>
      <x:c r="E87" s="2" t="str">
        <x:v>O</x:v>
      </x:c>
      <x:c r="F87" s="12" t="n">
        <x:v>0.739014744758606</x:v>
      </x:c>
    </x:row>
    <x:row r="88" ht="24" customHeight="1">
      <x:c r="A88" s="2" t="str">
        <x:v>FINAL082-ACCIDENT-07</x:v>
      </x:c>
      <x:c r="B88" s="13" t="n">
        <x:v>3</x:v>
      </x:c>
      <x:c r="C88" s="2" t="str">
        <x:v>pertolongan</x:v>
      </x:c>
      <x:c r="D88" s="2" t="str">
        <x:v>TIME-ARG</x:v>
      </x:c>
      <x:c r="E88" s="2" t="str">
        <x:v>INFORMATION-ARG</x:v>
      </x:c>
      <x:c r="F88" s="12" t="n">
        <x:v>0.4782717525959015</x:v>
      </x:c>
    </x:row>
    <x:row r="89" ht="24" customHeight="1">
      <x:c r="A89" s="2" t="str">
        <x:v>FINAL082-ACCIDENT-10</x:v>
      </x:c>
      <x:c r="B89" s="13" t="n">
        <x:v>3</x:v>
      </x:c>
      <x:c r="C89" s="2" t="str">
        <x:v>jalan</x:v>
      </x:c>
      <x:c r="D89" s="2" t="str">
        <x:v>REASON-ARG</x:v>
      </x:c>
      <x:c r="E89" s="2" t="str">
        <x:v>STREET-ARG</x:v>
      </x:c>
      <x:c r="F89" s="12" t="n">
        <x:v>0.43757662177085876</x:v>
      </x:c>
    </x:row>
    <x:row r="90" ht="24" customHeight="1">
      <x:c r="A90" s="2" t="str">
        <x:v>FINAL082-NON_EVENT-01</x:v>
      </x:c>
      <x:c r="B90" s="13" t="n">
        <x:v>3</x:v>
      </x:c>
      <x:c r="C90" s="2" t="str">
        <x:v>hanya</x:v>
      </x:c>
      <x:c r="D90" s="2" t="str">
        <x:v>O</x:v>
      </x:c>
      <x:c r="E90" s="2" t="str">
        <x:v>INFORMATION-ARG</x:v>
      </x:c>
      <x:c r="F90" s="12" t="n">
        <x:v>0.8312169909477234</x:v>
      </x:c>
    </x:row>
    <x:row r="91" ht="24" customHeight="1">
      <x:c r="A91" s="2" t="str">
        <x:v>FINAL082-NON_EVENT-01</x:v>
      </x:c>
      <x:c r="B91" s="13" t="n">
        <x:v>4</x:v>
      </x:c>
      <x:c r="C91" s="2" t="str">
        <x:v>menggelar</x:v>
      </x:c>
      <x:c r="D91" s="2" t="str">
        <x:v>O</x:v>
      </x:c>
      <x:c r="E91" s="2" t="str">
        <x:v>INFORMATION-ARG</x:v>
      </x:c>
      <x:c r="F91" s="12" t="n">
        <x:v>0.8147364258766174</x:v>
      </x:c>
    </x:row>
    <x:row r="92" ht="24" customHeight="1">
      <x:c r="A92" s="2" t="str">
        <x:v>FINAL082-NON_EVENT-01</x:v>
      </x:c>
      <x:c r="B92" s="13" t="n">
        <x:v>5</x:v>
      </x:c>
      <x:c r="C92" s="2" t="str">
        <x:v>simulasi</x:v>
      </x:c>
      <x:c r="D92" s="2" t="str">
        <x:v>O</x:v>
      </x:c>
      <x:c r="E92" s="2" t="str">
        <x:v>INFORMATION-ARG</x:v>
      </x:c>
      <x:c r="F92" s="12" t="n">
        <x:v>0.6717029213905334</x:v>
      </x:c>
    </x:row>
    <x:row r="93" ht="24" customHeight="1">
      <x:c r="A93" s="2" t="str">
        <x:v>FINAL082-NON_EVENT-01</x:v>
      </x:c>
      <x:c r="B93" s="13" t="n">
        <x:v>6</x:v>
      </x:c>
      <x:c r="C93" s="2" t="str">
        <x:v>kebakaran</x:v>
      </x:c>
      <x:c r="D93" s="2" t="str">
        <x:v>FALSE-EVENT</x:v>
      </x:c>
      <x:c r="E93" s="2" t="str">
        <x:v>FIRE-EVENT</x:v>
      </x:c>
      <x:c r="F93" s="12" t="n">
        <x:v>0.8664249181747437</x:v>
      </x:c>
    </x:row>
    <x:row r="94" ht="24" customHeight="1">
      <x:c r="A94" s="2" t="str">
        <x:v>FINAL082-NON_EVENT-02</x:v>
      </x:c>
      <x:c r="B94" s="13" t="n">
        <x:v>1</x:v>
      </x:c>
      <x:c r="C94" s="2" t="str">
        <x:v>Kecelakaan</x:v>
      </x:c>
      <x:c r="D94" s="2" t="str">
        <x:v>FALSE-EVENT</x:v>
      </x:c>
      <x:c r="E94" s="2" t="str">
        <x:v>ACCIDENT-EVENT</x:v>
      </x:c>
      <x:c r="F94" s="12" t="n">
        <x:v>0.9964255690574646</x:v>
      </x:c>
    </x:row>
    <x:row r="95" ht="24" customHeight="1">
      <x:c r="A95" s="2" t="str">
        <x:v>FINAL082-NON_EVENT-02</x:v>
      </x:c>
      <x:c r="B95" s="13" t="n">
        <x:v>10</x:v>
      </x:c>
      <x:c r="C95" s="2" t="str">
        <x:v>mobil</x:v>
      </x:c>
      <x:c r="D95" s="2" t="str">
        <x:v>O</x:v>
      </x:c>
      <x:c r="E95" s="2" t="str">
        <x:v>AFFECTEDOBJECTS-ARG</x:v>
      </x:c>
      <x:c r="F95" s="12" t="n">
        <x:v>0.9811166524887085</x:v>
      </x:c>
    </x:row>
    <x:row r="96" ht="24" customHeight="1">
      <x:c r="A96" s="2" t="str">
        <x:v>FINAL082-NON_EVENT-02</x:v>
      </x:c>
      <x:c r="B96" s="13" t="n">
        <x:v>11</x:v>
      </x:c>
      <x:c r="C96" s="2" t="str">
        <x:v>properti</x:v>
      </x:c>
      <x:c r="D96" s="2" t="str">
        <x:v>O</x:v>
      </x:c>
      <x:c r="E96" s="2" t="str">
        <x:v>AFFECTEDOBJECTS-ARG</x:v>
      </x:c>
      <x:c r="F96" s="12" t="n">
        <x:v>0.9855443835258484</x:v>
      </x:c>
    </x:row>
    <x:row r="97" ht="24" customHeight="1">
      <x:c r="A97" s="2" t="str">
        <x:v>FINAL082-NON_EVENT-02</x:v>
      </x:c>
      <x:c r="B97" s="13" t="n">
        <x:v>14</x:v>
      </x:c>
      <x:c r="C97" s="2" t="str">
        <x:v>kejadian</x:v>
      </x:c>
      <x:c r="D97" s="2" t="str">
        <x:v>O</x:v>
      </x:c>
      <x:c r="E97" s="2" t="str">
        <x:v>ACCIDENT-EVENT</x:v>
      </x:c>
      <x:c r="F97" s="12" t="n">
        <x:v>0.4708068072795868</x:v>
      </x:c>
    </x:row>
    <x:row r="98" ht="24" customHeight="1">
      <x:c r="A98" s="2" t="str">
        <x:v>FINAL082-NON_EVENT-03</x:v>
      </x:c>
      <x:c r="B98" s="13" t="n">
        <x:v>2</x:v>
      </x:c>
      <x:c r="C98" s="2" t="str">
        <x:v>mengingatkan</x:v>
      </x:c>
      <x:c r="D98" s="2" t="str">
        <x:v>O</x:v>
      </x:c>
      <x:c r="E98" s="2" t="str">
        <x:v>INFORMATION-ARG</x:v>
      </x:c>
      <x:c r="F98" s="12" t="n">
        <x:v>0.8766971230506897</x:v>
      </x:c>
    </x:row>
    <x:row r="99" ht="24" customHeight="1">
      <x:c r="A99" s="2" t="str">
        <x:v>FINAL082-NON_EVENT-03</x:v>
      </x:c>
      <x:c r="B99" s="13" t="n">
        <x:v>3</x:v>
      </x:c>
      <x:c r="C99" s="2" t="str">
        <x:v>potensi</x:v>
      </x:c>
      <x:c r="D99" s="2" t="str">
        <x:v>O</x:v>
      </x:c>
      <x:c r="E99" s="2" t="str">
        <x:v>INFORMATION-ARG</x:v>
      </x:c>
      <x:c r="F99" s="12" t="n">
        <x:v>0.6934226751327515</x:v>
      </x:c>
    </x:row>
    <x:row r="100" ht="24" customHeight="1">
      <x:c r="A100" s="2" t="str">
        <x:v>FINAL082-NON_EVENT-03</x:v>
      </x:c>
      <x:c r="B100" s="13" t="n">
        <x:v>4</x:v>
      </x:c>
      <x:c r="C100" s="2" t="str">
        <x:v>banjir</x:v>
      </x:c>
      <x:c r="D100" s="2" t="str">
        <x:v>FALSE-EVENT</x:v>
      </x:c>
      <x:c r="E100" s="2" t="str">
        <x:v>FLOOD-EVENT</x:v>
      </x:c>
      <x:c r="F100" s="12" t="n">
        <x:v>0.9488699436187744</x:v>
      </x:c>
    </x:row>
    <x:row r="101" ht="24" customHeight="1">
      <x:c r="A101" s="2" t="str">
        <x:v>FINAL082-NON_EVENT-03</x:v>
      </x:c>
      <x:c r="B101" s="13" t="n">
        <x:v>11</x:v>
      </x:c>
      <x:c r="C101" s="2" t="str">
        <x:v>belum</x:v>
      </x:c>
      <x:c r="D101" s="2" t="str">
        <x:v>O</x:v>
      </x:c>
      <x:c r="E101" s="2" t="str">
        <x:v>INFORMATION-ARG</x:v>
      </x:c>
      <x:c r="F101" s="12" t="n">
        <x:v>0.9706643223762512</x:v>
      </x:c>
    </x:row>
    <x:row r="102" ht="24" customHeight="1">
      <x:c r="A102" s="2" t="str">
        <x:v>FINAL082-NON_EVENT-03</x:v>
      </x:c>
      <x:c r="B102" s="13" t="n">
        <x:v>12</x:v>
      </x:c>
      <x:c r="C102" s="2" t="str">
        <x:v>ada</x:v>
      </x:c>
      <x:c r="D102" s="2" t="str">
        <x:v>O</x:v>
      </x:c>
      <x:c r="E102" s="2" t="str">
        <x:v>INFORMATION-ARG</x:v>
      </x:c>
      <x:c r="F102" s="12" t="n">
        <x:v>0.948530375957489</x:v>
      </x:c>
    </x:row>
    <x:row r="103" ht="24" customHeight="1">
      <x:c r="A103" s="2" t="str">
        <x:v>FINAL082-NON_EVENT-03</x:v>
      </x:c>
      <x:c r="B103" s="13" t="n">
        <x:v>13</x:v>
      </x:c>
      <x:c r="C103" s="2" t="str">
        <x:v>laporan</x:v>
      </x:c>
      <x:c r="D103" s="2" t="str">
        <x:v>O</x:v>
      </x:c>
      <x:c r="E103" s="2" t="str">
        <x:v>INFORMATION-ARG</x:v>
      </x:c>
      <x:c r="F103" s="12" t="n">
        <x:v>0.9428392648696899</x:v>
      </x:c>
    </x:row>
    <x:row r="104" ht="24" customHeight="1">
      <x:c r="A104" s="2" t="str">
        <x:v>FINAL082-NON_EVENT-03</x:v>
      </x:c>
      <x:c r="B104" s="13" t="n">
        <x:v>14</x:v>
      </x:c>
      <x:c r="C104" s="2" t="str">
        <x:v>kejadian</x:v>
      </x:c>
      <x:c r="D104" s="2" t="str">
        <x:v>O</x:v>
      </x:c>
      <x:c r="E104" s="2" t="str">
        <x:v>INFORMATION-ARG</x:v>
      </x:c>
      <x:c r="F104" s="12" t="n">
        <x:v>0.8741618990898132</x:v>
      </x:c>
    </x:row>
    <x:row r="105" ht="24" customHeight="1">
      <x:c r="A105" s="2" t="str">
        <x:v>FINAL082-NON_EVENT-04</x:v>
      </x:c>
      <x:c r="B105" s="13" t="n">
        <x:v>6</x:v>
      </x:c>
      <x:c r="C105" s="2" t="str">
        <x:v>gempa</x:v>
      </x:c>
      <x:c r="D105" s="2" t="str">
        <x:v>FALSE-EVENT</x:v>
      </x:c>
      <x:c r="E105" s="2" t="str">
        <x:v>EARTHQUAKE-EVENT</x:v>
      </x:c>
      <x:c r="F105" s="12" t="n">
        <x:v>0.8638803362846375</x:v>
      </x:c>
    </x:row>
    <x:row r="106" ht="24" customHeight="1">
      <x:c r="A106" s="2" t="str">
        <x:v>FINAL082-NON_EVENT-05</x:v>
      </x:c>
      <x:c r="B106" s="13" t="n">
        <x:v>4</x:v>
      </x:c>
      <x:c r="C106" s="2" t="str">
        <x:v>banjir</x:v>
      </x:c>
      <x:c r="D106" s="2" t="str">
        <x:v>FALSE-EVENT</x:v>
      </x:c>
      <x:c r="E106" s="2" t="str">
        <x:v>FLOOD-EVENT</x:v>
      </x:c>
      <x:c r="F106" s="12" t="n">
        <x:v>0.9092750549316406</x:v>
      </x:c>
    </x:row>
    <x:row r="107" ht="24" customHeight="1">
      <x:c r="A107" s="2" t="str">
        <x:v>FINAL082-NON_EVENT-05</x:v>
      </x:c>
      <x:c r="B107" s="13" t="n">
        <x:v>6</x:v>
      </x:c>
      <x:c r="C107" s="2" t="str">
        <x:v>sejak</x:v>
      </x:c>
      <x:c r="D107" s="2" t="str">
        <x:v>TIME-ARG</x:v>
      </x:c>
      <x:c r="E107" s="2" t="str">
        <x:v>O</x:v>
      </x:c>
      <x:c r="F107" s="12" t="n">
        <x:v>0.8231451511383057</x:v>
      </x:c>
    </x:row>
    <x:row r="108" ht="24" customHeight="1">
      <x:c r="A108" s="2" t="str">
        <x:v>FINAL082-NON_EVENT-06</x:v>
      </x:c>
      <x:c r="B108" s="13" t="n">
        <x:v>3</x:v>
      </x:c>
      <x:c r="C108" s="2" t="str">
        <x:v>membahas</x:v>
      </x:c>
      <x:c r="D108" s="2" t="str">
        <x:v>O</x:v>
      </x:c>
      <x:c r="E108" s="2" t="str">
        <x:v>INFORMATION-ARG</x:v>
      </x:c>
      <x:c r="F108" s="12" t="n">
        <x:v>0.8172810077667236</x:v>
      </x:c>
    </x:row>
    <x:row r="109" ht="24" customHeight="1">
      <x:c r="A109" s="2" t="str">
        <x:v>FINAL082-NON_EVENT-06</x:v>
      </x:c>
      <x:c r="B109" s="13" t="n">
        <x:v>4</x:v>
      </x:c>
      <x:c r="C109" s="2" t="str">
        <x:v>pencegahan</x:v>
      </x:c>
      <x:c r="D109" s="2" t="str">
        <x:v>O</x:v>
      </x:c>
      <x:c r="E109" s="2" t="str">
        <x:v>INFORMATION-ARG</x:v>
      </x:c>
      <x:c r="F109" s="12" t="n">
        <x:v>0.6406919360160828</x:v>
      </x:c>
    </x:row>
    <x:row r="110" ht="24" customHeight="1">
      <x:c r="A110" s="2" t="str">
        <x:v>FINAL082-NON_EVENT-06</x:v>
      </x:c>
      <x:c r="B110" s="13" t="n">
        <x:v>5</x:v>
      </x:c>
      <x:c r="C110" s="2" t="str">
        <x:v>kebakaran</x:v>
      </x:c>
      <x:c r="D110" s="2" t="str">
        <x:v>FALSE-EVENT</x:v>
      </x:c>
      <x:c r="E110" s="2" t="str">
        <x:v>FIRE-EVENT</x:v>
      </x:c>
      <x:c r="F110" s="12" t="n">
        <x:v>0.8048895001411438</x:v>
      </x:c>
    </x:row>
    <x:row r="111" ht="24" customHeight="1">
      <x:c r="A111" s="2" t="str">
        <x:v>FINAL082-NON_EVENT-07</x:v>
      </x:c>
      <x:c r="B111" s="13" t="n">
        <x:v>5</x:v>
      </x:c>
      <x:c r="C111" s="2" t="str">
        <x:v>gempa</x:v>
      </x:c>
      <x:c r="D111" s="2" t="str">
        <x:v>FALSE-EVENT</x:v>
      </x:c>
      <x:c r="E111" s="2" t="str">
        <x:v>EARTHQUAKE-EVENT</x:v>
      </x:c>
      <x:c r="F111" s="12" t="n">
        <x:v>0.6226128339767456</x:v>
      </x:c>
    </x:row>
    <x:row r="112" ht="24" customHeight="1">
      <x:c r="A112" s="2" t="str">
        <x:v>FINAL082-NON_EVENT-08</x:v>
      </x:c>
      <x:c r="B112" s="13" t="n">
        <x:v>5</x:v>
      </x:c>
      <x:c r="C112" s="2" t="str">
        <x:v>tahunan</x:v>
      </x:c>
      <x:c r="D112" s="2" t="str">
        <x:v>TIME-ARG</x:v>
      </x:c>
      <x:c r="E112" s="2" t="str">
        <x:v>O</x:v>
      </x:c>
      <x:c r="F112" s="12" t="n">
        <x:v>0.9825935959815979</x:v>
      </x:c>
    </x:row>
    <x:row r="113" ht="24" customHeight="1">
      <x:c r="A113" s="2" t="str">
        <x:v>FINAL082-NON_EVENT-09</x:v>
      </x:c>
      <x:c r="B113" s="13" t="n">
        <x:v>3</x:v>
      </x:c>
      <x:c r="C113" s="2" t="str">
        <x:v>mengumpulkan</x:v>
      </x:c>
      <x:c r="D113" s="2" t="str">
        <x:v>O</x:v>
      </x:c>
      <x:c r="E113" s="2" t="str">
        <x:v>INFORMATION-ARG</x:v>
      </x:c>
      <x:c r="F113" s="12" t="n">
        <x:v>0.6988245248794556</x:v>
      </x:c>
    </x:row>
    <x:row r="114" ht="24" customHeight="1">
      <x:c r="A114" s="2" t="str">
        <x:v>FINAL082-NON_EVENT-09</x:v>
      </x:c>
      <x:c r="B114" s="13" t="n">
        <x:v>4</x:v>
      </x:c>
      <x:c r="C114" s="2" t="str">
        <x:v>donasi</x:v>
      </x:c>
      <x:c r="D114" s="2" t="str">
        <x:v>O</x:v>
      </x:c>
      <x:c r="E114" s="2" t="str">
        <x:v>INFORMATION-ARG</x:v>
      </x:c>
      <x:c r="F114" s="12" t="n">
        <x:v>0.7157794833183289</x:v>
      </x:c>
    </x:row>
    <x:row r="115" ht="24" customHeight="1">
      <x:c r="A115" s="2" t="str">
        <x:v>FINAL082-NON_EVENT-09</x:v>
      </x:c>
      <x:c r="B115" s="13" t="n">
        <x:v>10</x:v>
      </x:c>
      <x:c r="C115" s="2" t="str">
        <x:v>dari</x:v>
      </x:c>
      <x:c r="D115" s="2" t="str">
        <x:v>TIME-ARG</x:v>
      </x:c>
      <x:c r="E115" s="2" t="str">
        <x:v>O</x:v>
      </x:c>
      <x:c r="F115" s="12" t="n">
        <x:v>0.998444139957428</x:v>
      </x:c>
    </x:row>
    <x:row r="116" ht="24" customHeight="1">
      <x:c r="A116" s="2" t="str">
        <x:v>FINAL082-NON_EVENT-09</x:v>
      </x:c>
      <x:c r="B116" s="13" t="n">
        <x:v>11</x:v>
      </x:c>
      <x:c r="C116" s="2" t="str">
        <x:v>beragam</x:v>
      </x:c>
      <x:c r="D116" s="2" t="str">
        <x:v>TIME-ARG</x:v>
      </x:c>
      <x:c r="E116" s="2" t="str">
        <x:v>O</x:v>
      </x:c>
      <x:c r="F116" s="12" t="n">
        <x:v>0.9897078275680542</x:v>
      </x:c>
    </x:row>
    <x:row r="117" ht="24" customHeight="1">
      <x:c r="A117" s="2" t="str">
        <x:v>FINAL082-NON_EVENT-09</x:v>
      </x:c>
      <x:c r="B117" s="13" t="n">
        <x:v>12</x:v>
      </x:c>
      <x:c r="C117" s="2" t="str">
        <x:v>tahun</x:v>
      </x:c>
      <x:c r="D117" s="2" t="str">
        <x:v>TIME-ARG</x:v>
      </x:c>
      <x:c r="E117" s="2" t="str">
        <x:v>O</x:v>
      </x:c>
      <x:c r="F117" s="12" t="n">
        <x:v>0.9857989549636841</x:v>
      </x:c>
    </x:row>
    <x:row r="118" ht="24" customHeight="1">
      <x:c r="A118" s="2" t="str">
        <x:v>FINAL082-NON_EVENT-10</x:v>
      </x:c>
      <x:c r="B118" s="13" t="n">
        <x:v>3</x:v>
      </x:c>
      <x:c r="C118" s="2" t="str">
        <x:v>memeragakan</x:v>
      </x:c>
      <x:c r="D118" s="2" t="str">
        <x:v>O</x:v>
      </x:c>
      <x:c r="E118" s="2" t="str">
        <x:v>INFORMATION-ARG</x:v>
      </x:c>
      <x:c r="F118" s="12" t="n">
        <x:v>0.4866877794265747</x:v>
      </x:c>
    </x:row>
    <x:row r="119" ht="24" customHeight="1">
      <x:c r="A119" s="2" t="str">
        <x:v>FINAL082-NON_EVENT-10</x:v>
      </x:c>
      <x:c r="B119" s="13" t="n">
        <x:v>4</x:v>
      </x:c>
      <x:c r="C119" s="2" t="str">
        <x:v>kebakaran</x:v>
      </x:c>
      <x:c r="D119" s="2" t="str">
        <x:v>FALSE-EVENT</x:v>
      </x:c>
      <x:c r="E119" s="2" t="str">
        <x:v>FIRE-EVENT</x:v>
      </x:c>
      <x:c r="F119" s="12" t="n">
        <x:v>0.7806662917137146</x:v>
      </x:c>
    </x:row>
  </x:sheetData>
  <x:pageMargins left="0.7" right="0.7" top="0.75" bottom="0.75" header="0.3" footer="0.3"/>
  <x:tableParts count="3">
    <x:tablePart xmlns:r="http://schemas.openxmlformats.org/officeDocument/2006/relationships" r:id="R20a5306c4b4f4b30"/>
    <x:tablePart xmlns:r="http://schemas.openxmlformats.org/officeDocument/2006/relationships" r:id="Reaa1952b38404c41"/>
    <x:tablePart xmlns:r="http://schemas.openxmlformats.org/officeDocument/2006/relationships" r:id="Rc1c2d32320ac4b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64" hidden="0" customWidth="1"/>
    <x:col min="3" max="3" width="55" hidden="0" customWidth="1"/>
    <x:col min="4" max="4" width="56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4" t="str">
        <x:v>Rekap eksekusi notebook</x:v>
      </x:c>
      <x:c r="B2" s="5"/>
      <x:c r="C2" s="5"/>
      <x:c r="D2" s="5"/>
    </x:row>
    <x:row r="3" ht="24" customHeight="1">
      <x:c r="A3" s="7" t="str">
        <x:v>Sel notebook dijalankan dengan CPython cell executor; seluruh keluaran aktual dipertahankan.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2" customHeight="1">
      <x:c r="A5" s="11" t="str">
        <x:v>Notebook/langkah</x:v>
      </x:c>
      <x:c r="B5" s="11" t="str">
        <x:v>Pekerjaan</x:v>
      </x:c>
      <x:c r="C5" s="11" t="str">
        <x:v>Hasil aktual</x:v>
      </x:c>
      <x:c r="D5" s="11" t="str">
        <x:v>Makna hasil</x:v>
      </x:c>
    </x:row>
    <x:row r="6" ht="76" customHeight="1">
      <x:c r="A6" s="15" t="str">
        <x:v>23_Uji_Penerimaan_Akhir_SLR09_v0.8.1.ipynb</x:v>
      </x:c>
      <x:c r="B6" s="15" t="str">
        <x:v>Inferensi 50 acuan FINAL081.</x:v>
      </x:c>
      <x:c r="C6" s="15" t="str">
        <x:v>50/50 selesai; workflow gagal di SCORING.</x:v>
      </x:c>
      <x:c r="D6" s="15" t="str">
        <x:v>Bukti asli tetap ada. Skor kemudian dilengkapi dari prediksi yang sama.</x:v>
      </x:c>
    </x:row>
    <x:row r="7" ht="76" customHeight="1">
      <x:c r="A7" s="15" t="str">
        <x:v>rescore_saved_acceptance_v081.py</x:v>
      </x:c>
      <x:c r="B7" s="15" t="str">
        <x:v>Lengkapi penilaian FINAL081 tanpa inferensi baru.</x:v>
      </x:c>
      <x:c r="C7" s="15" t="str">
        <x:v>CLI selesai; field 163/207 = 78,74%.</x:v>
      </x:c>
      <x:c r="D7" s="15" t="str">
        <x:v>Uji pertama gagal target field 80%.</x:v>
      </x:c>
    </x:row>
    <x:row r="8" ht="76" customHeight="1">
      <x:c r="A8" s="15" t="str">
        <x:v>24_Verifikasi_Perbaikan_Field_v0.8.2.ipynb</x:v>
      </x:c>
      <x:c r="B8" s="15" t="str">
        <x:v>Verifikasi replay perbaikan awal dan tes evaluator.</x:v>
      </x:c>
      <x:c r="C8" s="15" t="str">
        <x:v>Sukses; field regresi 169/207 = 81,64%.</x:v>
      </x:c>
      <x:c r="D8" s="15" t="str">
        <x:v>Acuan sudah digunakan untuk memperbaiki kode.</x:v>
      </x:c>
    </x:row>
    <x:row r="9" ht="76" customHeight="1">
      <x:c r="A9" s="15" t="str">
        <x:v>24b_Verifikasi_Komposisi_Predikat_v0.8.2.ipynb</x:v>
      </x:c>
      <x:c r="B9" s="15" t="str">
        <x:v>Verifikasi replay akhir, 80 tes kontrak dan 23 tes evaluator.</x:v>
      </x:c>
      <x:c r="C9" s="15" t="str">
        <x:v>Sukses; field regresi 177/207 = 85,51%.</x:v>
      </x:c>
      <x:c r="D9" s="15" t="str">
        <x:v>Seluruh pemeriksaan pada data regresi terpenuhi.</x:v>
      </x:c>
    </x:row>
    <x:row r="10" ht="76" customHeight="1">
      <x:c r="A10" s="15" t="str">
        <x:v>25_Uji_Penerimaan_SLR09_v0.8.2.ipynb</x:v>
      </x:c>
      <x:c r="B10" s="15" t="str">
        <x:v>Inferensi aktual 50 acuan FINAL082 setelah review bintang.</x:v>
      </x:c>
      <x:c r="C10" s="15" t="str">
        <x:v>SUCCEEDED, 50/50; 19 Oktober 2026, 19:45 WIB.</x:v>
      </x:c>
      <x:c r="D10" s="15" t="str">
        <x:v>7/7 target angka dan kontrak lulus; kontras latihan 5/6, sehingga 8/9 pemeriksaan.</x:v>
      </x:c>
    </x:row>
    <x:row r="11" ht="24" customHeight="1">
      <x:c r="A11" s="2"/>
      <x:c r="B11" s="2"/>
      <x:c r="C11" s="2"/>
      <x:c r="D11" s="2"/>
    </x:row>
    <x:row r="12" ht="24" customHeight="1">
      <x:c r="A12" s="2"/>
      <x:c r="B12" s="2"/>
      <x:c r="C12" s="2"/>
      <x:c r="D12" s="2"/>
    </x:row>
  </x:sheetData>
  <x:pageMargins left="0.7" right="0.7" top="0.75" bottom="0.75" header="0.3" footer="0.3"/>
  <x:tableParts count="1">
    <x:tablePart xmlns:r="http://schemas.openxmlformats.org/officeDocument/2006/relationships" r:id="Rb1bdfca9bb7c4d25"/>
  </x:tableParts>
</x:worksheet>
</file>