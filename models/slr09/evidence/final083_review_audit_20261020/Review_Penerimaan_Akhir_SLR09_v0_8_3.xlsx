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Narasi" sheetId="2" state="visible" r:id="rId4"/>
    <sheet name="Toke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<sst xmlns="http://schemas.openxmlformats.org/spreadsheetml/2006/main" count="2538" uniqueCount="653">
  <si>
    <t xml:space="preserve">SLR_09: review acuan penerimaan</t>
  </si>
  <si>
    <t xml:space="preserve">50 narasi baru. Semua kategori, field dan token masih usulan; belum diuji model.</t>
  </si>
  <si>
    <t xml:space="preserve">Reviewer</t>
  </si>
  <si>
    <t xml:space="preserve">Bintang</t>
  </si>
  <si>
    <t xml:space="preserve">Target yang sudah disetujui</t>
  </si>
  <si>
    <t xml:space="preserve">DISETUJUI_PEMILIK</t>
  </si>
  <si>
    <t xml:space="preserve">Status review narasi</t>
  </si>
  <si>
    <t xml:space="preserve">Jumlah</t>
  </si>
  <si>
    <t xml:space="preserve">APPROVED</t>
  </si>
  <si>
    <t xml:space="preserve">DEFERRED</t>
  </si>
  <si>
    <t xml:space="preserve">PENDING</t>
  </si>
  <si>
    <t xml:space="preserve">Token yang disediakan</t>
  </si>
  <si>
    <t xml:space="preserve">Kelengkapan untuk impor</t>
  </si>
  <si>
    <t xml:space="preserve">Kandidat: SILAR_SENA_context_v0.8.3_20261020.zip</t>
  </si>
  <si>
    <t xml:space="preserve">Isi reviewer. Periksa Narasi dan Token, lalu pilih APPROVED atau DEFERRED per narasi.</t>
  </si>
  <si>
    <t xml:space="preserve">ID target</t>
  </si>
  <si>
    <t xml:space="preserve">Target</t>
  </si>
  <si>
    <t xml:space="preserve">Aturan</t>
  </si>
  <si>
    <t xml:space="preserve">Penilaian</t>
  </si>
  <si>
    <t xml:space="preserve">sena_macro_f1</t>
  </si>
  <si>
    <t xml:space="preserve">≥</t>
  </si>
  <si>
    <t xml:space="preserve">SENA macro F1</t>
  </si>
  <si>
    <t xml:space="preserve">non_event_recall</t>
  </si>
  <si>
    <t xml:space="preserve">Recall NON_EVENT</t>
  </si>
  <si>
    <t xml:space="preserve">event_class_recall</t>
  </si>
  <si>
    <t xml:space="preserve">Recall tiap kelas kejadian</t>
  </si>
  <si>
    <t xml:space="preserve">nara_macro_f1_all_14_non_o</t>
  </si>
  <si>
    <t xml:space="preserve">NARA macro F1 semua 14 non-O</t>
  </si>
  <si>
    <t xml:space="preserve">nara_exact_span_f1</t>
  </si>
  <si>
    <t xml:space="preserve">NARA exact span F1</t>
  </si>
  <si>
    <t xml:space="preserve">fields_nonempty_exact</t>
  </si>
  <si>
    <t xml:space="preserve">Ketepatan field nonkosong</t>
  </si>
  <si>
    <t xml:space="preserve">empty_field_spurious_rate_max</t>
  </si>
  <si>
    <t xml:space="preserve">≤</t>
  </si>
  <si>
    <t xml:space="preserve">Isi berlebih pada field kosong</t>
  </si>
  <si>
    <t xml:space="preserve">Kategori yang disetujui</t>
  </si>
  <si>
    <t xml:space="preserve">Minimum</t>
  </si>
  <si>
    <t xml:space="preserve">FLOOD</t>
  </si>
  <si>
    <t xml:space="preserve">EARTHQUAKE</t>
  </si>
  <si>
    <t xml:space="preserve">FIRE</t>
  </si>
  <si>
    <t xml:space="preserve">ACCIDENT</t>
  </si>
  <si>
    <t xml:space="preserve">NON_EVENT</t>
  </si>
  <si>
    <t xml:space="preserve">Role acuan non-O</t>
  </si>
  <si>
    <t xml:space="preserve">Token</t>
  </si>
  <si>
    <t xml:space="preserve">ACCIDENT-EVENT</t>
  </si>
  <si>
    <t xml:space="preserve">AFFECTEDOBJECTS-ARG</t>
  </si>
  <si>
    <t xml:space="preserve">DEATHVICTIM-ARG</t>
  </si>
  <si>
    <t xml:space="preserve">EARTHQUAKE-EVENT</t>
  </si>
  <si>
    <t xml:space="preserve">FALSE-EVENT</t>
  </si>
  <si>
    <t xml:space="preserve">FIRE-EVENT</t>
  </si>
  <si>
    <t xml:space="preserve">FLOOD-EVENT</t>
  </si>
  <si>
    <t xml:space="preserve">INFORMATION-ARG</t>
  </si>
  <si>
    <t xml:space="preserve">OFFICER-ARG</t>
  </si>
  <si>
    <t xml:space="preserve">PLACE-ARG</t>
  </si>
  <si>
    <t xml:space="preserve">REASON-ARG</t>
  </si>
  <si>
    <t xml:space="preserve">STREET-ARG</t>
  </si>
  <si>
    <t xml:space="preserve">TIME-ARG</t>
  </si>
  <si>
    <t xml:space="preserve">WOUNDVICTIM-ARG</t>
  </si>
  <si>
    <t xml:space="preserve">Review putaran sebelumnya tidak mengesahkan 50 acuan baru FINAL083 ini.</t>
  </si>
  <si>
    <t xml:space="preserve">SIAP VALIDASI belum berarti lulus mutu. Importer memeriksa isi, identitas dan cakupan.</t>
  </si>
  <si>
    <t xml:space="preserve">Pilot sintetis untuk aset MVP. Tidak membuktikan generalisasi populasi.</t>
  </si>
  <si>
    <t xml:space="preserve">Acuan narasi dan field</t>
  </si>
  <si>
    <t xml:space="preserve">Kolom kuning perlu diperiksa. Pisahkan beberapa item pada field dengan tanda |.</t>
  </si>
  <si>
    <t xml:space="preserve">Status APPROVED mencakup kategori, seluruh field dan label token pada ID tersebut.</t>
  </si>
  <si>
    <t xml:space="preserve">ID</t>
  </si>
  <si>
    <t xml:space="preserve">Narasi</t>
  </si>
  <si>
    <t xml:space="preserve">Kategori</t>
  </si>
  <si>
    <t xml:space="preserve">Lokasi</t>
  </si>
  <si>
    <t xml:space="preserve">Waktu</t>
  </si>
  <si>
    <t xml:space="preserve">Pihak</t>
  </si>
  <si>
    <t xml:space="preserve">Dampak</t>
  </si>
  <si>
    <t xml:space="preserve">Korban</t>
  </si>
  <si>
    <t xml:space="preserve">Objek</t>
  </si>
  <si>
    <t xml:space="preserve">Status</t>
  </si>
  <si>
    <t xml:space="preserve">Catatan</t>
  </si>
  <si>
    <t xml:space="preserve">FINAL083-FLOOD-01</t>
  </si>
  <si>
    <t xml:space="preserve">Banjir memutus akses pasar di Kelurahan Puspanala sejak subuh.</t>
  </si>
  <si>
    <t xml:space="preserve">Kelurahan Puspanala</t>
  </si>
  <si>
    <t xml:space="preserve">sejak subuh</t>
  </si>
  <si>
    <t xml:space="preserve">memutus akses pasar</t>
  </si>
  <si>
    <t xml:space="preserve">akses pasar</t>
  </si>
  <si>
    <t xml:space="preserve">FINAL083-FLOOD-02</t>
  </si>
  <si>
    <t xml:space="preserve">Tiga rumah terendam banjir malam kemarin di Dusun Gintungasri.</t>
  </si>
  <si>
    <t xml:space="preserve">Dusun Gintungasri</t>
  </si>
  <si>
    <t xml:space="preserve">malam kemarin</t>
  </si>
  <si>
    <t xml:space="preserve">Tiga rumah terendam</t>
  </si>
  <si>
    <t xml:space="preserve">Tiga rumah</t>
  </si>
  <si>
    <t xml:space="preserve">FINAL083-FLOOD-03</t>
  </si>
  <si>
    <t xml:space="preserve">Regu SAR mengungsikan penduduk dari Desa Sekarwangi akibat banjir pagi ini.</t>
  </si>
  <si>
    <t xml:space="preserve">Desa Sekarwangi</t>
  </si>
  <si>
    <t xml:space="preserve">pagi ini</t>
  </si>
  <si>
    <t xml:space="preserve">Regu SAR</t>
  </si>
  <si>
    <t xml:space="preserve">mengungsikan penduduk</t>
  </si>
  <si>
    <t xml:space="preserve">FINAL083-FLOOD-04</t>
  </si>
  <si>
    <t xml:space="preserve">Peserta latihan mengangkat perahu ketika banjir sungguhan merendam gudang beras di Dusun Waringinreja sore tadi.</t>
  </si>
  <si>
    <t xml:space="preserve">Dusun Waringinreja</t>
  </si>
  <si>
    <t xml:space="preserve">sore tadi</t>
  </si>
  <si>
    <t xml:space="preserve">Peserta latihan</t>
  </si>
  <si>
    <t xml:space="preserve">mengangkat perahu | merendam gudang beras</t>
  </si>
  <si>
    <t xml:space="preserve">gudang beras</t>
  </si>
  <si>
    <t xml:space="preserve">Ditambahkan: Peserta latihan sebagai Pihak dan tindakan mengangkat perahu sebagai Dampak. Banjir nyata (bukan latihan), jadi tetap FLOOD.</t>
  </si>
  <si>
    <t xml:space="preserve">FINAL083-FLOOD-05</t>
  </si>
  <si>
    <t xml:space="preserve">Petugas kelurahan mengonfirmasi banjir di Kelurahan Mekarnala malam ini; informasi tersebut bukan skenario latihan.</t>
  </si>
  <si>
    <t xml:space="preserve">Kelurahan Mekarnala</t>
  </si>
  <si>
    <t xml:space="preserve">malam ini</t>
  </si>
  <si>
    <t xml:space="preserve">Petugas kelurahan</t>
  </si>
  <si>
    <t xml:space="preserve">FINAL083-FLOOD-06</t>
  </si>
  <si>
    <t xml:space="preserve">Luapan sungai menyebabkan banjir menggenangi kebun sayur di Desa Karangnusa siang tadi.</t>
  </si>
  <si>
    <t xml:space="preserve">Desa Karangnusa</t>
  </si>
  <si>
    <t xml:space="preserve">siang tadi</t>
  </si>
  <si>
    <t xml:space="preserve">menggenangi kebun sayur</t>
  </si>
  <si>
    <t xml:space="preserve">kebun sayur</t>
  </si>
  <si>
    <t xml:space="preserve">FINAL083-FLOOD-07</t>
  </si>
  <si>
    <t xml:space="preserve">Banjir di Desa Palaswangi kemarin malam mengakibatkan seorang warga terluka.</t>
  </si>
  <si>
    <t xml:space="preserve">Desa Palaswangi</t>
  </si>
  <si>
    <t xml:space="preserve">kemarin malam</t>
  </si>
  <si>
    <t xml:space="preserve">seorang warga</t>
  </si>
  <si>
    <t xml:space="preserve">seorang warga terluka</t>
  </si>
  <si>
    <t xml:space="preserve">FINAL083-FLOOD-08</t>
  </si>
  <si>
    <t xml:space="preserve">Dua nelayan meninggal saat banjir di Kampung Rengganala pagi tadi.</t>
  </si>
  <si>
    <t xml:space="preserve">Kampung Rengganala</t>
  </si>
  <si>
    <t xml:space="preserve">pagi tadi</t>
  </si>
  <si>
    <t xml:space="preserve">Dua nelayan</t>
  </si>
  <si>
    <t xml:space="preserve">Dua nelayan meninggal</t>
  </si>
  <si>
    <t xml:space="preserve">FINAL083-FLOOD-09</t>
  </si>
  <si>
    <t xml:space="preserve">Tak ada korban jiwa, tetapi banjir merusak pagar puskesmas di Desa Manggalarum sore ini.</t>
  </si>
  <si>
    <t xml:space="preserve">Desa Manggalarum</t>
  </si>
  <si>
    <t xml:space="preserve">sore ini</t>
  </si>
  <si>
    <t xml:space="preserve">merusak pagar puskesmas</t>
  </si>
  <si>
    <t xml:space="preserve">pagar puskesmas</t>
  </si>
  <si>
    <t xml:space="preserve">FINAL083-FLOOD-10</t>
  </si>
  <si>
    <t xml:space="preserve">Sejak tadi malam, banjir masih menggenangi jalan desa di Kampung Cikareja.</t>
  </si>
  <si>
    <t xml:space="preserve">Kampung Cikareja</t>
  </si>
  <si>
    <t xml:space="preserve">Sejak tadi malam</t>
  </si>
  <si>
    <t xml:space="preserve">menggenangi jalan desa</t>
  </si>
  <si>
    <t xml:space="preserve">jalan desa</t>
  </si>
  <si>
    <t xml:space="preserve">FINAL083-EARTHQUAKE-01</t>
  </si>
  <si>
    <t xml:space="preserve">Gempa mengguncang Kecamatan Sukamanah siang ini; warga keluar dari rumah.</t>
  </si>
  <si>
    <t xml:space="preserve">Kecamatan Sukamanah</t>
  </si>
  <si>
    <t xml:space="preserve">siang ini</t>
  </si>
  <si>
    <t xml:space="preserve">warga</t>
  </si>
  <si>
    <t xml:space="preserve">mengguncang | keluar dari rumah</t>
  </si>
  <si>
    <t xml:space="preserve">Dampak dikoreksi: nama tempat dikeluarkan (sudah di Lokasi); tindakan warga keluar dari rumah ditambahkan.</t>
  </si>
  <si>
    <t xml:space="preserve">FINAL083-EARTHQUAKE-02</t>
  </si>
  <si>
    <t xml:space="preserve">Atap balai warga ambruk akibat gempa subuh tadi di Desa Ciparanti.</t>
  </si>
  <si>
    <t xml:space="preserve">Desa Ciparanti</t>
  </si>
  <si>
    <t xml:space="preserve">subuh tadi</t>
  </si>
  <si>
    <t xml:space="preserve">Atap balai warga ambruk</t>
  </si>
  <si>
    <t xml:space="preserve">Atap balai warga</t>
  </si>
  <si>
    <t xml:space="preserve">FINAL083-EARTHQUAKE-03</t>
  </si>
  <si>
    <t xml:space="preserve">Setelah gempa di Dusun Sindangnala pagi tadi, relawan mendirikan tenda.</t>
  </si>
  <si>
    <t xml:space="preserve">Dusun Sindangnala</t>
  </si>
  <si>
    <t xml:space="preserve">relawan</t>
  </si>
  <si>
    <t xml:space="preserve">mendirikan tenda</t>
  </si>
  <si>
    <t xml:space="preserve">FINAL083-EARTHQUAKE-04</t>
  </si>
  <si>
    <t xml:space="preserve">Instruktur menghentikan latihan karena gempa betulan meretakkan tembok kelas di Sekolah Binarasa siang tadi.</t>
  </si>
  <si>
    <t xml:space="preserve">Sekolah Binarasa</t>
  </si>
  <si>
    <t xml:space="preserve">Instruktur</t>
  </si>
  <si>
    <t xml:space="preserve">menghentikan latihan | meretakkan tembok kelas</t>
  </si>
  <si>
    <t xml:space="preserve">tembok kelas</t>
  </si>
  <si>
    <t xml:space="preserve">Ditambahkan: Instruktur sebagai Pihak dan tindakan menghentikan latihan sebagai Dampak. Gempa nyata (betulan), jadi tetap EARTHQUAKE.</t>
  </si>
  <si>
    <t xml:space="preserve">FINAL083-EARTHQUAKE-05</t>
  </si>
  <si>
    <t xml:space="preserve">Tim BPBD memastikan kabar gempa di Desa Kertanala tadi malam benar; satu rumah rusak.</t>
  </si>
  <si>
    <t xml:space="preserve">Desa Kertanala</t>
  </si>
  <si>
    <t xml:space="preserve">tadi malam</t>
  </si>
  <si>
    <t xml:space="preserve">Tim BPBD</t>
  </si>
  <si>
    <t xml:space="preserve">satu rumah rusak</t>
  </si>
  <si>
    <t xml:space="preserve">satu rumah</t>
  </si>
  <si>
    <t xml:space="preserve">FINAL083-EARTHQUAKE-06</t>
  </si>
  <si>
    <t xml:space="preserve">Akibat pergeseran sesar, gempa merusak menara air di Kelurahan Tirtanala sore ini.</t>
  </si>
  <si>
    <t xml:space="preserve">Kelurahan Tirtanala</t>
  </si>
  <si>
    <t xml:space="preserve">merusak menara air</t>
  </si>
  <si>
    <t xml:space="preserve">menara air</t>
  </si>
  <si>
    <t xml:space="preserve">FINAL083-EARTHQUAKE-07</t>
  </si>
  <si>
    <t xml:space="preserve">Dua pedagang terluka dalam gempa di Pasar Ciburuan kemarin pagi.</t>
  </si>
  <si>
    <t xml:space="preserve">Pasar Ciburuan</t>
  </si>
  <si>
    <t xml:space="preserve">kemarin pagi</t>
  </si>
  <si>
    <t xml:space="preserve">Dua pedagang</t>
  </si>
  <si>
    <t xml:space="preserve">Dua pedagang terluka</t>
  </si>
  <si>
    <t xml:space="preserve">FINAL083-EARTHQUAKE-08</t>
  </si>
  <si>
    <t xml:space="preserve">Gempa di Desa Langlangreja malam tadi menimbulkan satu korban meninggal.</t>
  </si>
  <si>
    <t xml:space="preserve">Desa Langlangreja</t>
  </si>
  <si>
    <t xml:space="preserve">malam tadi</t>
  </si>
  <si>
    <t xml:space="preserve">satu korban</t>
  </si>
  <si>
    <t xml:space="preserve">satu korban meninggal</t>
  </si>
  <si>
    <t xml:space="preserve">FINAL083-EARTHQUAKE-09</t>
  </si>
  <si>
    <t xml:space="preserve">Tidak ada korban luka setelah gempa sore tadi di Kampung Pasirnala; dinding musala retak.</t>
  </si>
  <si>
    <t xml:space="preserve">Kampung Pasirnala</t>
  </si>
  <si>
    <t xml:space="preserve">dinding musala retak</t>
  </si>
  <si>
    <t xml:space="preserve">dinding musala</t>
  </si>
  <si>
    <t xml:space="preserve">FINAL083-EARTHQUAKE-10</t>
  </si>
  <si>
    <t xml:space="preserve">Gempa susulan terasa di Desa Wanasukma malam ini dan warga menunggu di luar.</t>
  </si>
  <si>
    <t xml:space="preserve">Desa Wanasukma</t>
  </si>
  <si>
    <t xml:space="preserve">terasa | menunggu di luar</t>
  </si>
  <si>
    <t xml:space="preserve">Ditambahkan: tindakan warga menunggu di luar sebagai Dampak.</t>
  </si>
  <si>
    <t xml:space="preserve">FINAL083-FIRE-01</t>
  </si>
  <si>
    <t xml:space="preserve">Kebakaran melalap kios buah di Pasar Palagan dini hari tadi.</t>
  </si>
  <si>
    <t xml:space="preserve">Pasar Palagan</t>
  </si>
  <si>
    <t xml:space="preserve">dini hari tadi</t>
  </si>
  <si>
    <t xml:space="preserve">melalap kios buah</t>
  </si>
  <si>
    <t xml:space="preserve">kios buah</t>
  </si>
  <si>
    <t xml:space="preserve">FINAL083-FIRE-02</t>
  </si>
  <si>
    <t xml:space="preserve">Dua bengkel hangus dalam kebakaran di Jalan Nataraya kemarin sore.</t>
  </si>
  <si>
    <t xml:space="preserve">Jalan Nataraya</t>
  </si>
  <si>
    <t xml:space="preserve">kemarin sore</t>
  </si>
  <si>
    <t xml:space="preserve">Dua bengkel hangus</t>
  </si>
  <si>
    <t xml:space="preserve">Dua bengkel</t>
  </si>
  <si>
    <t xml:space="preserve">FINAL083-FIRE-03</t>
  </si>
  <si>
    <t xml:space="preserve">Regu damkar memadamkan api saat kebakaran di Gudang Puspalaras siang ini.</t>
  </si>
  <si>
    <t xml:space="preserve">Gudang Puspalaras</t>
  </si>
  <si>
    <t xml:space="preserve">Regu damkar</t>
  </si>
  <si>
    <t xml:space="preserve">memadamkan api</t>
  </si>
  <si>
    <t xml:space="preserve">FINAL083-FIRE-04</t>
  </si>
  <si>
    <t xml:space="preserve">Bukan alat peraga yang terbakar: kebakaran sungguhan merusak kantin di Pusat Latihan Wiranala pagi ini.</t>
  </si>
  <si>
    <t xml:space="preserve">Pusat Latihan Wiranala</t>
  </si>
  <si>
    <t xml:space="preserve">merusak kantin</t>
  </si>
  <si>
    <t xml:space="preserve">kantin</t>
  </si>
  <si>
    <t xml:space="preserve">FINAL083-FIRE-05</t>
  </si>
  <si>
    <t xml:space="preserve">Pemeriksaan petugas desa membuktikan kebakaran di Desa Bayumanah tadi malam merupakan kejadian nyata.</t>
  </si>
  <si>
    <t xml:space="preserve">Desa Bayumanah</t>
  </si>
  <si>
    <t xml:space="preserve">petugas desa</t>
  </si>
  <si>
    <t xml:space="preserve">FINAL083-FIRE-06</t>
  </si>
  <si>
    <t xml:space="preserve">Tabung gas bocor memicu kebakaran yang menghanguskan dapur warung di Kampung Nusaloka sore tadi.</t>
  </si>
  <si>
    <t xml:space="preserve">Kampung Nusaloka</t>
  </si>
  <si>
    <t xml:space="preserve">menghanguskan dapur warung</t>
  </si>
  <si>
    <t xml:space="preserve">dapur warung</t>
  </si>
  <si>
    <t xml:space="preserve">FINAL083-FIRE-07</t>
  </si>
  <si>
    <t xml:space="preserve">Kebakaran subuh tadi di Kelurahan Ringinmanah mengakibatkan satu pemilik rumah terluka.</t>
  </si>
  <si>
    <t xml:space="preserve">Kelurahan Ringinmanah</t>
  </si>
  <si>
    <t xml:space="preserve">satu pemilik rumah</t>
  </si>
  <si>
    <t xml:space="preserve">satu pemilik rumah terluka</t>
  </si>
  <si>
    <t xml:space="preserve">FINAL083-FIRE-08</t>
  </si>
  <si>
    <t xml:space="preserve">Dalam kebakaran di Desa Cikamulya malam kemarin, seorang pekerja meninggal.</t>
  </si>
  <si>
    <t xml:space="preserve">Desa Cikamulya</t>
  </si>
  <si>
    <t xml:space="preserve">seorang pekerja</t>
  </si>
  <si>
    <t xml:space="preserve">seorang pekerja meninggal</t>
  </si>
  <si>
    <t xml:space="preserve">FINAL083-FIRE-09</t>
  </si>
  <si>
    <t xml:space="preserve">Kebakaran merusak ruang penyimpanan di Balai Naramukti siang tadi; semua orang selamat.</t>
  </si>
  <si>
    <t xml:space="preserve">Balai Naramukti</t>
  </si>
  <si>
    <t xml:space="preserve">merusak ruang penyimpanan</t>
  </si>
  <si>
    <t xml:space="preserve">ruang penyimpanan</t>
  </si>
  <si>
    <t xml:space="preserve">FINAL083-FIRE-10</t>
  </si>
  <si>
    <t xml:space="preserve">Malam ini, api masih membakar tumpukan kayu di Dusun Ciparayasih.</t>
  </si>
  <si>
    <t xml:space="preserve">Dusun Ciparayasih</t>
  </si>
  <si>
    <t xml:space="preserve">Malam ini</t>
  </si>
  <si>
    <t xml:space="preserve">membakar tumpukan kayu</t>
  </si>
  <si>
    <t xml:space="preserve">tumpukan kayu</t>
  </si>
  <si>
    <t xml:space="preserve">FINAL083-ACCIDENT-01</t>
  </si>
  <si>
    <t xml:space="preserve">Kecelakaan melibatkan sepeda motor di Jalan Sindangarum pagi tadi.</t>
  </si>
  <si>
    <t xml:space="preserve">Jalan Sindangarum</t>
  </si>
  <si>
    <t xml:space="preserve">melibatkan sepeda motor</t>
  </si>
  <si>
    <t xml:space="preserve">sepeda motor</t>
  </si>
  <si>
    <t xml:space="preserve">FINAL083-ACCIDENT-02</t>
  </si>
  <si>
    <t xml:space="preserve">Mobil pengangkut telur terbalik dalam kecelakaan di Desa Bantarwulan siang ini.</t>
  </si>
  <si>
    <t xml:space="preserve">Desa Bantarwulan</t>
  </si>
  <si>
    <t xml:space="preserve">Mobil pengangkut telur terbalik</t>
  </si>
  <si>
    <t xml:space="preserve">Mobil pengangkut telur</t>
  </si>
  <si>
    <t xml:space="preserve">FINAL083-ACCIDENT-03</t>
  </si>
  <si>
    <t xml:space="preserve">Petugas polisi mengatur lalu lintas setelah kecelakaan di Jalan Madunala kemarin sore.</t>
  </si>
  <si>
    <t xml:space="preserve">Jalan Madunala</t>
  </si>
  <si>
    <t xml:space="preserve">Petugas polisi</t>
  </si>
  <si>
    <t xml:space="preserve">mengatur lalu lintas</t>
  </si>
  <si>
    <t xml:space="preserve">FINAL083-ACCIDENT-04</t>
  </si>
  <si>
    <t xml:space="preserve">Pelatihan dihentikan ketika kecelakaan nyata merusak mobil instruktur di Lapangan Sekarnala sore tadi.</t>
  </si>
  <si>
    <t xml:space="preserve">Lapangan Sekarnala</t>
  </si>
  <si>
    <t xml:space="preserve">Pelatihan dihentikan | merusak mobil instruktur</t>
  </si>
  <si>
    <t xml:space="preserve">mobil instruktur</t>
  </si>
  <si>
    <t xml:space="preserve">Ditambahkan: Pelatihan dihentikan sebagai Dampak. Kecelakaan nyata, jadi tetap ACCIDENT.</t>
  </si>
  <si>
    <t xml:space="preserve">FINAL083-ACCIDENT-05</t>
  </si>
  <si>
    <t xml:space="preserve">Rekaman latihan itu terputus oleh kecelakaan sungguhan di Jalan Giriarum pagi ini; seorang pengendara terluka.</t>
  </si>
  <si>
    <t xml:space="preserve">Jalan Giriarum</t>
  </si>
  <si>
    <t xml:space="preserve">seorang pengendara</t>
  </si>
  <si>
    <t xml:space="preserve">Rekaman latihan itu terputus</t>
  </si>
  <si>
    <t xml:space="preserve">seorang pengendara terluka</t>
  </si>
  <si>
    <t xml:space="preserve">Ditambahkan: terputusnya rekaman latihan sebagai Dampak. Kecelakaan sungguhan, jadi tetap ACCIDENT.</t>
  </si>
  <si>
    <t xml:space="preserve">FINAL083-ACCIDENT-06</t>
  </si>
  <si>
    <t xml:space="preserve">Ban pecah memicu kecelakaan di Desa Wanamanah malam tadi; satu truk rusak.</t>
  </si>
  <si>
    <t xml:space="preserve">Desa Wanamanah</t>
  </si>
  <si>
    <t xml:space="preserve">satu truk rusak</t>
  </si>
  <si>
    <t xml:space="preserve">satu truk</t>
  </si>
  <si>
    <t xml:space="preserve">FINAL083-ACCIDENT-07</t>
  </si>
  <si>
    <t xml:space="preserve">Akibat kecelakaan di Jalan Sukawening subuh tadi, dua penumpang terluka.</t>
  </si>
  <si>
    <t xml:space="preserve">Jalan Sukawening</t>
  </si>
  <si>
    <t xml:space="preserve">dua penumpang</t>
  </si>
  <si>
    <t xml:space="preserve">dua penumpang terluka</t>
  </si>
  <si>
    <t xml:space="preserve">FINAL083-ACCIDENT-08</t>
  </si>
  <si>
    <t xml:space="preserve">Seorang sopir meninggal pada kecelakaan di Kampung Palawana kemarin malam.</t>
  </si>
  <si>
    <t xml:space="preserve">Kampung Palawana</t>
  </si>
  <si>
    <t xml:space="preserve">Seorang sopir</t>
  </si>
  <si>
    <t xml:space="preserve">Seorang sopir meninggal</t>
  </si>
  <si>
    <t xml:space="preserve">FINAL083-ACCIDENT-09</t>
  </si>
  <si>
    <t xml:space="preserve">Kecelakaan merusak dua motor di Jalan Puspasukma siang tadi, tanpa korban luka.</t>
  </si>
  <si>
    <t xml:space="preserve">Jalan Puspasukma</t>
  </si>
  <si>
    <t xml:space="preserve">merusak dua motor</t>
  </si>
  <si>
    <t xml:space="preserve">dua motor</t>
  </si>
  <si>
    <t xml:space="preserve">FINAL083-ACCIDENT-10</t>
  </si>
  <si>
    <t xml:space="preserve">Tadi sore, kecelakaan melibatkan bus sekolah di Kelurahan Mekarwening.</t>
  </si>
  <si>
    <t xml:space="preserve">Kelurahan Mekarwening</t>
  </si>
  <si>
    <t xml:space="preserve">Tadi sore</t>
  </si>
  <si>
    <t xml:space="preserve">melibatkan bus sekolah</t>
  </si>
  <si>
    <t xml:space="preserve">bus sekolah</t>
  </si>
  <si>
    <t xml:space="preserve">FINAL083-NON_EVENT-01</t>
  </si>
  <si>
    <t xml:space="preserve">Di Balai Sukmanala siang ini, peserta memperagakan kecelakaan dengan kendaraan tiruan; seluruh adegan hanya latihan.</t>
  </si>
  <si>
    <t xml:space="preserve">Balai Sukmanala</t>
  </si>
  <si>
    <t xml:space="preserve">peserta</t>
  </si>
  <si>
    <t xml:space="preserve">Ditambahkan: peserta sebagai Pihak. Hanya peragaan/latihan, jadi NON_EVENT.</t>
  </si>
  <si>
    <t xml:space="preserve">FINAL083-NON_EVENT-02</t>
  </si>
  <si>
    <t xml:space="preserve">Regu damkar menggunakan layar untuk simulasi kebakaran di Aula Giriwening pagi tadi; tidak ada kejadian nyata.</t>
  </si>
  <si>
    <t xml:space="preserve">Aula Giriwening</t>
  </si>
  <si>
    <t xml:space="preserve">FINAL083-NON_EVENT-03</t>
  </si>
  <si>
    <t xml:space="preserve">Getaran buatan menandai peragaan gempa di Pusat Belajar Naramerta sore ini, bukan gempa sungguhan.</t>
  </si>
  <si>
    <t xml:space="preserve">Pusat Belajar Naramerta</t>
  </si>
  <si>
    <t xml:space="preserve">FINAL083-NON_EVENT-04</t>
  </si>
  <si>
    <t xml:space="preserve">Banjir pada latihan di Lapangan Kertamanah kemarin pagi ditiru dengan kolam kecil; permukiman tetap kering.</t>
  </si>
  <si>
    <t xml:space="preserve">Lapangan Kertamanah</t>
  </si>
  <si>
    <t xml:space="preserve">FINAL083-NON_EVENT-05</t>
  </si>
  <si>
    <t xml:space="preserve">Petugas membahas potensi banjir di Desa Nusalintang pekan depan; sampai kini belum ada kejadian.</t>
  </si>
  <si>
    <t xml:space="preserve">Desa Nusalintang</t>
  </si>
  <si>
    <t xml:space="preserve">pekan depan</t>
  </si>
  <si>
    <t xml:space="preserve">Petugas</t>
  </si>
  <si>
    <t xml:space="preserve">FINAL083-NON_EVENT-06</t>
  </si>
  <si>
    <t xml:space="preserve">Kepala dusun membantah kabar kebakaran di Dusun Girimadu malam tadi; pemeriksaan tidak menemukan peristiwa tersebut.</t>
  </si>
  <si>
    <t xml:space="preserve">Dusun Girimadu</t>
  </si>
  <si>
    <t xml:space="preserve">Kepala dusun</t>
  </si>
  <si>
    <t xml:space="preserve">FINAL083-NON_EVENT-07</t>
  </si>
  <si>
    <t xml:space="preserve">Guru menguraikan teori penyebab gempa di Sekolah Wanasukma pagi ini; ini pelajaran, tanpa peristiwa tertentu.</t>
  </si>
  <si>
    <t xml:space="preserve">Sekolah Wanasukma</t>
  </si>
  <si>
    <t xml:space="preserve">Guru</t>
  </si>
  <si>
    <t xml:space="preserve">FINAL083-NON_EVENT-08</t>
  </si>
  <si>
    <t xml:space="preserve">Pedagang berkata tokonya banjir pesanan hari ini; ungkapan itu berarti banyak pembeli.</t>
  </si>
  <si>
    <t xml:space="preserve">hari ini</t>
  </si>
  <si>
    <t xml:space="preserve">Pedagang</t>
  </si>
  <si>
    <t xml:space="preserve">FINAL083-NON_EVENT-09</t>
  </si>
  <si>
    <t xml:space="preserve">Cerita pendek tentang kecelakaan di negeri rekaan dibacakan peserta kelas sore tadi; kisahnya fiksi.</t>
  </si>
  <si>
    <t xml:space="preserve">peserta kelas</t>
  </si>
  <si>
    <t xml:space="preserve">FINAL083-NON_EVENT-10</t>
  </si>
  <si>
    <t xml:space="preserve">Peneliti menyajikan statistik kebakaran tahunan di Gedung Wanasukma siang tadi, tanpa melaporkan kejadian baru.</t>
  </si>
  <si>
    <t xml:space="preserve">Gedung Wanasukma</t>
  </si>
  <si>
    <t xml:space="preserve">Peneliti</t>
  </si>
  <si>
    <t xml:space="preserve">Acuan token NARA</t>
  </si>
  <si>
    <t xml:space="preserve">Periksa label seluruh token untuk tiap ID. O berarti token di luar 14 role non-O.</t>
  </si>
  <si>
    <t xml:space="preserve">Posisi</t>
  </si>
  <si>
    <t xml:space="preserve">Label</t>
  </si>
  <si>
    <t xml:space="preserve">Banjir</t>
  </si>
  <si>
    <t xml:space="preserve">memutus</t>
  </si>
  <si>
    <t xml:space="preserve">akses</t>
  </si>
  <si>
    <t xml:space="preserve">pasar</t>
  </si>
  <si>
    <t xml:space="preserve">di</t>
  </si>
  <si>
    <t xml:space="preserve">O</t>
  </si>
  <si>
    <t xml:space="preserve">Kelurahan</t>
  </si>
  <si>
    <t xml:space="preserve">Puspanala</t>
  </si>
  <si>
    <t xml:space="preserve">sejak</t>
  </si>
  <si>
    <t xml:space="preserve">subuh</t>
  </si>
  <si>
    <t xml:space="preserve">.</t>
  </si>
  <si>
    <t xml:space="preserve">Tiga</t>
  </si>
  <si>
    <t xml:space="preserve">rumah</t>
  </si>
  <si>
    <t xml:space="preserve">terendam</t>
  </si>
  <si>
    <t xml:space="preserve">banjir</t>
  </si>
  <si>
    <t xml:space="preserve">malam</t>
  </si>
  <si>
    <t xml:space="preserve">kemarin</t>
  </si>
  <si>
    <t xml:space="preserve">Dusun</t>
  </si>
  <si>
    <t xml:space="preserve">Gintungasri</t>
  </si>
  <si>
    <t xml:space="preserve">Regu</t>
  </si>
  <si>
    <t xml:space="preserve">SAR</t>
  </si>
  <si>
    <t xml:space="preserve">mengungsikan</t>
  </si>
  <si>
    <t xml:space="preserve">penduduk</t>
  </si>
  <si>
    <t xml:space="preserve">dari</t>
  </si>
  <si>
    <t xml:space="preserve">Desa</t>
  </si>
  <si>
    <t xml:space="preserve">Sekarwangi</t>
  </si>
  <si>
    <t xml:space="preserve">akibat</t>
  </si>
  <si>
    <t xml:space="preserve">pagi</t>
  </si>
  <si>
    <t xml:space="preserve">ini</t>
  </si>
  <si>
    <t xml:space="preserve">Peserta</t>
  </si>
  <si>
    <t xml:space="preserve">latihan</t>
  </si>
  <si>
    <t xml:space="preserve">mengangkat</t>
  </si>
  <si>
    <t xml:space="preserve">perahu</t>
  </si>
  <si>
    <t xml:space="preserve">ketika</t>
  </si>
  <si>
    <t xml:space="preserve">sungguhan</t>
  </si>
  <si>
    <t xml:space="preserve">merendam</t>
  </si>
  <si>
    <t xml:space="preserve">gudang</t>
  </si>
  <si>
    <t xml:space="preserve">beras</t>
  </si>
  <si>
    <t xml:space="preserve">Waringinreja</t>
  </si>
  <si>
    <t xml:space="preserve">sore</t>
  </si>
  <si>
    <t xml:space="preserve">tadi</t>
  </si>
  <si>
    <t xml:space="preserve">kelurahan</t>
  </si>
  <si>
    <t xml:space="preserve">mengonfirmasi</t>
  </si>
  <si>
    <t xml:space="preserve">Mekarnala</t>
  </si>
  <si>
    <t xml:space="preserve">;</t>
  </si>
  <si>
    <t xml:space="preserve">informasi</t>
  </si>
  <si>
    <t xml:space="preserve">tersebut</t>
  </si>
  <si>
    <t xml:space="preserve">bukan</t>
  </si>
  <si>
    <t xml:space="preserve">skenario</t>
  </si>
  <si>
    <t xml:space="preserve">Luapan</t>
  </si>
  <si>
    <t xml:space="preserve">sungai</t>
  </si>
  <si>
    <t xml:space="preserve">menyebabkan</t>
  </si>
  <si>
    <t xml:space="preserve">menggenangi</t>
  </si>
  <si>
    <t xml:space="preserve">kebun</t>
  </si>
  <si>
    <t xml:space="preserve">sayur</t>
  </si>
  <si>
    <t xml:space="preserve">Karangnusa</t>
  </si>
  <si>
    <t xml:space="preserve">siang</t>
  </si>
  <si>
    <t xml:space="preserve">Palaswangi</t>
  </si>
  <si>
    <t xml:space="preserve">mengakibatkan</t>
  </si>
  <si>
    <t xml:space="preserve">seorang</t>
  </si>
  <si>
    <t xml:space="preserve">terluka</t>
  </si>
  <si>
    <t xml:space="preserve">Dua</t>
  </si>
  <si>
    <t xml:space="preserve">nelayan</t>
  </si>
  <si>
    <t xml:space="preserve">meninggal</t>
  </si>
  <si>
    <t xml:space="preserve">saat</t>
  </si>
  <si>
    <t xml:space="preserve">Kampung</t>
  </si>
  <si>
    <t xml:space="preserve">Rengganala</t>
  </si>
  <si>
    <t xml:space="preserve">Tak</t>
  </si>
  <si>
    <t xml:space="preserve">ada</t>
  </si>
  <si>
    <t xml:space="preserve">korban</t>
  </si>
  <si>
    <t xml:space="preserve">jiwa</t>
  </si>
  <si>
    <t xml:space="preserve">,</t>
  </si>
  <si>
    <t xml:space="preserve">tetapi</t>
  </si>
  <si>
    <t xml:space="preserve">merusak</t>
  </si>
  <si>
    <t xml:space="preserve">pagar</t>
  </si>
  <si>
    <t xml:space="preserve">puskesmas</t>
  </si>
  <si>
    <t xml:space="preserve">Manggalarum</t>
  </si>
  <si>
    <t xml:space="preserve">Sejak</t>
  </si>
  <si>
    <t xml:space="preserve">masih</t>
  </si>
  <si>
    <t xml:space="preserve">jalan</t>
  </si>
  <si>
    <t xml:space="preserve">desa</t>
  </si>
  <si>
    <t xml:space="preserve">Cikareja</t>
  </si>
  <si>
    <t xml:space="preserve">Gempa</t>
  </si>
  <si>
    <t xml:space="preserve">mengguncang</t>
  </si>
  <si>
    <t xml:space="preserve">Kecamatan</t>
  </si>
  <si>
    <t xml:space="preserve">Sukamanah</t>
  </si>
  <si>
    <t xml:space="preserve">keluar</t>
  </si>
  <si>
    <t xml:space="preserve">Atap</t>
  </si>
  <si>
    <t xml:space="preserve">balai</t>
  </si>
  <si>
    <t xml:space="preserve">ambruk</t>
  </si>
  <si>
    <t xml:space="preserve">gempa</t>
  </si>
  <si>
    <t xml:space="preserve">Ciparanti</t>
  </si>
  <si>
    <t xml:space="preserve">Setelah</t>
  </si>
  <si>
    <t xml:space="preserve">Sindangnala</t>
  </si>
  <si>
    <t xml:space="preserve">mendirikan</t>
  </si>
  <si>
    <t xml:space="preserve">tenda</t>
  </si>
  <si>
    <t xml:space="preserve">menghentikan</t>
  </si>
  <si>
    <t xml:space="preserve">karena</t>
  </si>
  <si>
    <t xml:space="preserve">betulan</t>
  </si>
  <si>
    <t xml:space="preserve">meretakkan</t>
  </si>
  <si>
    <t xml:space="preserve">tembok</t>
  </si>
  <si>
    <t xml:space="preserve">kelas</t>
  </si>
  <si>
    <t xml:space="preserve">Sekolah</t>
  </si>
  <si>
    <t xml:space="preserve">Binarasa</t>
  </si>
  <si>
    <t xml:space="preserve">Tim</t>
  </si>
  <si>
    <t xml:space="preserve">BPBD</t>
  </si>
  <si>
    <t xml:space="preserve">memastikan</t>
  </si>
  <si>
    <t xml:space="preserve">kabar</t>
  </si>
  <si>
    <t xml:space="preserve">Kertanala</t>
  </si>
  <si>
    <t xml:space="preserve">benar</t>
  </si>
  <si>
    <t xml:space="preserve">satu</t>
  </si>
  <si>
    <t xml:space="preserve">rusak</t>
  </si>
  <si>
    <t xml:space="preserve">Akibat</t>
  </si>
  <si>
    <t xml:space="preserve">pergeseran</t>
  </si>
  <si>
    <t xml:space="preserve">sesar</t>
  </si>
  <si>
    <t xml:space="preserve">menara</t>
  </si>
  <si>
    <t xml:space="preserve">air</t>
  </si>
  <si>
    <t xml:space="preserve">Tirtanala</t>
  </si>
  <si>
    <t xml:space="preserve">pedagang</t>
  </si>
  <si>
    <t xml:space="preserve">dalam</t>
  </si>
  <si>
    <t xml:space="preserve">Pasar</t>
  </si>
  <si>
    <t xml:space="preserve">Ciburuan</t>
  </si>
  <si>
    <t xml:space="preserve">Langlangreja</t>
  </si>
  <si>
    <t xml:space="preserve">menimbulkan</t>
  </si>
  <si>
    <t xml:space="preserve">Tidak</t>
  </si>
  <si>
    <t xml:space="preserve">luka</t>
  </si>
  <si>
    <t xml:space="preserve">setelah</t>
  </si>
  <si>
    <t xml:space="preserve">Pasirnala</t>
  </si>
  <si>
    <t xml:space="preserve">dinding</t>
  </si>
  <si>
    <t xml:space="preserve">musala</t>
  </si>
  <si>
    <t xml:space="preserve">retak</t>
  </si>
  <si>
    <t xml:space="preserve">susulan</t>
  </si>
  <si>
    <t xml:space="preserve">terasa</t>
  </si>
  <si>
    <t xml:space="preserve">Wanasukma</t>
  </si>
  <si>
    <t xml:space="preserve">dan</t>
  </si>
  <si>
    <t xml:space="preserve">menunggu</t>
  </si>
  <si>
    <t xml:space="preserve">luar</t>
  </si>
  <si>
    <t xml:space="preserve">Kebakaran</t>
  </si>
  <si>
    <t xml:space="preserve">melalap</t>
  </si>
  <si>
    <t xml:space="preserve">kios</t>
  </si>
  <si>
    <t xml:space="preserve">buah</t>
  </si>
  <si>
    <t xml:space="preserve">Palagan</t>
  </si>
  <si>
    <t xml:space="preserve">dini</t>
  </si>
  <si>
    <t xml:space="preserve">hari</t>
  </si>
  <si>
    <t xml:space="preserve">bengkel</t>
  </si>
  <si>
    <t xml:space="preserve">hangus</t>
  </si>
  <si>
    <t xml:space="preserve">kebakaran</t>
  </si>
  <si>
    <t xml:space="preserve">Jalan</t>
  </si>
  <si>
    <t xml:space="preserve">Nataraya</t>
  </si>
  <si>
    <t xml:space="preserve">damkar</t>
  </si>
  <si>
    <t xml:space="preserve">memadamkan</t>
  </si>
  <si>
    <t xml:space="preserve">api</t>
  </si>
  <si>
    <t xml:space="preserve">Gudang</t>
  </si>
  <si>
    <t xml:space="preserve">Puspalaras</t>
  </si>
  <si>
    <t xml:space="preserve">Bukan</t>
  </si>
  <si>
    <t xml:space="preserve">alat</t>
  </si>
  <si>
    <t xml:space="preserve">peraga</t>
  </si>
  <si>
    <t xml:space="preserve">yang</t>
  </si>
  <si>
    <t xml:space="preserve">terbakar</t>
  </si>
  <si>
    <t xml:space="preserve">:</t>
  </si>
  <si>
    <t xml:space="preserve">Pusat</t>
  </si>
  <si>
    <t xml:space="preserve">Latihan</t>
  </si>
  <si>
    <t xml:space="preserve">Wiranala</t>
  </si>
  <si>
    <t xml:space="preserve">Pemeriksaan</t>
  </si>
  <si>
    <t xml:space="preserve">petugas</t>
  </si>
  <si>
    <t xml:space="preserve">membuktikan</t>
  </si>
  <si>
    <t xml:space="preserve">Bayumanah</t>
  </si>
  <si>
    <t xml:space="preserve">merupakan</t>
  </si>
  <si>
    <t xml:space="preserve">kejadian</t>
  </si>
  <si>
    <t xml:space="preserve">nyata</t>
  </si>
  <si>
    <t xml:space="preserve">Tabung</t>
  </si>
  <si>
    <t xml:space="preserve">gas</t>
  </si>
  <si>
    <t xml:space="preserve">bocor</t>
  </si>
  <si>
    <t xml:space="preserve">memicu</t>
  </si>
  <si>
    <t xml:space="preserve">menghanguskan</t>
  </si>
  <si>
    <t xml:space="preserve">dapur</t>
  </si>
  <si>
    <t xml:space="preserve">warung</t>
  </si>
  <si>
    <t xml:space="preserve">Nusaloka</t>
  </si>
  <si>
    <t xml:space="preserve">Ringinmanah</t>
  </si>
  <si>
    <t xml:space="preserve">pemilik</t>
  </si>
  <si>
    <t xml:space="preserve">Dalam</t>
  </si>
  <si>
    <t xml:space="preserve">Cikamulya</t>
  </si>
  <si>
    <t xml:space="preserve">pekerja</t>
  </si>
  <si>
    <t xml:space="preserve">ruang</t>
  </si>
  <si>
    <t xml:space="preserve">penyimpanan</t>
  </si>
  <si>
    <t xml:space="preserve">Balai</t>
  </si>
  <si>
    <t xml:space="preserve">Naramukti</t>
  </si>
  <si>
    <t xml:space="preserve">semua</t>
  </si>
  <si>
    <t xml:space="preserve">orang</t>
  </si>
  <si>
    <t xml:space="preserve">selamat</t>
  </si>
  <si>
    <t xml:space="preserve">Malam</t>
  </si>
  <si>
    <t xml:space="preserve">membakar</t>
  </si>
  <si>
    <t xml:space="preserve">tumpukan</t>
  </si>
  <si>
    <t xml:space="preserve">kayu</t>
  </si>
  <si>
    <t xml:space="preserve">Ciparayasih</t>
  </si>
  <si>
    <t xml:space="preserve">Kecelakaan</t>
  </si>
  <si>
    <t xml:space="preserve">melibatkan</t>
  </si>
  <si>
    <t xml:space="preserve">sepeda</t>
  </si>
  <si>
    <t xml:space="preserve">motor</t>
  </si>
  <si>
    <t xml:space="preserve">Sindangarum</t>
  </si>
  <si>
    <t xml:space="preserve">Mobil</t>
  </si>
  <si>
    <t xml:space="preserve">pengangkut</t>
  </si>
  <si>
    <t xml:space="preserve">telur</t>
  </si>
  <si>
    <t xml:space="preserve">terbalik</t>
  </si>
  <si>
    <t xml:space="preserve">kecelakaan</t>
  </si>
  <si>
    <t xml:space="preserve">Bantarwulan</t>
  </si>
  <si>
    <t xml:space="preserve">polisi</t>
  </si>
  <si>
    <t xml:space="preserve">mengatur</t>
  </si>
  <si>
    <t xml:space="preserve">lalu</t>
  </si>
  <si>
    <t xml:space="preserve">lintas</t>
  </si>
  <si>
    <t xml:space="preserve">Madunala</t>
  </si>
  <si>
    <t xml:space="preserve">Pelatihan</t>
  </si>
  <si>
    <t xml:space="preserve">dihentikan</t>
  </si>
  <si>
    <t xml:space="preserve">mobil</t>
  </si>
  <si>
    <t xml:space="preserve">instruktur</t>
  </si>
  <si>
    <t xml:space="preserve">Lapangan</t>
  </si>
  <si>
    <t xml:space="preserve">Sekarnala</t>
  </si>
  <si>
    <t xml:space="preserve">Rekaman</t>
  </si>
  <si>
    <t xml:space="preserve">itu</t>
  </si>
  <si>
    <t xml:space="preserve">terputus</t>
  </si>
  <si>
    <t xml:space="preserve">oleh</t>
  </si>
  <si>
    <t xml:space="preserve">Giriarum</t>
  </si>
  <si>
    <t xml:space="preserve">pengendara</t>
  </si>
  <si>
    <t xml:space="preserve">Ban</t>
  </si>
  <si>
    <t xml:space="preserve">pecah</t>
  </si>
  <si>
    <t xml:space="preserve">Wanamanah</t>
  </si>
  <si>
    <t xml:space="preserve">truk</t>
  </si>
  <si>
    <t xml:space="preserve">Sukawening</t>
  </si>
  <si>
    <t xml:space="preserve">dua</t>
  </si>
  <si>
    <t xml:space="preserve">penumpang</t>
  </si>
  <si>
    <t xml:space="preserve">Seorang</t>
  </si>
  <si>
    <t xml:space="preserve">sopir</t>
  </si>
  <si>
    <t xml:space="preserve">pada</t>
  </si>
  <si>
    <t xml:space="preserve">Palawana</t>
  </si>
  <si>
    <t xml:space="preserve">Puspasukma</t>
  </si>
  <si>
    <t xml:space="preserve">tanpa</t>
  </si>
  <si>
    <t xml:space="preserve">Tadi</t>
  </si>
  <si>
    <t xml:space="preserve">bus</t>
  </si>
  <si>
    <t xml:space="preserve">sekolah</t>
  </si>
  <si>
    <t xml:space="preserve">Mekarwening</t>
  </si>
  <si>
    <t xml:space="preserve">Di</t>
  </si>
  <si>
    <t xml:space="preserve">Sukmanala</t>
  </si>
  <si>
    <t xml:space="preserve">memperagakan</t>
  </si>
  <si>
    <t xml:space="preserve">dengan</t>
  </si>
  <si>
    <t xml:space="preserve">kendaraan</t>
  </si>
  <si>
    <t xml:space="preserve">tiruan</t>
  </si>
  <si>
    <t xml:space="preserve">seluruh</t>
  </si>
  <si>
    <t xml:space="preserve">adegan</t>
  </si>
  <si>
    <t xml:space="preserve">hanya</t>
  </si>
  <si>
    <t xml:space="preserve">menggunakan</t>
  </si>
  <si>
    <t xml:space="preserve">layar</t>
  </si>
  <si>
    <t xml:space="preserve">untuk</t>
  </si>
  <si>
    <t xml:space="preserve">simulasi</t>
  </si>
  <si>
    <t xml:space="preserve">Aula</t>
  </si>
  <si>
    <t xml:space="preserve">Giriwening</t>
  </si>
  <si>
    <t xml:space="preserve">tidak</t>
  </si>
  <si>
    <t xml:space="preserve">Getaran</t>
  </si>
  <si>
    <t xml:space="preserve">buatan</t>
  </si>
  <si>
    <t xml:space="preserve">menandai</t>
  </si>
  <si>
    <t xml:space="preserve">peragaan</t>
  </si>
  <si>
    <t xml:space="preserve">Belajar</t>
  </si>
  <si>
    <t xml:space="preserve">Naramerta</t>
  </si>
  <si>
    <t xml:space="preserve">Kertamanah</t>
  </si>
  <si>
    <t xml:space="preserve">ditiru</t>
  </si>
  <si>
    <t xml:space="preserve">kolam</t>
  </si>
  <si>
    <t xml:space="preserve">kecil</t>
  </si>
  <si>
    <t xml:space="preserve">permukiman</t>
  </si>
  <si>
    <t xml:space="preserve">tetap</t>
  </si>
  <si>
    <t xml:space="preserve">kering</t>
  </si>
  <si>
    <t xml:space="preserve">membahas</t>
  </si>
  <si>
    <t xml:space="preserve">potensi</t>
  </si>
  <si>
    <t xml:space="preserve">Nusalintang</t>
  </si>
  <si>
    <t xml:space="preserve">pekan</t>
  </si>
  <si>
    <t xml:space="preserve">depan</t>
  </si>
  <si>
    <t xml:space="preserve">sampai</t>
  </si>
  <si>
    <t xml:space="preserve">kini</t>
  </si>
  <si>
    <t xml:space="preserve">belum</t>
  </si>
  <si>
    <t xml:space="preserve">Kepala</t>
  </si>
  <si>
    <t xml:space="preserve">dusun</t>
  </si>
  <si>
    <t xml:space="preserve">membantah</t>
  </si>
  <si>
    <t xml:space="preserve">Girimadu</t>
  </si>
  <si>
    <t xml:space="preserve">pemeriksaan</t>
  </si>
  <si>
    <t xml:space="preserve">menemukan</t>
  </si>
  <si>
    <t xml:space="preserve">peristiwa</t>
  </si>
  <si>
    <t xml:space="preserve">menguraikan</t>
  </si>
  <si>
    <t xml:space="preserve">teori</t>
  </si>
  <si>
    <t xml:space="preserve">penyebab</t>
  </si>
  <si>
    <t xml:space="preserve">pelajaran</t>
  </si>
  <si>
    <t xml:space="preserve">tertentu</t>
  </si>
  <si>
    <t xml:space="preserve">berkata</t>
  </si>
  <si>
    <t xml:space="preserve">tokonya</t>
  </si>
  <si>
    <t xml:space="preserve">pesanan</t>
  </si>
  <si>
    <t xml:space="preserve">ungkapan</t>
  </si>
  <si>
    <t xml:space="preserve">berarti</t>
  </si>
  <si>
    <t xml:space="preserve">banyak</t>
  </si>
  <si>
    <t xml:space="preserve">pembeli</t>
  </si>
  <si>
    <t xml:space="preserve">Cerita</t>
  </si>
  <si>
    <t xml:space="preserve">pendek</t>
  </si>
  <si>
    <t xml:space="preserve">tentang</t>
  </si>
  <si>
    <t xml:space="preserve">negeri</t>
  </si>
  <si>
    <t xml:space="preserve">rekaan</t>
  </si>
  <si>
    <t xml:space="preserve">dibacakan</t>
  </si>
  <si>
    <t xml:space="preserve">kisahnya</t>
  </si>
  <si>
    <t xml:space="preserve">fiksi</t>
  </si>
  <si>
    <t xml:space="preserve">menyajikan</t>
  </si>
  <si>
    <t xml:space="preserve">statistik</t>
  </si>
  <si>
    <t xml:space="preserve">tahunan</t>
  </si>
  <si>
    <t xml:space="preserve">Gedung</t>
  </si>
  <si>
    <t xml:space="preserve">melaporkan</t>
  </si>
  <si>
    <t xml:space="preserve">baru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</si>
</sst>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72B3A"/>
      <name val="Arial"/>
      <family val="0"/>
      <charset val="1"/>
    </font>
    <font>
      <b val="true"/>
      <sz val="15"/>
      <color rgb="FF172B3A"/>
      <name val="Arial"/>
      <family val="0"/>
      <charset val="1"/>
    </font>
    <font>
      <i val="true"/>
      <sz val="10"/>
      <color rgb="FF52637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6E6"/>
      </patternFill>
    </fill>
    <fill>
      <patternFill patternType="solid">
        <fgColor rgb="FF18344B"/>
        <bgColor rgb="FF172B3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9BBC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ont>
        <b val="1"/>
        <color rgb="FF9A2424"/>
      </font>
      <fill>
        <patternFill>
          <bgColor rgb="FFFCE6E6"/>
        </patternFill>
      </fill>
    </dxf>
    <dxf>
      <fill>
        <patternFill patternType="solid">
          <fgColor rgb="FF1834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B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BBC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6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372"/>
      <rgbColor rgb="FF969696"/>
      <rgbColor rgb="FF18344B"/>
      <rgbColor rgb="FF339966"/>
      <rgbColor rgb="FF003300"/>
      <rgbColor rgb="FF333300"/>
      <rgbColor rgb="FF9A2424"/>
      <rgbColor rgb="FF993366"/>
      <rgbColor rgb="FF333399"/>
      <rgbColor rgb="FF17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lNarrativesV083" displayName="FinalNarrativesV083" ref="A5:K55" headerRowCount="1" totalsRowCount="0" totalsRowShown="0">
  <tableColumns count="11">
    <tableColumn id="1" name="ID"/>
    <tableColumn id="2" name="Narasi"/>
    <tableColumn id="3" name="Kategori"/>
    <tableColumn id="4" name="Lokasi"/>
    <tableColumn id="5" name="Waktu"/>
    <tableColumn id="6" name="Pihak"/>
    <tableColumn id="7" name="Dampak"/>
    <tableColumn id="8" name="Korban"/>
    <tableColumn id="9" name="Objek"/>
    <tableColumn id="10" name="Status"/>
    <tableColumn id="11" name="Catatan"/>
  </tableColumns>
</table>
</file>

<file path=xl/tables/table2.xml><?xml version="1.0" encoding="utf-8"?>
<table xmlns="http://schemas.openxmlformats.org/spreadsheetml/2006/main" id="2" name="FinalTokensV083" displayName="FinalTokensV083" ref="A5:D690" headerRowCount="1" totalsRowCount="0" totalsRowShown="0">
  <tableColumns count="4">
    <tableColumn id="1" name="ID"/>
    <tableColumn id="2" name="Posisi"/>
    <tableColumn id="3" name="Token"/>
    <tableColumn id="4" name="Label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344B"/>
    <pageSetUpPr fitToPage="false"/>
  </sheetPr>
  <dimension ref="A1:D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8"/>
  </cols>
  <sheetData>
    <row r="1" customFormat="false" ht="24" hidden="false" customHeight="true" outlineLevel="0" collapsed="false">
      <c r="A1" s="1"/>
      <c r="B1" s="1"/>
      <c r="C1" s="1"/>
      <c r="D1" s="1"/>
    </row>
    <row r="2" customFormat="false" ht="24" hidden="false" customHeight="true" outlineLevel="0" collapsed="false">
      <c r="A2" s="2" t="s">
        <v>0</v>
      </c>
      <c r="B2" s="3"/>
      <c r="C2" s="3"/>
      <c r="D2" s="3"/>
    </row>
    <row r="3" customFormat="false" ht="24" hidden="false" customHeight="true" outlineLevel="0" collapsed="false">
      <c r="A3" s="4" t="s">
        <v>1</v>
      </c>
      <c r="B3" s="1"/>
      <c r="C3" s="1"/>
      <c r="D3" s="1"/>
    </row>
    <row r="4" customFormat="false" ht="24" hidden="false" customHeight="true" outlineLevel="0" collapsed="false">
      <c r="A4" s="1"/>
      <c r="B4" s="1"/>
      <c r="C4" s="1"/>
      <c r="D4" s="1"/>
    </row>
    <row r="5" customFormat="false" ht="24" hidden="false" customHeight="true" outlineLevel="0" collapsed="false">
      <c r="A5" s="1" t="s">
        <v>2</v>
      </c>
      <c r="B5" s="5" t="s">
        <v>3</v>
      </c>
      <c r="C5" s="1"/>
      <c r="D5" s="1"/>
    </row>
    <row r="6" customFormat="false" ht="24" hidden="false" customHeight="true" outlineLevel="0" collapsed="false">
      <c r="A6" s="1" t="s">
        <v>4</v>
      </c>
      <c r="B6" s="1" t="s">
        <v>5</v>
      </c>
      <c r="C6" s="1"/>
      <c r="D6" s="1"/>
    </row>
    <row r="7" customFormat="false" ht="24" hidden="false" customHeight="true" outlineLevel="0" collapsed="false">
      <c r="A7" s="1"/>
      <c r="B7" s="1"/>
      <c r="C7" s="1"/>
      <c r="D7" s="1"/>
    </row>
    <row r="8" customFormat="false" ht="30" hidden="false" customHeight="true" outlineLevel="0" collapsed="false">
      <c r="A8" s="6" t="s">
        <v>6</v>
      </c>
      <c r="B8" s="6" t="s">
        <v>7</v>
      </c>
      <c r="C8" s="1"/>
      <c r="D8" s="1"/>
    </row>
    <row r="9" customFormat="false" ht="24" hidden="false" customHeight="true" outlineLevel="0" collapsed="false">
      <c r="A9" s="1" t="s">
        <v>8</v>
      </c>
      <c r="B9" s="1" t="n">
        <f aca="false">COUNTIF(Narasi!J6:J55,"APPROVED")</f>
        <v>50</v>
      </c>
      <c r="C9" s="1"/>
      <c r="D9" s="1"/>
    </row>
    <row r="10" customFormat="false" ht="24" hidden="false" customHeight="true" outlineLevel="0" collapsed="false">
      <c r="A10" s="1" t="s">
        <v>9</v>
      </c>
      <c r="B10" s="1" t="n">
        <f aca="false">COUNTIF(Narasi!J6:J55,"DEFERRED")</f>
        <v>0</v>
      </c>
      <c r="C10" s="1"/>
      <c r="D10" s="1"/>
    </row>
    <row r="11" customFormat="false" ht="24" hidden="false" customHeight="true" outlineLevel="0" collapsed="false">
      <c r="A11" s="1" t="s">
        <v>10</v>
      </c>
      <c r="B11" s="1" t="n">
        <f aca="false">COUNTIF(Narasi!J6:J55,"PENDING")</f>
        <v>0</v>
      </c>
      <c r="C11" s="1"/>
      <c r="D11" s="1"/>
    </row>
    <row r="12" customFormat="false" ht="24" hidden="false" customHeight="true" outlineLevel="0" collapsed="false">
      <c r="A12" s="1" t="s">
        <v>11</v>
      </c>
      <c r="B12" s="1" t="n">
        <f aca="false">COUNTA(Token!A6:A690)</f>
        <v>685</v>
      </c>
      <c r="C12" s="1"/>
      <c r="D12" s="1"/>
    </row>
    <row r="13" customFormat="false" ht="24" hidden="false" customHeight="true" outlineLevel="0" collapsed="false">
      <c r="A13" s="1"/>
      <c r="B13" s="1"/>
      <c r="C13" s="1"/>
      <c r="D13" s="1"/>
    </row>
    <row r="14" customFormat="false" ht="33.75" hidden="false" customHeight="true" outlineLevel="0" collapsed="false">
      <c r="A14" s="1" t="s">
        <v>12</v>
      </c>
      <c r="B14" s="1" t="str">
        <f aca="false">IF(AND(B5&lt;&gt;"",B9=50,B10=0,B11=0,MIN(B29:B33)&gt;=10,MIN(B37:B50)&gt;=1,COUNTBLANK(Token!D6:D690)=0),"SIAP VALIDASI","PERLU REVIEW ACUAN")</f>
        <v>SIAP VALIDASI</v>
      </c>
      <c r="C14" s="1"/>
      <c r="D14" s="1"/>
    </row>
    <row r="15" customFormat="false" ht="24" hidden="false" customHeight="true" outlineLevel="0" collapsed="false">
      <c r="A15" s="1"/>
      <c r="B15" s="1"/>
      <c r="C15" s="1"/>
      <c r="D15" s="1"/>
    </row>
    <row r="16" customFormat="false" ht="24" hidden="false" customHeight="true" outlineLevel="0" collapsed="false">
      <c r="A16" s="4" t="s">
        <v>13</v>
      </c>
      <c r="B16" s="1"/>
      <c r="C16" s="1"/>
      <c r="D16" s="1"/>
    </row>
    <row r="17" customFormat="false" ht="24" hidden="false" customHeight="true" outlineLevel="0" collapsed="false">
      <c r="A17" s="4" t="s">
        <v>14</v>
      </c>
      <c r="B17" s="1"/>
      <c r="C17" s="1"/>
      <c r="D17" s="1"/>
    </row>
    <row r="18" customFormat="false" ht="30" hidden="false" customHeight="true" outlineLevel="0" collapsed="false">
      <c r="A18" s="6" t="s">
        <v>15</v>
      </c>
      <c r="B18" s="6" t="s">
        <v>16</v>
      </c>
      <c r="C18" s="6" t="s">
        <v>17</v>
      </c>
      <c r="D18" s="6" t="s">
        <v>18</v>
      </c>
    </row>
    <row r="19" customFormat="false" ht="24" hidden="false" customHeight="true" outlineLevel="0" collapsed="false">
      <c r="A19" s="1" t="s">
        <v>19</v>
      </c>
      <c r="B19" s="7" t="n">
        <v>0.85</v>
      </c>
      <c r="C19" s="8" t="s">
        <v>20</v>
      </c>
      <c r="D19" s="1" t="s">
        <v>21</v>
      </c>
    </row>
    <row r="20" customFormat="false" ht="24" hidden="false" customHeight="true" outlineLevel="0" collapsed="false">
      <c r="A20" s="1" t="s">
        <v>22</v>
      </c>
      <c r="B20" s="7" t="n">
        <v>0.9</v>
      </c>
      <c r="C20" s="8" t="s">
        <v>20</v>
      </c>
      <c r="D20" s="1" t="s">
        <v>23</v>
      </c>
    </row>
    <row r="21" customFormat="false" ht="24" hidden="false" customHeight="true" outlineLevel="0" collapsed="false">
      <c r="A21" s="1" t="s">
        <v>24</v>
      </c>
      <c r="B21" s="7" t="n">
        <v>0.8</v>
      </c>
      <c r="C21" s="8" t="s">
        <v>20</v>
      </c>
      <c r="D21" s="1" t="s">
        <v>25</v>
      </c>
    </row>
    <row r="22" customFormat="false" ht="24" hidden="false" customHeight="true" outlineLevel="0" collapsed="false">
      <c r="A22" s="1" t="s">
        <v>26</v>
      </c>
      <c r="B22" s="7" t="n">
        <v>0.75</v>
      </c>
      <c r="C22" s="8" t="s">
        <v>20</v>
      </c>
      <c r="D22" s="1" t="s">
        <v>27</v>
      </c>
    </row>
    <row r="23" customFormat="false" ht="24" hidden="false" customHeight="true" outlineLevel="0" collapsed="false">
      <c r="A23" s="1" t="s">
        <v>28</v>
      </c>
      <c r="B23" s="7" t="n">
        <v>0.6</v>
      </c>
      <c r="C23" s="8" t="s">
        <v>20</v>
      </c>
      <c r="D23" s="1" t="s">
        <v>29</v>
      </c>
    </row>
    <row r="24" customFormat="false" ht="24" hidden="false" customHeight="true" outlineLevel="0" collapsed="false">
      <c r="A24" s="1" t="s">
        <v>30</v>
      </c>
      <c r="B24" s="7" t="n">
        <v>0.8</v>
      </c>
      <c r="C24" s="8" t="s">
        <v>20</v>
      </c>
      <c r="D24" s="1" t="s">
        <v>31</v>
      </c>
    </row>
    <row r="25" customFormat="false" ht="24" hidden="false" customHeight="true" outlineLevel="0" collapsed="false">
      <c r="A25" s="1" t="s">
        <v>32</v>
      </c>
      <c r="B25" s="7" t="n">
        <v>0.05</v>
      </c>
      <c r="C25" s="8" t="s">
        <v>33</v>
      </c>
      <c r="D25" s="1" t="s">
        <v>34</v>
      </c>
    </row>
    <row r="26" customFormat="false" ht="24" hidden="false" customHeight="true" outlineLevel="0" collapsed="false">
      <c r="A26" s="1"/>
      <c r="B26" s="1"/>
      <c r="C26" s="1"/>
      <c r="D26" s="1"/>
    </row>
    <row r="27" customFormat="false" ht="24" hidden="false" customHeight="true" outlineLevel="0" collapsed="false">
      <c r="A27" s="1"/>
      <c r="B27" s="1"/>
      <c r="C27" s="1"/>
      <c r="D27" s="1"/>
    </row>
    <row r="28" customFormat="false" ht="30" hidden="false" customHeight="true" outlineLevel="0" collapsed="false">
      <c r="A28" s="6" t="s">
        <v>35</v>
      </c>
      <c r="B28" s="6" t="s">
        <v>7</v>
      </c>
      <c r="C28" s="6" t="s">
        <v>36</v>
      </c>
      <c r="D28" s="1"/>
    </row>
    <row r="29" customFormat="false" ht="24" hidden="false" customHeight="true" outlineLevel="0" collapsed="false">
      <c r="A29" s="1" t="s">
        <v>37</v>
      </c>
      <c r="B29" s="1" t="n">
        <f aca="false">COUNTIFS(Narasi!C6:C55,"FLOOD",Narasi!J6:J55,"APPROVED")</f>
        <v>10</v>
      </c>
      <c r="C29" s="1" t="n">
        <v>10</v>
      </c>
      <c r="D29" s="1"/>
    </row>
    <row r="30" customFormat="false" ht="24" hidden="false" customHeight="true" outlineLevel="0" collapsed="false">
      <c r="A30" s="1" t="s">
        <v>38</v>
      </c>
      <c r="B30" s="1" t="n">
        <f aca="false">COUNTIFS(Narasi!C6:C55,"EARTHQUAKE",Narasi!J6:J55,"APPROVED")</f>
        <v>10</v>
      </c>
      <c r="C30" s="1" t="n">
        <v>10</v>
      </c>
      <c r="D30" s="1"/>
    </row>
    <row r="31" customFormat="false" ht="24" hidden="false" customHeight="true" outlineLevel="0" collapsed="false">
      <c r="A31" s="1" t="s">
        <v>39</v>
      </c>
      <c r="B31" s="1" t="n">
        <f aca="false">COUNTIFS(Narasi!C6:C55,"FIRE",Narasi!J6:J55,"APPROVED")</f>
        <v>10</v>
      </c>
      <c r="C31" s="1" t="n">
        <v>10</v>
      </c>
      <c r="D31" s="1"/>
    </row>
    <row r="32" customFormat="false" ht="24" hidden="false" customHeight="true" outlineLevel="0" collapsed="false">
      <c r="A32" s="1" t="s">
        <v>40</v>
      </c>
      <c r="B32" s="1" t="n">
        <f aca="false">COUNTIFS(Narasi!C6:C55,"ACCIDENT",Narasi!J6:J55,"APPROVED")</f>
        <v>10</v>
      </c>
      <c r="C32" s="1" t="n">
        <v>10</v>
      </c>
      <c r="D32" s="1"/>
    </row>
    <row r="33" customFormat="false" ht="24" hidden="false" customHeight="true" outlineLevel="0" collapsed="false">
      <c r="A33" s="1" t="s">
        <v>41</v>
      </c>
      <c r="B33" s="1" t="n">
        <f aca="false">COUNTIFS(Narasi!C6:C55,"NON_EVENT",Narasi!J6:J55,"APPROVED")</f>
        <v>10</v>
      </c>
      <c r="C33" s="1" t="n">
        <v>10</v>
      </c>
      <c r="D33" s="1"/>
    </row>
    <row r="34" customFormat="false" ht="24" hidden="false" customHeight="true" outlineLevel="0" collapsed="false">
      <c r="A34" s="1"/>
      <c r="B34" s="1"/>
      <c r="C34" s="1"/>
      <c r="D34" s="1"/>
    </row>
    <row r="35" customFormat="false" ht="24" hidden="false" customHeight="true" outlineLevel="0" collapsed="false">
      <c r="A35" s="1"/>
      <c r="B35" s="1"/>
      <c r="C35" s="1"/>
      <c r="D35" s="1"/>
    </row>
    <row r="36" customFormat="false" ht="30" hidden="false" customHeight="true" outlineLevel="0" collapsed="false">
      <c r="A36" s="6" t="s">
        <v>42</v>
      </c>
      <c r="B36" s="6" t="s">
        <v>43</v>
      </c>
      <c r="C36" s="6" t="s">
        <v>36</v>
      </c>
      <c r="D36" s="1"/>
    </row>
    <row r="37" customFormat="false" ht="24" hidden="false" customHeight="true" outlineLevel="0" collapsed="false">
      <c r="A37" s="1" t="s">
        <v>44</v>
      </c>
      <c r="B37" s="1" t="n">
        <f aca="false">COUNTIF(Token!D6:D690,"ACCIDENT-EVENT")</f>
        <v>10</v>
      </c>
      <c r="C37" s="1" t="n">
        <v>1</v>
      </c>
      <c r="D37" s="1"/>
    </row>
    <row r="38" customFormat="false" ht="24" hidden="false" customHeight="true" outlineLevel="0" collapsed="false">
      <c r="A38" s="1" t="s">
        <v>45</v>
      </c>
      <c r="B38" s="1" t="n">
        <f aca="false">COUNTIF(Token!D6:D690,"AFFECTEDOBJECTS-ARG")</f>
        <v>47</v>
      </c>
      <c r="C38" s="1" t="n">
        <v>1</v>
      </c>
      <c r="D38" s="1"/>
    </row>
    <row r="39" customFormat="false" ht="24" hidden="false" customHeight="true" outlineLevel="0" collapsed="false">
      <c r="A39" s="1" t="s">
        <v>46</v>
      </c>
      <c r="B39" s="1" t="n">
        <f aca="false">COUNTIF(Token!D6:D690,"DEATHVICTIM-ARG")</f>
        <v>12</v>
      </c>
      <c r="C39" s="1" t="n">
        <v>1</v>
      </c>
      <c r="D39" s="1"/>
    </row>
    <row r="40" customFormat="false" ht="24" hidden="false" customHeight="true" outlineLevel="0" collapsed="false">
      <c r="A40" s="1" t="s">
        <v>47</v>
      </c>
      <c r="B40" s="1" t="n">
        <f aca="false">COUNTIF(Token!D6:D690,"EARTHQUAKE-EVENT")</f>
        <v>11</v>
      </c>
      <c r="C40" s="1" t="n">
        <v>1</v>
      </c>
      <c r="D40" s="1"/>
    </row>
    <row r="41" customFormat="false" ht="24" hidden="false" customHeight="true" outlineLevel="0" collapsed="false">
      <c r="A41" s="1" t="s">
        <v>48</v>
      </c>
      <c r="B41" s="1" t="n">
        <f aca="false">COUNTIF(Token!D6:D690,"FALSE-EVENT")</f>
        <v>10</v>
      </c>
      <c r="C41" s="1" t="n">
        <v>1</v>
      </c>
      <c r="D41" s="1"/>
    </row>
    <row r="42" customFormat="false" ht="24" hidden="false" customHeight="true" outlineLevel="0" collapsed="false">
      <c r="A42" s="1" t="s">
        <v>49</v>
      </c>
      <c r="B42" s="1" t="n">
        <f aca="false">COUNTIF(Token!D6:D690,"FIRE-EVENT")</f>
        <v>10</v>
      </c>
      <c r="C42" s="1" t="n">
        <v>1</v>
      </c>
      <c r="D42" s="1"/>
    </row>
    <row r="43" customFormat="false" ht="24" hidden="false" customHeight="true" outlineLevel="0" collapsed="false">
      <c r="A43" s="1" t="s">
        <v>50</v>
      </c>
      <c r="B43" s="1" t="n">
        <f aca="false">COUNTIF(Token!D6:D690,"FLOOD-EVENT")</f>
        <v>10</v>
      </c>
      <c r="C43" s="1" t="n">
        <v>1</v>
      </c>
      <c r="D43" s="1"/>
    </row>
    <row r="44" customFormat="false" ht="24" hidden="false" customHeight="true" outlineLevel="0" collapsed="false">
      <c r="A44" s="1" t="s">
        <v>51</v>
      </c>
      <c r="B44" s="1" t="n">
        <f aca="false">COUNTIF(Token!D6:D690,"INFORMATION-ARG")</f>
        <v>50</v>
      </c>
      <c r="C44" s="1" t="n">
        <v>1</v>
      </c>
      <c r="D44" s="1"/>
    </row>
    <row r="45" customFormat="false" ht="24" hidden="false" customHeight="true" outlineLevel="0" collapsed="false">
      <c r="A45" s="1" t="s">
        <v>52</v>
      </c>
      <c r="B45" s="1" t="n">
        <f aca="false">COUNTIF(Token!D6:D690,"OFFICER-ARG")</f>
        <v>28</v>
      </c>
      <c r="C45" s="1" t="n">
        <v>1</v>
      </c>
      <c r="D45" s="1"/>
    </row>
    <row r="46" customFormat="false" ht="24" hidden="false" customHeight="true" outlineLevel="0" collapsed="false">
      <c r="A46" s="1" t="s">
        <v>53</v>
      </c>
      <c r="B46" s="1" t="n">
        <f aca="false">COUNTIF(Token!D6:D690,"PLACE-ARG")</f>
        <v>86</v>
      </c>
      <c r="C46" s="1" t="n">
        <v>1</v>
      </c>
      <c r="D46" s="1"/>
    </row>
    <row r="47" customFormat="false" ht="24" hidden="false" customHeight="true" outlineLevel="0" collapsed="false">
      <c r="A47" s="1" t="s">
        <v>54</v>
      </c>
      <c r="B47" s="1" t="n">
        <f aca="false">COUNTIF(Token!D6:D690,"REASON-ARG")</f>
        <v>9</v>
      </c>
      <c r="C47" s="1" t="n">
        <v>1</v>
      </c>
      <c r="D47" s="1"/>
    </row>
    <row r="48" customFormat="false" ht="24" hidden="false" customHeight="true" outlineLevel="0" collapsed="false">
      <c r="A48" s="1" t="s">
        <v>55</v>
      </c>
      <c r="B48" s="1" t="n">
        <f aca="false">COUNTIF(Token!D6:D690,"STREET-ARG")</f>
        <v>12</v>
      </c>
      <c r="C48" s="1" t="n">
        <v>1</v>
      </c>
      <c r="D48" s="1"/>
    </row>
    <row r="49" customFormat="false" ht="24" hidden="false" customHeight="true" outlineLevel="0" collapsed="false">
      <c r="A49" s="1" t="s">
        <v>56</v>
      </c>
      <c r="B49" s="1" t="n">
        <f aca="false">COUNTIF(Token!D6:D690,"TIME-ARG")</f>
        <v>102</v>
      </c>
      <c r="C49" s="1" t="n">
        <v>1</v>
      </c>
      <c r="D49" s="1"/>
    </row>
    <row r="50" customFormat="false" ht="24" hidden="false" customHeight="true" outlineLevel="0" collapsed="false">
      <c r="A50" s="1" t="s">
        <v>57</v>
      </c>
      <c r="B50" s="1" t="n">
        <f aca="false">COUNTIF(Token!D6:D690,"WOUNDVICTIM-ARG")</f>
        <v>16</v>
      </c>
      <c r="C50" s="1" t="n">
        <v>1</v>
      </c>
      <c r="D50" s="1"/>
    </row>
    <row r="51" customFormat="false" ht="24" hidden="false" customHeight="true" outlineLevel="0" collapsed="false">
      <c r="A51" s="1"/>
      <c r="B51" s="1"/>
      <c r="C51" s="1"/>
      <c r="D51" s="1"/>
    </row>
    <row r="52" customFormat="false" ht="24" hidden="false" customHeight="true" outlineLevel="0" collapsed="false">
      <c r="A52" s="4" t="s">
        <v>58</v>
      </c>
      <c r="B52" s="1"/>
      <c r="C52" s="1"/>
      <c r="D52" s="1"/>
    </row>
    <row r="53" customFormat="false" ht="24" hidden="false" customHeight="true" outlineLevel="0" collapsed="false">
      <c r="A53" s="4" t="s">
        <v>59</v>
      </c>
      <c r="B53" s="1"/>
      <c r="C53" s="1"/>
      <c r="D53" s="1"/>
    </row>
    <row r="54" customFormat="false" ht="24" hidden="false" customHeight="true" outlineLevel="0" collapsed="false">
      <c r="A54" s="1"/>
      <c r="B54" s="1"/>
      <c r="C54" s="1"/>
      <c r="D54" s="1"/>
    </row>
    <row r="55" customFormat="false" ht="24" hidden="false" customHeight="true" outlineLevel="0" collapsed="false">
      <c r="A55" s="4" t="s">
        <v>60</v>
      </c>
      <c r="B55" s="1"/>
      <c r="C55" s="1"/>
      <c r="D55" s="1"/>
    </row>
    <row r="56" customFormat="false" ht="24" hidden="false" customHeight="true" outlineLevel="0" collapsed="false">
      <c r="A56" s="1"/>
      <c r="B56" s="1"/>
      <c r="C56" s="1"/>
      <c r="D56" s="1"/>
    </row>
  </sheetData>
  <conditionalFormatting sqref="B14">
    <cfRule type="containsText" priority="2" operator="containsText" aboveAverage="0" equalAverage="0" bottom="0" percent="0" rank="0" text="PERLU" dxfId="0">
      <formula>NOT(ISERROR(SEARCH("PERLU",B14)))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5"/>
    <col collapsed="false" customWidth="true" hidden="false" outlineLevel="0" max="3" min="3" style="0" width="21"/>
    <col collapsed="false" customWidth="true" hidden="false" outlineLevel="0" max="4" min="4" style="0" width="35"/>
    <col collapsed="false" customWidth="true" hidden="false" outlineLevel="0" max="5" min="5" style="0" width="20"/>
    <col collapsed="false" customWidth="true" hidden="false" outlineLevel="0" max="6" min="6" style="0" width="27"/>
    <col collapsed="false" customWidth="true" hidden="false" outlineLevel="0" max="7" min="7" style="0" width="35"/>
    <col collapsed="false" customWidth="true" hidden="false" outlineLevel="0" max="8" min="8" style="0" width="33"/>
    <col collapsed="false" customWidth="true" hidden="false" outlineLevel="0" max="9" min="9" style="0" width="27"/>
    <col collapsed="false" customWidth="true" hidden="false" outlineLevel="0" max="10" min="10" style="0" width="18"/>
    <col collapsed="false" customWidth="true" hidden="false" outlineLevel="0" max="11" min="11" style="0" width="48"/>
  </cols>
  <sheetData>
    <row r="1" customFormat="false" ht="24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">
        <v>61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4" hidden="false" customHeight="true" outlineLevel="0" collapsed="false">
      <c r="A3" s="4" t="s">
        <v>62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24" hidden="false" customHeight="true" outlineLevel="0" collapsed="false">
      <c r="A4" s="4" t="s">
        <v>63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30" hidden="false" customHeight="true" outlineLevel="0" collapsed="false">
      <c r="A5" s="6" t="s">
        <v>64</v>
      </c>
      <c r="B5" s="6" t="s">
        <v>65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70</v>
      </c>
      <c r="H5" s="6" t="s">
        <v>71</v>
      </c>
      <c r="I5" s="6" t="s">
        <v>72</v>
      </c>
      <c r="J5" s="6" t="s">
        <v>73</v>
      </c>
      <c r="K5" s="6" t="s">
        <v>74</v>
      </c>
    </row>
    <row r="6" customFormat="false" ht="64.5" hidden="false" customHeight="true" outlineLevel="0" collapsed="false">
      <c r="A6" s="1" t="s">
        <v>75</v>
      </c>
      <c r="B6" s="9" t="s">
        <v>76</v>
      </c>
      <c r="C6" s="10" t="s">
        <v>37</v>
      </c>
      <c r="D6" s="10" t="s">
        <v>77</v>
      </c>
      <c r="E6" s="10" t="s">
        <v>78</v>
      </c>
      <c r="F6" s="10"/>
      <c r="G6" s="10" t="s">
        <v>79</v>
      </c>
      <c r="H6" s="10"/>
      <c r="I6" s="10" t="s">
        <v>80</v>
      </c>
      <c r="J6" s="10" t="s">
        <v>8</v>
      </c>
      <c r="K6" s="10"/>
    </row>
    <row r="7" customFormat="false" ht="64.5" hidden="false" customHeight="true" outlineLevel="0" collapsed="false">
      <c r="A7" s="1" t="s">
        <v>81</v>
      </c>
      <c r="B7" s="9" t="s">
        <v>82</v>
      </c>
      <c r="C7" s="10" t="s">
        <v>37</v>
      </c>
      <c r="D7" s="10" t="s">
        <v>83</v>
      </c>
      <c r="E7" s="10" t="s">
        <v>84</v>
      </c>
      <c r="F7" s="10"/>
      <c r="G7" s="10" t="s">
        <v>85</v>
      </c>
      <c r="H7" s="10"/>
      <c r="I7" s="10" t="s">
        <v>86</v>
      </c>
      <c r="J7" s="10" t="s">
        <v>8</v>
      </c>
      <c r="K7" s="10"/>
    </row>
    <row r="8" customFormat="false" ht="64.5" hidden="false" customHeight="true" outlineLevel="0" collapsed="false">
      <c r="A8" s="1" t="s">
        <v>87</v>
      </c>
      <c r="B8" s="9" t="s">
        <v>88</v>
      </c>
      <c r="C8" s="10" t="s">
        <v>37</v>
      </c>
      <c r="D8" s="10" t="s">
        <v>89</v>
      </c>
      <c r="E8" s="10" t="s">
        <v>90</v>
      </c>
      <c r="F8" s="10" t="s">
        <v>91</v>
      </c>
      <c r="G8" s="10" t="s">
        <v>92</v>
      </c>
      <c r="H8" s="10"/>
      <c r="I8" s="10"/>
      <c r="J8" s="10" t="s">
        <v>8</v>
      </c>
      <c r="K8" s="10"/>
    </row>
    <row r="9" customFormat="false" ht="64.5" hidden="false" customHeight="true" outlineLevel="0" collapsed="false">
      <c r="A9" s="1" t="s">
        <v>93</v>
      </c>
      <c r="B9" s="9" t="s">
        <v>94</v>
      </c>
      <c r="C9" s="10" t="s">
        <v>37</v>
      </c>
      <c r="D9" s="10" t="s">
        <v>95</v>
      </c>
      <c r="E9" s="10" t="s">
        <v>96</v>
      </c>
      <c r="F9" s="10" t="s">
        <v>97</v>
      </c>
      <c r="G9" s="10" t="s">
        <v>98</v>
      </c>
      <c r="H9" s="10"/>
      <c r="I9" s="10" t="s">
        <v>99</v>
      </c>
      <c r="J9" s="10" t="s">
        <v>8</v>
      </c>
      <c r="K9" s="10" t="s">
        <v>100</v>
      </c>
    </row>
    <row r="10" customFormat="false" ht="64.5" hidden="false" customHeight="true" outlineLevel="0" collapsed="false">
      <c r="A10" s="1" t="s">
        <v>101</v>
      </c>
      <c r="B10" s="9" t="s">
        <v>102</v>
      </c>
      <c r="C10" s="10" t="s">
        <v>37</v>
      </c>
      <c r="D10" s="10" t="s">
        <v>103</v>
      </c>
      <c r="E10" s="10" t="s">
        <v>104</v>
      </c>
      <c r="F10" s="10" t="s">
        <v>105</v>
      </c>
      <c r="G10" s="10"/>
      <c r="H10" s="10"/>
      <c r="I10" s="10"/>
      <c r="J10" s="10" t="s">
        <v>8</v>
      </c>
      <c r="K10" s="10"/>
    </row>
    <row r="11" customFormat="false" ht="64.5" hidden="false" customHeight="true" outlineLevel="0" collapsed="false">
      <c r="A11" s="1" t="s">
        <v>106</v>
      </c>
      <c r="B11" s="9" t="s">
        <v>107</v>
      </c>
      <c r="C11" s="10" t="s">
        <v>37</v>
      </c>
      <c r="D11" s="10" t="s">
        <v>108</v>
      </c>
      <c r="E11" s="10" t="s">
        <v>109</v>
      </c>
      <c r="F11" s="10"/>
      <c r="G11" s="10" t="s">
        <v>110</v>
      </c>
      <c r="H11" s="10"/>
      <c r="I11" s="10" t="s">
        <v>111</v>
      </c>
      <c r="J11" s="10" t="s">
        <v>8</v>
      </c>
      <c r="K11" s="10"/>
    </row>
    <row r="12" customFormat="false" ht="64.5" hidden="false" customHeight="true" outlineLevel="0" collapsed="false">
      <c r="A12" s="1" t="s">
        <v>112</v>
      </c>
      <c r="B12" s="9" t="s">
        <v>113</v>
      </c>
      <c r="C12" s="10" t="s">
        <v>37</v>
      </c>
      <c r="D12" s="10" t="s">
        <v>114</v>
      </c>
      <c r="E12" s="10" t="s">
        <v>115</v>
      </c>
      <c r="F12" s="10" t="s">
        <v>116</v>
      </c>
      <c r="G12" s="10"/>
      <c r="H12" s="10" t="s">
        <v>117</v>
      </c>
      <c r="I12" s="10"/>
      <c r="J12" s="10" t="s">
        <v>8</v>
      </c>
      <c r="K12" s="10"/>
    </row>
    <row r="13" customFormat="false" ht="64.5" hidden="false" customHeight="true" outlineLevel="0" collapsed="false">
      <c r="A13" s="1" t="s">
        <v>118</v>
      </c>
      <c r="B13" s="9" t="s">
        <v>119</v>
      </c>
      <c r="C13" s="10" t="s">
        <v>37</v>
      </c>
      <c r="D13" s="10" t="s">
        <v>120</v>
      </c>
      <c r="E13" s="10" t="s">
        <v>121</v>
      </c>
      <c r="F13" s="10" t="s">
        <v>122</v>
      </c>
      <c r="G13" s="10"/>
      <c r="H13" s="10" t="s">
        <v>123</v>
      </c>
      <c r="I13" s="10"/>
      <c r="J13" s="10" t="s">
        <v>8</v>
      </c>
      <c r="K13" s="10"/>
    </row>
    <row r="14" customFormat="false" ht="64.5" hidden="false" customHeight="true" outlineLevel="0" collapsed="false">
      <c r="A14" s="1" t="s">
        <v>124</v>
      </c>
      <c r="B14" s="9" t="s">
        <v>125</v>
      </c>
      <c r="C14" s="10" t="s">
        <v>37</v>
      </c>
      <c r="D14" s="10" t="s">
        <v>126</v>
      </c>
      <c r="E14" s="10" t="s">
        <v>127</v>
      </c>
      <c r="F14" s="10"/>
      <c r="G14" s="10" t="s">
        <v>128</v>
      </c>
      <c r="H14" s="10"/>
      <c r="I14" s="10" t="s">
        <v>129</v>
      </c>
      <c r="J14" s="10" t="s">
        <v>8</v>
      </c>
      <c r="K14" s="10"/>
    </row>
    <row r="15" customFormat="false" ht="64.5" hidden="false" customHeight="true" outlineLevel="0" collapsed="false">
      <c r="A15" s="1" t="s">
        <v>130</v>
      </c>
      <c r="B15" s="9" t="s">
        <v>131</v>
      </c>
      <c r="C15" s="10" t="s">
        <v>37</v>
      </c>
      <c r="D15" s="10" t="s">
        <v>132</v>
      </c>
      <c r="E15" s="10" t="s">
        <v>133</v>
      </c>
      <c r="F15" s="10"/>
      <c r="G15" s="10" t="s">
        <v>134</v>
      </c>
      <c r="H15" s="10"/>
      <c r="I15" s="10" t="s">
        <v>135</v>
      </c>
      <c r="J15" s="10" t="s">
        <v>8</v>
      </c>
      <c r="K15" s="10"/>
    </row>
    <row r="16" customFormat="false" ht="64.5" hidden="false" customHeight="true" outlineLevel="0" collapsed="false">
      <c r="A16" s="1" t="s">
        <v>136</v>
      </c>
      <c r="B16" s="9" t="s">
        <v>137</v>
      </c>
      <c r="C16" s="10" t="s">
        <v>38</v>
      </c>
      <c r="D16" s="10" t="s">
        <v>138</v>
      </c>
      <c r="E16" s="10" t="s">
        <v>139</v>
      </c>
      <c r="F16" s="10" t="s">
        <v>140</v>
      </c>
      <c r="G16" s="10" t="s">
        <v>141</v>
      </c>
      <c r="H16" s="10"/>
      <c r="I16" s="10"/>
      <c r="J16" s="10" t="s">
        <v>8</v>
      </c>
      <c r="K16" s="10" t="s">
        <v>142</v>
      </c>
    </row>
    <row r="17" customFormat="false" ht="64.5" hidden="false" customHeight="true" outlineLevel="0" collapsed="false">
      <c r="A17" s="1" t="s">
        <v>143</v>
      </c>
      <c r="B17" s="9" t="s">
        <v>144</v>
      </c>
      <c r="C17" s="10" t="s">
        <v>38</v>
      </c>
      <c r="D17" s="10" t="s">
        <v>145</v>
      </c>
      <c r="E17" s="10" t="s">
        <v>146</v>
      </c>
      <c r="F17" s="10"/>
      <c r="G17" s="10" t="s">
        <v>147</v>
      </c>
      <c r="H17" s="10"/>
      <c r="I17" s="10" t="s">
        <v>148</v>
      </c>
      <c r="J17" s="10" t="s">
        <v>8</v>
      </c>
      <c r="K17" s="10"/>
    </row>
    <row r="18" customFormat="false" ht="64.5" hidden="false" customHeight="true" outlineLevel="0" collapsed="false">
      <c r="A18" s="1" t="s">
        <v>149</v>
      </c>
      <c r="B18" s="9" t="s">
        <v>150</v>
      </c>
      <c r="C18" s="10" t="s">
        <v>38</v>
      </c>
      <c r="D18" s="10" t="s">
        <v>151</v>
      </c>
      <c r="E18" s="10" t="s">
        <v>121</v>
      </c>
      <c r="F18" s="10" t="s">
        <v>152</v>
      </c>
      <c r="G18" s="10" t="s">
        <v>153</v>
      </c>
      <c r="H18" s="10"/>
      <c r="I18" s="10"/>
      <c r="J18" s="10" t="s">
        <v>8</v>
      </c>
      <c r="K18" s="10"/>
    </row>
    <row r="19" customFormat="false" ht="64.5" hidden="false" customHeight="true" outlineLevel="0" collapsed="false">
      <c r="A19" s="1" t="s">
        <v>154</v>
      </c>
      <c r="B19" s="9" t="s">
        <v>155</v>
      </c>
      <c r="C19" s="10" t="s">
        <v>38</v>
      </c>
      <c r="D19" s="10" t="s">
        <v>156</v>
      </c>
      <c r="E19" s="10" t="s">
        <v>109</v>
      </c>
      <c r="F19" s="10" t="s">
        <v>157</v>
      </c>
      <c r="G19" s="10" t="s">
        <v>158</v>
      </c>
      <c r="H19" s="10"/>
      <c r="I19" s="10" t="s">
        <v>159</v>
      </c>
      <c r="J19" s="10" t="s">
        <v>8</v>
      </c>
      <c r="K19" s="10" t="s">
        <v>160</v>
      </c>
    </row>
    <row r="20" customFormat="false" ht="64.5" hidden="false" customHeight="true" outlineLevel="0" collapsed="false">
      <c r="A20" s="1" t="s">
        <v>161</v>
      </c>
      <c r="B20" s="9" t="s">
        <v>162</v>
      </c>
      <c r="C20" s="10" t="s">
        <v>38</v>
      </c>
      <c r="D20" s="10" t="s">
        <v>163</v>
      </c>
      <c r="E20" s="10" t="s">
        <v>164</v>
      </c>
      <c r="F20" s="10" t="s">
        <v>165</v>
      </c>
      <c r="G20" s="10" t="s">
        <v>166</v>
      </c>
      <c r="H20" s="10"/>
      <c r="I20" s="10" t="s">
        <v>167</v>
      </c>
      <c r="J20" s="10" t="s">
        <v>8</v>
      </c>
      <c r="K20" s="10"/>
    </row>
    <row r="21" customFormat="false" ht="64.5" hidden="false" customHeight="true" outlineLevel="0" collapsed="false">
      <c r="A21" s="1" t="s">
        <v>168</v>
      </c>
      <c r="B21" s="9" t="s">
        <v>169</v>
      </c>
      <c r="C21" s="10" t="s">
        <v>38</v>
      </c>
      <c r="D21" s="10" t="s">
        <v>170</v>
      </c>
      <c r="E21" s="10" t="s">
        <v>127</v>
      </c>
      <c r="F21" s="10"/>
      <c r="G21" s="10" t="s">
        <v>171</v>
      </c>
      <c r="H21" s="10"/>
      <c r="I21" s="10" t="s">
        <v>172</v>
      </c>
      <c r="J21" s="10" t="s">
        <v>8</v>
      </c>
      <c r="K21" s="10"/>
    </row>
    <row r="22" customFormat="false" ht="64.5" hidden="false" customHeight="true" outlineLevel="0" collapsed="false">
      <c r="A22" s="1" t="s">
        <v>173</v>
      </c>
      <c r="B22" s="9" t="s">
        <v>174</v>
      </c>
      <c r="C22" s="10" t="s">
        <v>38</v>
      </c>
      <c r="D22" s="10" t="s">
        <v>175</v>
      </c>
      <c r="E22" s="10" t="s">
        <v>176</v>
      </c>
      <c r="F22" s="10" t="s">
        <v>177</v>
      </c>
      <c r="G22" s="10"/>
      <c r="H22" s="10" t="s">
        <v>178</v>
      </c>
      <c r="I22" s="10"/>
      <c r="J22" s="10" t="s">
        <v>8</v>
      </c>
      <c r="K22" s="10"/>
    </row>
    <row r="23" customFormat="false" ht="64.5" hidden="false" customHeight="true" outlineLevel="0" collapsed="false">
      <c r="A23" s="1" t="s">
        <v>179</v>
      </c>
      <c r="B23" s="9" t="s">
        <v>180</v>
      </c>
      <c r="C23" s="10" t="s">
        <v>38</v>
      </c>
      <c r="D23" s="10" t="s">
        <v>181</v>
      </c>
      <c r="E23" s="10" t="s">
        <v>182</v>
      </c>
      <c r="F23" s="10" t="s">
        <v>183</v>
      </c>
      <c r="G23" s="10"/>
      <c r="H23" s="10" t="s">
        <v>184</v>
      </c>
      <c r="I23" s="10"/>
      <c r="J23" s="10" t="s">
        <v>8</v>
      </c>
      <c r="K23" s="10"/>
    </row>
    <row r="24" customFormat="false" ht="64.5" hidden="false" customHeight="true" outlineLevel="0" collapsed="false">
      <c r="A24" s="1" t="s">
        <v>185</v>
      </c>
      <c r="B24" s="9" t="s">
        <v>186</v>
      </c>
      <c r="C24" s="10" t="s">
        <v>38</v>
      </c>
      <c r="D24" s="10" t="s">
        <v>187</v>
      </c>
      <c r="E24" s="10" t="s">
        <v>96</v>
      </c>
      <c r="F24" s="10"/>
      <c r="G24" s="10" t="s">
        <v>188</v>
      </c>
      <c r="H24" s="10"/>
      <c r="I24" s="10" t="s">
        <v>189</v>
      </c>
      <c r="J24" s="10" t="s">
        <v>8</v>
      </c>
      <c r="K24" s="10"/>
    </row>
    <row r="25" customFormat="false" ht="64.5" hidden="false" customHeight="true" outlineLevel="0" collapsed="false">
      <c r="A25" s="1" t="s">
        <v>190</v>
      </c>
      <c r="B25" s="9" t="s">
        <v>191</v>
      </c>
      <c r="C25" s="10" t="s">
        <v>38</v>
      </c>
      <c r="D25" s="10" t="s">
        <v>192</v>
      </c>
      <c r="E25" s="10" t="s">
        <v>104</v>
      </c>
      <c r="F25" s="10" t="s">
        <v>140</v>
      </c>
      <c r="G25" s="10" t="s">
        <v>193</v>
      </c>
      <c r="H25" s="10"/>
      <c r="I25" s="10"/>
      <c r="J25" s="10" t="s">
        <v>8</v>
      </c>
      <c r="K25" s="10" t="s">
        <v>194</v>
      </c>
    </row>
    <row r="26" customFormat="false" ht="64.5" hidden="false" customHeight="true" outlineLevel="0" collapsed="false">
      <c r="A26" s="1" t="s">
        <v>195</v>
      </c>
      <c r="B26" s="9" t="s">
        <v>196</v>
      </c>
      <c r="C26" s="10" t="s">
        <v>39</v>
      </c>
      <c r="D26" s="10" t="s">
        <v>197</v>
      </c>
      <c r="E26" s="10" t="s">
        <v>198</v>
      </c>
      <c r="F26" s="10"/>
      <c r="G26" s="10" t="s">
        <v>199</v>
      </c>
      <c r="H26" s="10"/>
      <c r="I26" s="10" t="s">
        <v>200</v>
      </c>
      <c r="J26" s="10" t="s">
        <v>8</v>
      </c>
      <c r="K26" s="10"/>
    </row>
    <row r="27" customFormat="false" ht="64.5" hidden="false" customHeight="true" outlineLevel="0" collapsed="false">
      <c r="A27" s="1" t="s">
        <v>201</v>
      </c>
      <c r="B27" s="9" t="s">
        <v>202</v>
      </c>
      <c r="C27" s="10" t="s">
        <v>39</v>
      </c>
      <c r="D27" s="10" t="s">
        <v>203</v>
      </c>
      <c r="E27" s="10" t="s">
        <v>204</v>
      </c>
      <c r="F27" s="10"/>
      <c r="G27" s="10" t="s">
        <v>205</v>
      </c>
      <c r="H27" s="10"/>
      <c r="I27" s="10" t="s">
        <v>206</v>
      </c>
      <c r="J27" s="10" t="s">
        <v>8</v>
      </c>
      <c r="K27" s="10"/>
    </row>
    <row r="28" customFormat="false" ht="64.5" hidden="false" customHeight="true" outlineLevel="0" collapsed="false">
      <c r="A28" s="1" t="s">
        <v>207</v>
      </c>
      <c r="B28" s="9" t="s">
        <v>208</v>
      </c>
      <c r="C28" s="10" t="s">
        <v>39</v>
      </c>
      <c r="D28" s="10" t="s">
        <v>209</v>
      </c>
      <c r="E28" s="10" t="s">
        <v>139</v>
      </c>
      <c r="F28" s="10" t="s">
        <v>210</v>
      </c>
      <c r="G28" s="10" t="s">
        <v>211</v>
      </c>
      <c r="H28" s="10"/>
      <c r="I28" s="10"/>
      <c r="J28" s="10" t="s">
        <v>8</v>
      </c>
      <c r="K28" s="10"/>
    </row>
    <row r="29" customFormat="false" ht="64.5" hidden="false" customHeight="true" outlineLevel="0" collapsed="false">
      <c r="A29" s="1" t="s">
        <v>212</v>
      </c>
      <c r="B29" s="9" t="s">
        <v>213</v>
      </c>
      <c r="C29" s="10" t="s">
        <v>39</v>
      </c>
      <c r="D29" s="10" t="s">
        <v>214</v>
      </c>
      <c r="E29" s="10" t="s">
        <v>90</v>
      </c>
      <c r="F29" s="10"/>
      <c r="G29" s="10" t="s">
        <v>215</v>
      </c>
      <c r="H29" s="10"/>
      <c r="I29" s="10" t="s">
        <v>216</v>
      </c>
      <c r="J29" s="10" t="s">
        <v>8</v>
      </c>
      <c r="K29" s="10"/>
    </row>
    <row r="30" customFormat="false" ht="64.5" hidden="false" customHeight="true" outlineLevel="0" collapsed="false">
      <c r="A30" s="1" t="s">
        <v>217</v>
      </c>
      <c r="B30" s="9" t="s">
        <v>218</v>
      </c>
      <c r="C30" s="10" t="s">
        <v>39</v>
      </c>
      <c r="D30" s="10" t="s">
        <v>219</v>
      </c>
      <c r="E30" s="10" t="s">
        <v>164</v>
      </c>
      <c r="F30" s="10" t="s">
        <v>220</v>
      </c>
      <c r="G30" s="10"/>
      <c r="H30" s="10"/>
      <c r="I30" s="10"/>
      <c r="J30" s="10" t="s">
        <v>8</v>
      </c>
      <c r="K30" s="10"/>
    </row>
    <row r="31" customFormat="false" ht="64.5" hidden="false" customHeight="true" outlineLevel="0" collapsed="false">
      <c r="A31" s="1" t="s">
        <v>221</v>
      </c>
      <c r="B31" s="9" t="s">
        <v>222</v>
      </c>
      <c r="C31" s="10" t="s">
        <v>39</v>
      </c>
      <c r="D31" s="10" t="s">
        <v>223</v>
      </c>
      <c r="E31" s="10" t="s">
        <v>96</v>
      </c>
      <c r="F31" s="10"/>
      <c r="G31" s="10" t="s">
        <v>224</v>
      </c>
      <c r="H31" s="10"/>
      <c r="I31" s="10" t="s">
        <v>225</v>
      </c>
      <c r="J31" s="10" t="s">
        <v>8</v>
      </c>
      <c r="K31" s="10"/>
    </row>
    <row r="32" customFormat="false" ht="64.5" hidden="false" customHeight="true" outlineLevel="0" collapsed="false">
      <c r="A32" s="1" t="s">
        <v>226</v>
      </c>
      <c r="B32" s="9" t="s">
        <v>227</v>
      </c>
      <c r="C32" s="10" t="s">
        <v>39</v>
      </c>
      <c r="D32" s="10" t="s">
        <v>228</v>
      </c>
      <c r="E32" s="10" t="s">
        <v>146</v>
      </c>
      <c r="F32" s="10" t="s">
        <v>229</v>
      </c>
      <c r="G32" s="10"/>
      <c r="H32" s="10" t="s">
        <v>230</v>
      </c>
      <c r="I32" s="10"/>
      <c r="J32" s="10" t="s">
        <v>8</v>
      </c>
      <c r="K32" s="10"/>
    </row>
    <row r="33" customFormat="false" ht="64.5" hidden="false" customHeight="true" outlineLevel="0" collapsed="false">
      <c r="A33" s="1" t="s">
        <v>231</v>
      </c>
      <c r="B33" s="9" t="s">
        <v>232</v>
      </c>
      <c r="C33" s="10" t="s">
        <v>39</v>
      </c>
      <c r="D33" s="10" t="s">
        <v>233</v>
      </c>
      <c r="E33" s="10" t="s">
        <v>84</v>
      </c>
      <c r="F33" s="10" t="s">
        <v>234</v>
      </c>
      <c r="G33" s="10"/>
      <c r="H33" s="10" t="s">
        <v>235</v>
      </c>
      <c r="I33" s="10"/>
      <c r="J33" s="10" t="s">
        <v>8</v>
      </c>
      <c r="K33" s="10"/>
    </row>
    <row r="34" customFormat="false" ht="64.5" hidden="false" customHeight="true" outlineLevel="0" collapsed="false">
      <c r="A34" s="1" t="s">
        <v>236</v>
      </c>
      <c r="B34" s="9" t="s">
        <v>237</v>
      </c>
      <c r="C34" s="10" t="s">
        <v>39</v>
      </c>
      <c r="D34" s="10" t="s">
        <v>238</v>
      </c>
      <c r="E34" s="10" t="s">
        <v>109</v>
      </c>
      <c r="F34" s="10"/>
      <c r="G34" s="10" t="s">
        <v>239</v>
      </c>
      <c r="H34" s="10"/>
      <c r="I34" s="10" t="s">
        <v>240</v>
      </c>
      <c r="J34" s="10" t="s">
        <v>8</v>
      </c>
      <c r="K34" s="10"/>
    </row>
    <row r="35" customFormat="false" ht="64.5" hidden="false" customHeight="true" outlineLevel="0" collapsed="false">
      <c r="A35" s="1" t="s">
        <v>241</v>
      </c>
      <c r="B35" s="9" t="s">
        <v>242</v>
      </c>
      <c r="C35" s="10" t="s">
        <v>39</v>
      </c>
      <c r="D35" s="10" t="s">
        <v>243</v>
      </c>
      <c r="E35" s="10" t="s">
        <v>244</v>
      </c>
      <c r="F35" s="10"/>
      <c r="G35" s="10" t="s">
        <v>245</v>
      </c>
      <c r="H35" s="10"/>
      <c r="I35" s="10" t="s">
        <v>246</v>
      </c>
      <c r="J35" s="10" t="s">
        <v>8</v>
      </c>
      <c r="K35" s="10"/>
    </row>
    <row r="36" customFormat="false" ht="64.5" hidden="false" customHeight="true" outlineLevel="0" collapsed="false">
      <c r="A36" s="1" t="s">
        <v>247</v>
      </c>
      <c r="B36" s="9" t="s">
        <v>248</v>
      </c>
      <c r="C36" s="10" t="s">
        <v>40</v>
      </c>
      <c r="D36" s="10" t="s">
        <v>249</v>
      </c>
      <c r="E36" s="10" t="s">
        <v>121</v>
      </c>
      <c r="F36" s="10"/>
      <c r="G36" s="10" t="s">
        <v>250</v>
      </c>
      <c r="H36" s="10"/>
      <c r="I36" s="10" t="s">
        <v>251</v>
      </c>
      <c r="J36" s="10" t="s">
        <v>8</v>
      </c>
      <c r="K36" s="10"/>
    </row>
    <row r="37" customFormat="false" ht="64.5" hidden="false" customHeight="true" outlineLevel="0" collapsed="false">
      <c r="A37" s="1" t="s">
        <v>252</v>
      </c>
      <c r="B37" s="9" t="s">
        <v>253</v>
      </c>
      <c r="C37" s="10" t="s">
        <v>40</v>
      </c>
      <c r="D37" s="10" t="s">
        <v>254</v>
      </c>
      <c r="E37" s="10" t="s">
        <v>139</v>
      </c>
      <c r="F37" s="10"/>
      <c r="G37" s="10" t="s">
        <v>255</v>
      </c>
      <c r="H37" s="10"/>
      <c r="I37" s="10" t="s">
        <v>256</v>
      </c>
      <c r="J37" s="10" t="s">
        <v>8</v>
      </c>
      <c r="K37" s="10"/>
    </row>
    <row r="38" customFormat="false" ht="64.5" hidden="false" customHeight="true" outlineLevel="0" collapsed="false">
      <c r="A38" s="1" t="s">
        <v>257</v>
      </c>
      <c r="B38" s="9" t="s">
        <v>258</v>
      </c>
      <c r="C38" s="10" t="s">
        <v>40</v>
      </c>
      <c r="D38" s="10" t="s">
        <v>259</v>
      </c>
      <c r="E38" s="10" t="s">
        <v>204</v>
      </c>
      <c r="F38" s="10" t="s">
        <v>260</v>
      </c>
      <c r="G38" s="10" t="s">
        <v>261</v>
      </c>
      <c r="H38" s="10"/>
      <c r="I38" s="10"/>
      <c r="J38" s="10" t="s">
        <v>8</v>
      </c>
      <c r="K38" s="10"/>
    </row>
    <row r="39" customFormat="false" ht="64.5" hidden="false" customHeight="true" outlineLevel="0" collapsed="false">
      <c r="A39" s="1" t="s">
        <v>262</v>
      </c>
      <c r="B39" s="9" t="s">
        <v>263</v>
      </c>
      <c r="C39" s="10" t="s">
        <v>40</v>
      </c>
      <c r="D39" s="10" t="s">
        <v>264</v>
      </c>
      <c r="E39" s="10" t="s">
        <v>96</v>
      </c>
      <c r="F39" s="10"/>
      <c r="G39" s="10" t="s">
        <v>265</v>
      </c>
      <c r="H39" s="10"/>
      <c r="I39" s="10" t="s">
        <v>266</v>
      </c>
      <c r="J39" s="10" t="s">
        <v>8</v>
      </c>
      <c r="K39" s="10" t="s">
        <v>267</v>
      </c>
    </row>
    <row r="40" customFormat="false" ht="64.5" hidden="false" customHeight="true" outlineLevel="0" collapsed="false">
      <c r="A40" s="1" t="s">
        <v>268</v>
      </c>
      <c r="B40" s="9" t="s">
        <v>269</v>
      </c>
      <c r="C40" s="10" t="s">
        <v>40</v>
      </c>
      <c r="D40" s="10" t="s">
        <v>270</v>
      </c>
      <c r="E40" s="10" t="s">
        <v>90</v>
      </c>
      <c r="F40" s="10" t="s">
        <v>271</v>
      </c>
      <c r="G40" s="10" t="s">
        <v>272</v>
      </c>
      <c r="H40" s="10" t="s">
        <v>273</v>
      </c>
      <c r="I40" s="10"/>
      <c r="J40" s="10" t="s">
        <v>8</v>
      </c>
      <c r="K40" s="10" t="s">
        <v>274</v>
      </c>
    </row>
    <row r="41" customFormat="false" ht="64.5" hidden="false" customHeight="true" outlineLevel="0" collapsed="false">
      <c r="A41" s="1" t="s">
        <v>275</v>
      </c>
      <c r="B41" s="9" t="s">
        <v>276</v>
      </c>
      <c r="C41" s="10" t="s">
        <v>40</v>
      </c>
      <c r="D41" s="10" t="s">
        <v>277</v>
      </c>
      <c r="E41" s="10" t="s">
        <v>182</v>
      </c>
      <c r="F41" s="10"/>
      <c r="G41" s="10" t="s">
        <v>278</v>
      </c>
      <c r="H41" s="10"/>
      <c r="I41" s="10" t="s">
        <v>279</v>
      </c>
      <c r="J41" s="10" t="s">
        <v>8</v>
      </c>
      <c r="K41" s="10"/>
    </row>
    <row r="42" customFormat="false" ht="64.5" hidden="false" customHeight="true" outlineLevel="0" collapsed="false">
      <c r="A42" s="1" t="s">
        <v>280</v>
      </c>
      <c r="B42" s="9" t="s">
        <v>281</v>
      </c>
      <c r="C42" s="10" t="s">
        <v>40</v>
      </c>
      <c r="D42" s="10" t="s">
        <v>282</v>
      </c>
      <c r="E42" s="10" t="s">
        <v>146</v>
      </c>
      <c r="F42" s="10" t="s">
        <v>283</v>
      </c>
      <c r="G42" s="10"/>
      <c r="H42" s="10" t="s">
        <v>284</v>
      </c>
      <c r="I42" s="10"/>
      <c r="J42" s="10" t="s">
        <v>8</v>
      </c>
      <c r="K42" s="10"/>
    </row>
    <row r="43" customFormat="false" ht="64.5" hidden="false" customHeight="true" outlineLevel="0" collapsed="false">
      <c r="A43" s="1" t="s">
        <v>285</v>
      </c>
      <c r="B43" s="9" t="s">
        <v>286</v>
      </c>
      <c r="C43" s="10" t="s">
        <v>40</v>
      </c>
      <c r="D43" s="10" t="s">
        <v>287</v>
      </c>
      <c r="E43" s="10" t="s">
        <v>115</v>
      </c>
      <c r="F43" s="10" t="s">
        <v>288</v>
      </c>
      <c r="G43" s="10"/>
      <c r="H43" s="10" t="s">
        <v>289</v>
      </c>
      <c r="I43" s="10"/>
      <c r="J43" s="10" t="s">
        <v>8</v>
      </c>
      <c r="K43" s="10"/>
    </row>
    <row r="44" customFormat="false" ht="64.5" hidden="false" customHeight="true" outlineLevel="0" collapsed="false">
      <c r="A44" s="1" t="s">
        <v>290</v>
      </c>
      <c r="B44" s="9" t="s">
        <v>291</v>
      </c>
      <c r="C44" s="10" t="s">
        <v>40</v>
      </c>
      <c r="D44" s="10" t="s">
        <v>292</v>
      </c>
      <c r="E44" s="10" t="s">
        <v>109</v>
      </c>
      <c r="F44" s="10"/>
      <c r="G44" s="10" t="s">
        <v>293</v>
      </c>
      <c r="H44" s="10"/>
      <c r="I44" s="10" t="s">
        <v>294</v>
      </c>
      <c r="J44" s="10" t="s">
        <v>8</v>
      </c>
      <c r="K44" s="10"/>
    </row>
    <row r="45" customFormat="false" ht="64.5" hidden="false" customHeight="true" outlineLevel="0" collapsed="false">
      <c r="A45" s="1" t="s">
        <v>295</v>
      </c>
      <c r="B45" s="9" t="s">
        <v>296</v>
      </c>
      <c r="C45" s="10" t="s">
        <v>40</v>
      </c>
      <c r="D45" s="10" t="s">
        <v>297</v>
      </c>
      <c r="E45" s="10" t="s">
        <v>298</v>
      </c>
      <c r="F45" s="10"/>
      <c r="G45" s="10" t="s">
        <v>299</v>
      </c>
      <c r="H45" s="10"/>
      <c r="I45" s="10" t="s">
        <v>300</v>
      </c>
      <c r="J45" s="10" t="s">
        <v>8</v>
      </c>
      <c r="K45" s="10"/>
    </row>
    <row r="46" customFormat="false" ht="64.5" hidden="false" customHeight="true" outlineLevel="0" collapsed="false">
      <c r="A46" s="1" t="s">
        <v>301</v>
      </c>
      <c r="B46" s="9" t="s">
        <v>302</v>
      </c>
      <c r="C46" s="10" t="s">
        <v>41</v>
      </c>
      <c r="D46" s="10" t="s">
        <v>303</v>
      </c>
      <c r="E46" s="10" t="s">
        <v>139</v>
      </c>
      <c r="F46" s="10" t="s">
        <v>304</v>
      </c>
      <c r="G46" s="10"/>
      <c r="H46" s="10"/>
      <c r="I46" s="10"/>
      <c r="J46" s="10" t="s">
        <v>8</v>
      </c>
      <c r="K46" s="10" t="s">
        <v>305</v>
      </c>
    </row>
    <row r="47" customFormat="false" ht="64.5" hidden="false" customHeight="true" outlineLevel="0" collapsed="false">
      <c r="A47" s="1" t="s">
        <v>306</v>
      </c>
      <c r="B47" s="9" t="s">
        <v>307</v>
      </c>
      <c r="C47" s="10" t="s">
        <v>41</v>
      </c>
      <c r="D47" s="10" t="s">
        <v>308</v>
      </c>
      <c r="E47" s="10" t="s">
        <v>121</v>
      </c>
      <c r="F47" s="10" t="s">
        <v>210</v>
      </c>
      <c r="G47" s="10"/>
      <c r="H47" s="10"/>
      <c r="I47" s="10"/>
      <c r="J47" s="10" t="s">
        <v>8</v>
      </c>
      <c r="K47" s="10"/>
    </row>
    <row r="48" customFormat="false" ht="64.5" hidden="false" customHeight="true" outlineLevel="0" collapsed="false">
      <c r="A48" s="1" t="s">
        <v>309</v>
      </c>
      <c r="B48" s="9" t="s">
        <v>310</v>
      </c>
      <c r="C48" s="10" t="s">
        <v>41</v>
      </c>
      <c r="D48" s="10" t="s">
        <v>311</v>
      </c>
      <c r="E48" s="10" t="s">
        <v>127</v>
      </c>
      <c r="F48" s="10"/>
      <c r="G48" s="10"/>
      <c r="H48" s="10"/>
      <c r="I48" s="10"/>
      <c r="J48" s="10" t="s">
        <v>8</v>
      </c>
      <c r="K48" s="10"/>
    </row>
    <row r="49" customFormat="false" ht="64.5" hidden="false" customHeight="true" outlineLevel="0" collapsed="false">
      <c r="A49" s="1" t="s">
        <v>312</v>
      </c>
      <c r="B49" s="9" t="s">
        <v>313</v>
      </c>
      <c r="C49" s="10" t="s">
        <v>41</v>
      </c>
      <c r="D49" s="10" t="s">
        <v>314</v>
      </c>
      <c r="E49" s="10" t="s">
        <v>176</v>
      </c>
      <c r="F49" s="10"/>
      <c r="G49" s="10"/>
      <c r="H49" s="10"/>
      <c r="I49" s="10"/>
      <c r="J49" s="10" t="s">
        <v>8</v>
      </c>
      <c r="K49" s="10"/>
    </row>
    <row r="50" customFormat="false" ht="64.5" hidden="false" customHeight="true" outlineLevel="0" collapsed="false">
      <c r="A50" s="1" t="s">
        <v>315</v>
      </c>
      <c r="B50" s="9" t="s">
        <v>316</v>
      </c>
      <c r="C50" s="10" t="s">
        <v>41</v>
      </c>
      <c r="D50" s="10" t="s">
        <v>317</v>
      </c>
      <c r="E50" s="10" t="s">
        <v>318</v>
      </c>
      <c r="F50" s="10" t="s">
        <v>319</v>
      </c>
      <c r="G50" s="10"/>
      <c r="H50" s="10"/>
      <c r="I50" s="10"/>
      <c r="J50" s="10" t="s">
        <v>8</v>
      </c>
      <c r="K50" s="10"/>
    </row>
    <row r="51" customFormat="false" ht="64.5" hidden="false" customHeight="true" outlineLevel="0" collapsed="false">
      <c r="A51" s="1" t="s">
        <v>320</v>
      </c>
      <c r="B51" s="9" t="s">
        <v>321</v>
      </c>
      <c r="C51" s="10" t="s">
        <v>41</v>
      </c>
      <c r="D51" s="10" t="s">
        <v>322</v>
      </c>
      <c r="E51" s="10" t="s">
        <v>182</v>
      </c>
      <c r="F51" s="10" t="s">
        <v>323</v>
      </c>
      <c r="G51" s="10"/>
      <c r="H51" s="10"/>
      <c r="I51" s="10"/>
      <c r="J51" s="10" t="s">
        <v>8</v>
      </c>
      <c r="K51" s="10"/>
    </row>
    <row r="52" customFormat="false" ht="64.5" hidden="false" customHeight="true" outlineLevel="0" collapsed="false">
      <c r="A52" s="1" t="s">
        <v>324</v>
      </c>
      <c r="B52" s="9" t="s">
        <v>325</v>
      </c>
      <c r="C52" s="10" t="s">
        <v>41</v>
      </c>
      <c r="D52" s="10" t="s">
        <v>326</v>
      </c>
      <c r="E52" s="10" t="s">
        <v>90</v>
      </c>
      <c r="F52" s="10" t="s">
        <v>327</v>
      </c>
      <c r="G52" s="10"/>
      <c r="H52" s="10"/>
      <c r="I52" s="10"/>
      <c r="J52" s="10" t="s">
        <v>8</v>
      </c>
      <c r="K52" s="10"/>
    </row>
    <row r="53" customFormat="false" ht="64.5" hidden="false" customHeight="true" outlineLevel="0" collapsed="false">
      <c r="A53" s="1" t="s">
        <v>328</v>
      </c>
      <c r="B53" s="9" t="s">
        <v>329</v>
      </c>
      <c r="C53" s="10" t="s">
        <v>41</v>
      </c>
      <c r="D53" s="10"/>
      <c r="E53" s="10" t="s">
        <v>330</v>
      </c>
      <c r="F53" s="10" t="s">
        <v>331</v>
      </c>
      <c r="G53" s="10"/>
      <c r="H53" s="10"/>
      <c r="I53" s="10"/>
      <c r="J53" s="10" t="s">
        <v>8</v>
      </c>
      <c r="K53" s="10"/>
    </row>
    <row r="54" customFormat="false" ht="64.5" hidden="false" customHeight="true" outlineLevel="0" collapsed="false">
      <c r="A54" s="1" t="s">
        <v>332</v>
      </c>
      <c r="B54" s="9" t="s">
        <v>333</v>
      </c>
      <c r="C54" s="10" t="s">
        <v>41</v>
      </c>
      <c r="D54" s="10"/>
      <c r="E54" s="10" t="s">
        <v>96</v>
      </c>
      <c r="F54" s="10" t="s">
        <v>334</v>
      </c>
      <c r="G54" s="10"/>
      <c r="H54" s="10"/>
      <c r="I54" s="10"/>
      <c r="J54" s="10" t="s">
        <v>8</v>
      </c>
      <c r="K54" s="10"/>
    </row>
    <row r="55" customFormat="false" ht="64.5" hidden="false" customHeight="true" outlineLevel="0" collapsed="false">
      <c r="A55" s="1" t="s">
        <v>335</v>
      </c>
      <c r="B55" s="9" t="s">
        <v>336</v>
      </c>
      <c r="C55" s="10" t="s">
        <v>41</v>
      </c>
      <c r="D55" s="10" t="s">
        <v>337</v>
      </c>
      <c r="E55" s="10" t="s">
        <v>109</v>
      </c>
      <c r="F55" s="10" t="s">
        <v>338</v>
      </c>
      <c r="G55" s="10"/>
      <c r="H55" s="10"/>
      <c r="I55" s="10"/>
      <c r="J55" s="10" t="s">
        <v>8</v>
      </c>
      <c r="K55" s="10"/>
    </row>
  </sheetData>
  <dataValidations count="2">
    <dataValidation allowBlank="false" errorStyle="stop" operator="between" showDropDown="false" showErrorMessage="false" showInputMessage="false" sqref="C6:C55" type="list">
      <formula1>"FLOOD,EARTHQUAKE,FIRE,ACCIDENT,NON_EVENT"</formula1>
      <formula2>0</formula2>
    </dataValidation>
    <dataValidation allowBlank="false" errorStyle="stop" operator="between" showDropDown="false" showErrorMessage="false" showInputMessage="false" sqref="J6:J55" type="list">
      <formula1>"PENDING,APPROVED,DEFERRED"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9"/>
    <col collapsed="false" customWidth="true" hidden="false" outlineLevel="0" max="4" min="4" style="0" width="30"/>
  </cols>
  <sheetData>
    <row r="1" customFormat="false" ht="24" hidden="false" customHeight="true" outlineLevel="0" collapsed="false">
      <c r="A1" s="1"/>
      <c r="B1" s="1"/>
      <c r="C1" s="1"/>
      <c r="D1" s="1"/>
    </row>
    <row r="2" customFormat="false" ht="24" hidden="false" customHeight="true" outlineLevel="0" collapsed="false">
      <c r="A2" s="2" t="s">
        <v>339</v>
      </c>
      <c r="B2" s="3"/>
      <c r="C2" s="3"/>
      <c r="D2" s="3"/>
    </row>
    <row r="3" customFormat="false" ht="24" hidden="false" customHeight="true" outlineLevel="0" collapsed="false">
      <c r="A3" s="4" t="s">
        <v>340</v>
      </c>
      <c r="B3" s="1"/>
      <c r="C3" s="1"/>
      <c r="D3" s="1"/>
    </row>
    <row r="4" customFormat="false" ht="24" hidden="false" customHeight="true" outlineLevel="0" collapsed="false">
      <c r="A4" s="1"/>
      <c r="B4" s="1"/>
      <c r="C4" s="1"/>
      <c r="D4" s="1"/>
    </row>
    <row r="5" customFormat="false" ht="30" hidden="false" customHeight="true" outlineLevel="0" collapsed="false">
      <c r="A5" s="6" t="s">
        <v>64</v>
      </c>
      <c r="B5" s="6" t="s">
        <v>341</v>
      </c>
      <c r="C5" s="6" t="s">
        <v>43</v>
      </c>
      <c r="D5" s="6" t="s">
        <v>342</v>
      </c>
    </row>
    <row r="6" customFormat="false" ht="24" hidden="false" customHeight="true" outlineLevel="0" collapsed="false">
      <c r="A6" s="1" t="s">
        <v>75</v>
      </c>
      <c r="B6" s="8" t="n">
        <v>1</v>
      </c>
      <c r="C6" s="1" t="s">
        <v>343</v>
      </c>
      <c r="D6" s="5" t="s">
        <v>50</v>
      </c>
    </row>
    <row r="7" customFormat="false" ht="24" hidden="false" customHeight="true" outlineLevel="0" collapsed="false">
      <c r="A7" s="1" t="s">
        <v>75</v>
      </c>
      <c r="B7" s="8" t="n">
        <v>2</v>
      </c>
      <c r="C7" s="1" t="s">
        <v>344</v>
      </c>
      <c r="D7" s="5" t="s">
        <v>51</v>
      </c>
    </row>
    <row r="8" customFormat="false" ht="24" hidden="false" customHeight="true" outlineLevel="0" collapsed="false">
      <c r="A8" s="1" t="s">
        <v>75</v>
      </c>
      <c r="B8" s="8" t="n">
        <v>3</v>
      </c>
      <c r="C8" s="1" t="s">
        <v>345</v>
      </c>
      <c r="D8" s="5" t="s">
        <v>45</v>
      </c>
    </row>
    <row r="9" customFormat="false" ht="24" hidden="false" customHeight="true" outlineLevel="0" collapsed="false">
      <c r="A9" s="1" t="s">
        <v>75</v>
      </c>
      <c r="B9" s="8" t="n">
        <v>4</v>
      </c>
      <c r="C9" s="1" t="s">
        <v>346</v>
      </c>
      <c r="D9" s="5" t="s">
        <v>45</v>
      </c>
    </row>
    <row r="10" customFormat="false" ht="24" hidden="false" customHeight="true" outlineLevel="0" collapsed="false">
      <c r="A10" s="1" t="s">
        <v>75</v>
      </c>
      <c r="B10" s="8" t="n">
        <v>5</v>
      </c>
      <c r="C10" s="1" t="s">
        <v>347</v>
      </c>
      <c r="D10" s="5" t="s">
        <v>348</v>
      </c>
    </row>
    <row r="11" customFormat="false" ht="24" hidden="false" customHeight="true" outlineLevel="0" collapsed="false">
      <c r="A11" s="1" t="s">
        <v>75</v>
      </c>
      <c r="B11" s="8" t="n">
        <v>6</v>
      </c>
      <c r="C11" s="1" t="s">
        <v>349</v>
      </c>
      <c r="D11" s="5" t="s">
        <v>53</v>
      </c>
    </row>
    <row r="12" customFormat="false" ht="24" hidden="false" customHeight="true" outlineLevel="0" collapsed="false">
      <c r="A12" s="1" t="s">
        <v>75</v>
      </c>
      <c r="B12" s="8" t="n">
        <v>7</v>
      </c>
      <c r="C12" s="1" t="s">
        <v>350</v>
      </c>
      <c r="D12" s="5" t="s">
        <v>53</v>
      </c>
    </row>
    <row r="13" customFormat="false" ht="24" hidden="false" customHeight="true" outlineLevel="0" collapsed="false">
      <c r="A13" s="1" t="s">
        <v>75</v>
      </c>
      <c r="B13" s="8" t="n">
        <v>8</v>
      </c>
      <c r="C13" s="1" t="s">
        <v>351</v>
      </c>
      <c r="D13" s="5" t="s">
        <v>56</v>
      </c>
    </row>
    <row r="14" customFormat="false" ht="24" hidden="false" customHeight="true" outlineLevel="0" collapsed="false">
      <c r="A14" s="1" t="s">
        <v>75</v>
      </c>
      <c r="B14" s="8" t="n">
        <v>9</v>
      </c>
      <c r="C14" s="1" t="s">
        <v>352</v>
      </c>
      <c r="D14" s="5" t="s">
        <v>56</v>
      </c>
    </row>
    <row r="15" customFormat="false" ht="24" hidden="false" customHeight="true" outlineLevel="0" collapsed="false">
      <c r="A15" s="1" t="s">
        <v>75</v>
      </c>
      <c r="B15" s="8" t="n">
        <v>10</v>
      </c>
      <c r="C15" s="1" t="s">
        <v>353</v>
      </c>
      <c r="D15" s="5" t="s">
        <v>348</v>
      </c>
    </row>
    <row r="16" customFormat="false" ht="24" hidden="false" customHeight="true" outlineLevel="0" collapsed="false">
      <c r="A16" s="1" t="s">
        <v>81</v>
      </c>
      <c r="B16" s="8" t="n">
        <v>1</v>
      </c>
      <c r="C16" s="1" t="s">
        <v>354</v>
      </c>
      <c r="D16" s="5" t="s">
        <v>45</v>
      </c>
    </row>
    <row r="17" customFormat="false" ht="24" hidden="false" customHeight="true" outlineLevel="0" collapsed="false">
      <c r="A17" s="1" t="s">
        <v>81</v>
      </c>
      <c r="B17" s="8" t="n">
        <v>2</v>
      </c>
      <c r="C17" s="1" t="s">
        <v>355</v>
      </c>
      <c r="D17" s="5" t="s">
        <v>45</v>
      </c>
    </row>
    <row r="18" customFormat="false" ht="24" hidden="false" customHeight="true" outlineLevel="0" collapsed="false">
      <c r="A18" s="1" t="s">
        <v>81</v>
      </c>
      <c r="B18" s="8" t="n">
        <v>3</v>
      </c>
      <c r="C18" s="1" t="s">
        <v>356</v>
      </c>
      <c r="D18" s="5" t="s">
        <v>51</v>
      </c>
    </row>
    <row r="19" customFormat="false" ht="24" hidden="false" customHeight="true" outlineLevel="0" collapsed="false">
      <c r="A19" s="1" t="s">
        <v>81</v>
      </c>
      <c r="B19" s="8" t="n">
        <v>4</v>
      </c>
      <c r="C19" s="1" t="s">
        <v>357</v>
      </c>
      <c r="D19" s="5" t="s">
        <v>50</v>
      </c>
    </row>
    <row r="20" customFormat="false" ht="24" hidden="false" customHeight="true" outlineLevel="0" collapsed="false">
      <c r="A20" s="1" t="s">
        <v>81</v>
      </c>
      <c r="B20" s="8" t="n">
        <v>5</v>
      </c>
      <c r="C20" s="1" t="s">
        <v>358</v>
      </c>
      <c r="D20" s="5" t="s">
        <v>56</v>
      </c>
    </row>
    <row r="21" customFormat="false" ht="24" hidden="false" customHeight="true" outlineLevel="0" collapsed="false">
      <c r="A21" s="1" t="s">
        <v>81</v>
      </c>
      <c r="B21" s="8" t="n">
        <v>6</v>
      </c>
      <c r="C21" s="1" t="s">
        <v>359</v>
      </c>
      <c r="D21" s="5" t="s">
        <v>56</v>
      </c>
    </row>
    <row r="22" customFormat="false" ht="24" hidden="false" customHeight="true" outlineLevel="0" collapsed="false">
      <c r="A22" s="1" t="s">
        <v>81</v>
      </c>
      <c r="B22" s="8" t="n">
        <v>7</v>
      </c>
      <c r="C22" s="1" t="s">
        <v>347</v>
      </c>
      <c r="D22" s="5" t="s">
        <v>348</v>
      </c>
    </row>
    <row r="23" customFormat="false" ht="24" hidden="false" customHeight="true" outlineLevel="0" collapsed="false">
      <c r="A23" s="1" t="s">
        <v>81</v>
      </c>
      <c r="B23" s="8" t="n">
        <v>8</v>
      </c>
      <c r="C23" s="1" t="s">
        <v>360</v>
      </c>
      <c r="D23" s="5" t="s">
        <v>53</v>
      </c>
    </row>
    <row r="24" customFormat="false" ht="24" hidden="false" customHeight="true" outlineLevel="0" collapsed="false">
      <c r="A24" s="1" t="s">
        <v>81</v>
      </c>
      <c r="B24" s="8" t="n">
        <v>9</v>
      </c>
      <c r="C24" s="1" t="s">
        <v>361</v>
      </c>
      <c r="D24" s="5" t="s">
        <v>53</v>
      </c>
    </row>
    <row r="25" customFormat="false" ht="24" hidden="false" customHeight="true" outlineLevel="0" collapsed="false">
      <c r="A25" s="1" t="s">
        <v>81</v>
      </c>
      <c r="B25" s="8" t="n">
        <v>10</v>
      </c>
      <c r="C25" s="1" t="s">
        <v>353</v>
      </c>
      <c r="D25" s="5" t="s">
        <v>348</v>
      </c>
    </row>
    <row r="26" customFormat="false" ht="24" hidden="false" customHeight="true" outlineLevel="0" collapsed="false">
      <c r="A26" s="1" t="s">
        <v>87</v>
      </c>
      <c r="B26" s="8" t="n">
        <v>1</v>
      </c>
      <c r="C26" s="1" t="s">
        <v>362</v>
      </c>
      <c r="D26" s="5" t="s">
        <v>52</v>
      </c>
    </row>
    <row r="27" customFormat="false" ht="24" hidden="false" customHeight="true" outlineLevel="0" collapsed="false">
      <c r="A27" s="1" t="s">
        <v>87</v>
      </c>
      <c r="B27" s="8" t="n">
        <v>2</v>
      </c>
      <c r="C27" s="1" t="s">
        <v>363</v>
      </c>
      <c r="D27" s="5" t="s">
        <v>52</v>
      </c>
    </row>
    <row r="28" customFormat="false" ht="24" hidden="false" customHeight="true" outlineLevel="0" collapsed="false">
      <c r="A28" s="1" t="s">
        <v>87</v>
      </c>
      <c r="B28" s="8" t="n">
        <v>3</v>
      </c>
      <c r="C28" s="1" t="s">
        <v>364</v>
      </c>
      <c r="D28" s="5" t="s">
        <v>51</v>
      </c>
    </row>
    <row r="29" customFormat="false" ht="24" hidden="false" customHeight="true" outlineLevel="0" collapsed="false">
      <c r="A29" s="1" t="s">
        <v>87</v>
      </c>
      <c r="B29" s="8" t="n">
        <v>4</v>
      </c>
      <c r="C29" s="1" t="s">
        <v>365</v>
      </c>
      <c r="D29" s="5" t="s">
        <v>51</v>
      </c>
    </row>
    <row r="30" customFormat="false" ht="24" hidden="false" customHeight="true" outlineLevel="0" collapsed="false">
      <c r="A30" s="1" t="s">
        <v>87</v>
      </c>
      <c r="B30" s="8" t="n">
        <v>5</v>
      </c>
      <c r="C30" s="1" t="s">
        <v>366</v>
      </c>
      <c r="D30" s="5" t="s">
        <v>348</v>
      </c>
    </row>
    <row r="31" customFormat="false" ht="24" hidden="false" customHeight="true" outlineLevel="0" collapsed="false">
      <c r="A31" s="1" t="s">
        <v>87</v>
      </c>
      <c r="B31" s="8" t="n">
        <v>6</v>
      </c>
      <c r="C31" s="1" t="s">
        <v>367</v>
      </c>
      <c r="D31" s="5" t="s">
        <v>53</v>
      </c>
    </row>
    <row r="32" customFormat="false" ht="24" hidden="false" customHeight="true" outlineLevel="0" collapsed="false">
      <c r="A32" s="1" t="s">
        <v>87</v>
      </c>
      <c r="B32" s="8" t="n">
        <v>7</v>
      </c>
      <c r="C32" s="1" t="s">
        <v>368</v>
      </c>
      <c r="D32" s="5" t="s">
        <v>53</v>
      </c>
    </row>
    <row r="33" customFormat="false" ht="24" hidden="false" customHeight="true" outlineLevel="0" collapsed="false">
      <c r="A33" s="1" t="s">
        <v>87</v>
      </c>
      <c r="B33" s="8" t="n">
        <v>8</v>
      </c>
      <c r="C33" s="1" t="s">
        <v>369</v>
      </c>
      <c r="D33" s="5" t="s">
        <v>348</v>
      </c>
    </row>
    <row r="34" customFormat="false" ht="24" hidden="false" customHeight="true" outlineLevel="0" collapsed="false">
      <c r="A34" s="1" t="s">
        <v>87</v>
      </c>
      <c r="B34" s="8" t="n">
        <v>9</v>
      </c>
      <c r="C34" s="1" t="s">
        <v>357</v>
      </c>
      <c r="D34" s="5" t="s">
        <v>50</v>
      </c>
    </row>
    <row r="35" customFormat="false" ht="24" hidden="false" customHeight="true" outlineLevel="0" collapsed="false">
      <c r="A35" s="1" t="s">
        <v>87</v>
      </c>
      <c r="B35" s="8" t="n">
        <v>10</v>
      </c>
      <c r="C35" s="1" t="s">
        <v>370</v>
      </c>
      <c r="D35" s="5" t="s">
        <v>56</v>
      </c>
    </row>
    <row r="36" customFormat="false" ht="24" hidden="false" customHeight="true" outlineLevel="0" collapsed="false">
      <c r="A36" s="1" t="s">
        <v>87</v>
      </c>
      <c r="B36" s="8" t="n">
        <v>11</v>
      </c>
      <c r="C36" s="1" t="s">
        <v>371</v>
      </c>
      <c r="D36" s="5" t="s">
        <v>56</v>
      </c>
    </row>
    <row r="37" customFormat="false" ht="24" hidden="false" customHeight="true" outlineLevel="0" collapsed="false">
      <c r="A37" s="1" t="s">
        <v>87</v>
      </c>
      <c r="B37" s="8" t="n">
        <v>12</v>
      </c>
      <c r="C37" s="1" t="s">
        <v>353</v>
      </c>
      <c r="D37" s="5" t="s">
        <v>348</v>
      </c>
    </row>
    <row r="38" customFormat="false" ht="24" hidden="false" customHeight="true" outlineLevel="0" collapsed="false">
      <c r="A38" s="1" t="s">
        <v>93</v>
      </c>
      <c r="B38" s="8" t="n">
        <v>1</v>
      </c>
      <c r="C38" s="1" t="s">
        <v>372</v>
      </c>
      <c r="D38" s="5" t="s">
        <v>52</v>
      </c>
    </row>
    <row r="39" customFormat="false" ht="24" hidden="false" customHeight="true" outlineLevel="0" collapsed="false">
      <c r="A39" s="1" t="s">
        <v>93</v>
      </c>
      <c r="B39" s="8" t="n">
        <v>2</v>
      </c>
      <c r="C39" s="1" t="s">
        <v>373</v>
      </c>
      <c r="D39" s="5" t="s">
        <v>52</v>
      </c>
    </row>
    <row r="40" customFormat="false" ht="24" hidden="false" customHeight="true" outlineLevel="0" collapsed="false">
      <c r="A40" s="1" t="s">
        <v>93</v>
      </c>
      <c r="B40" s="8" t="n">
        <v>3</v>
      </c>
      <c r="C40" s="1" t="s">
        <v>374</v>
      </c>
      <c r="D40" s="5" t="s">
        <v>51</v>
      </c>
    </row>
    <row r="41" customFormat="false" ht="24" hidden="false" customHeight="true" outlineLevel="0" collapsed="false">
      <c r="A41" s="1" t="s">
        <v>93</v>
      </c>
      <c r="B41" s="8" t="n">
        <v>4</v>
      </c>
      <c r="C41" s="1" t="s">
        <v>375</v>
      </c>
      <c r="D41" s="5" t="s">
        <v>51</v>
      </c>
    </row>
    <row r="42" customFormat="false" ht="24" hidden="false" customHeight="true" outlineLevel="0" collapsed="false">
      <c r="A42" s="1" t="s">
        <v>93</v>
      </c>
      <c r="B42" s="8" t="n">
        <v>5</v>
      </c>
      <c r="C42" s="1" t="s">
        <v>376</v>
      </c>
      <c r="D42" s="5" t="s">
        <v>348</v>
      </c>
    </row>
    <row r="43" customFormat="false" ht="24" hidden="false" customHeight="true" outlineLevel="0" collapsed="false">
      <c r="A43" s="1" t="s">
        <v>93</v>
      </c>
      <c r="B43" s="8" t="n">
        <v>6</v>
      </c>
      <c r="C43" s="1" t="s">
        <v>357</v>
      </c>
      <c r="D43" s="5" t="s">
        <v>50</v>
      </c>
    </row>
    <row r="44" customFormat="false" ht="24" hidden="false" customHeight="true" outlineLevel="0" collapsed="false">
      <c r="A44" s="1" t="s">
        <v>93</v>
      </c>
      <c r="B44" s="8" t="n">
        <v>7</v>
      </c>
      <c r="C44" s="1" t="s">
        <v>377</v>
      </c>
      <c r="D44" s="5" t="s">
        <v>348</v>
      </c>
    </row>
    <row r="45" customFormat="false" ht="24" hidden="false" customHeight="true" outlineLevel="0" collapsed="false">
      <c r="A45" s="1" t="s">
        <v>93</v>
      </c>
      <c r="B45" s="8" t="n">
        <v>8</v>
      </c>
      <c r="C45" s="1" t="s">
        <v>378</v>
      </c>
      <c r="D45" s="5" t="s">
        <v>51</v>
      </c>
    </row>
    <row r="46" customFormat="false" ht="24" hidden="false" customHeight="true" outlineLevel="0" collapsed="false">
      <c r="A46" s="1" t="s">
        <v>93</v>
      </c>
      <c r="B46" s="8" t="n">
        <v>9</v>
      </c>
      <c r="C46" s="1" t="s">
        <v>379</v>
      </c>
      <c r="D46" s="5" t="s">
        <v>45</v>
      </c>
    </row>
    <row r="47" customFormat="false" ht="24" hidden="false" customHeight="true" outlineLevel="0" collapsed="false">
      <c r="A47" s="1" t="s">
        <v>93</v>
      </c>
      <c r="B47" s="8" t="n">
        <v>10</v>
      </c>
      <c r="C47" s="1" t="s">
        <v>380</v>
      </c>
      <c r="D47" s="5" t="s">
        <v>45</v>
      </c>
    </row>
    <row r="48" customFormat="false" ht="24" hidden="false" customHeight="true" outlineLevel="0" collapsed="false">
      <c r="A48" s="1" t="s">
        <v>93</v>
      </c>
      <c r="B48" s="8" t="n">
        <v>11</v>
      </c>
      <c r="C48" s="1" t="s">
        <v>347</v>
      </c>
      <c r="D48" s="5" t="s">
        <v>348</v>
      </c>
    </row>
    <row r="49" customFormat="false" ht="24" hidden="false" customHeight="true" outlineLevel="0" collapsed="false">
      <c r="A49" s="1" t="s">
        <v>93</v>
      </c>
      <c r="B49" s="8" t="n">
        <v>12</v>
      </c>
      <c r="C49" s="1" t="s">
        <v>360</v>
      </c>
      <c r="D49" s="5" t="s">
        <v>53</v>
      </c>
    </row>
    <row r="50" customFormat="false" ht="24" hidden="false" customHeight="true" outlineLevel="0" collapsed="false">
      <c r="A50" s="1" t="s">
        <v>93</v>
      </c>
      <c r="B50" s="8" t="n">
        <v>13</v>
      </c>
      <c r="C50" s="1" t="s">
        <v>381</v>
      </c>
      <c r="D50" s="5" t="s">
        <v>53</v>
      </c>
    </row>
    <row r="51" customFormat="false" ht="24" hidden="false" customHeight="true" outlineLevel="0" collapsed="false">
      <c r="A51" s="1" t="s">
        <v>93</v>
      </c>
      <c r="B51" s="8" t="n">
        <v>14</v>
      </c>
      <c r="C51" s="1" t="s">
        <v>382</v>
      </c>
      <c r="D51" s="5" t="s">
        <v>56</v>
      </c>
    </row>
    <row r="52" customFormat="false" ht="24" hidden="false" customHeight="true" outlineLevel="0" collapsed="false">
      <c r="A52" s="1" t="s">
        <v>93</v>
      </c>
      <c r="B52" s="8" t="n">
        <v>15</v>
      </c>
      <c r="C52" s="1" t="s">
        <v>383</v>
      </c>
      <c r="D52" s="5" t="s">
        <v>56</v>
      </c>
    </row>
    <row r="53" customFormat="false" ht="24" hidden="false" customHeight="true" outlineLevel="0" collapsed="false">
      <c r="A53" s="1" t="s">
        <v>93</v>
      </c>
      <c r="B53" s="8" t="n">
        <v>16</v>
      </c>
      <c r="C53" s="1" t="s">
        <v>353</v>
      </c>
      <c r="D53" s="5" t="s">
        <v>348</v>
      </c>
    </row>
    <row r="54" customFormat="false" ht="24" hidden="false" customHeight="true" outlineLevel="0" collapsed="false">
      <c r="A54" s="1" t="s">
        <v>101</v>
      </c>
      <c r="B54" s="8" t="n">
        <v>1</v>
      </c>
      <c r="C54" s="1" t="s">
        <v>319</v>
      </c>
      <c r="D54" s="5" t="s">
        <v>52</v>
      </c>
    </row>
    <row r="55" customFormat="false" ht="24" hidden="false" customHeight="true" outlineLevel="0" collapsed="false">
      <c r="A55" s="1" t="s">
        <v>101</v>
      </c>
      <c r="B55" s="8" t="n">
        <v>2</v>
      </c>
      <c r="C55" s="1" t="s">
        <v>384</v>
      </c>
      <c r="D55" s="5" t="s">
        <v>52</v>
      </c>
    </row>
    <row r="56" customFormat="false" ht="24" hidden="false" customHeight="true" outlineLevel="0" collapsed="false">
      <c r="A56" s="1" t="s">
        <v>101</v>
      </c>
      <c r="B56" s="8" t="n">
        <v>3</v>
      </c>
      <c r="C56" s="1" t="s">
        <v>385</v>
      </c>
      <c r="D56" s="5" t="s">
        <v>348</v>
      </c>
    </row>
    <row r="57" customFormat="false" ht="24" hidden="false" customHeight="true" outlineLevel="0" collapsed="false">
      <c r="A57" s="1" t="s">
        <v>101</v>
      </c>
      <c r="B57" s="8" t="n">
        <v>4</v>
      </c>
      <c r="C57" s="1" t="s">
        <v>357</v>
      </c>
      <c r="D57" s="5" t="s">
        <v>50</v>
      </c>
    </row>
    <row r="58" customFormat="false" ht="24" hidden="false" customHeight="true" outlineLevel="0" collapsed="false">
      <c r="A58" s="1" t="s">
        <v>101</v>
      </c>
      <c r="B58" s="8" t="n">
        <v>5</v>
      </c>
      <c r="C58" s="1" t="s">
        <v>347</v>
      </c>
      <c r="D58" s="5" t="s">
        <v>348</v>
      </c>
    </row>
    <row r="59" customFormat="false" ht="24" hidden="false" customHeight="true" outlineLevel="0" collapsed="false">
      <c r="A59" s="1" t="s">
        <v>101</v>
      </c>
      <c r="B59" s="8" t="n">
        <v>6</v>
      </c>
      <c r="C59" s="1" t="s">
        <v>349</v>
      </c>
      <c r="D59" s="5" t="s">
        <v>53</v>
      </c>
    </row>
    <row r="60" customFormat="false" ht="24" hidden="false" customHeight="true" outlineLevel="0" collapsed="false">
      <c r="A60" s="1" t="s">
        <v>101</v>
      </c>
      <c r="B60" s="8" t="n">
        <v>7</v>
      </c>
      <c r="C60" s="1" t="s">
        <v>386</v>
      </c>
      <c r="D60" s="5" t="s">
        <v>53</v>
      </c>
    </row>
    <row r="61" customFormat="false" ht="24" hidden="false" customHeight="true" outlineLevel="0" collapsed="false">
      <c r="A61" s="1" t="s">
        <v>101</v>
      </c>
      <c r="B61" s="8" t="n">
        <v>8</v>
      </c>
      <c r="C61" s="1" t="s">
        <v>358</v>
      </c>
      <c r="D61" s="5" t="s">
        <v>56</v>
      </c>
    </row>
    <row r="62" customFormat="false" ht="24" hidden="false" customHeight="true" outlineLevel="0" collapsed="false">
      <c r="A62" s="1" t="s">
        <v>101</v>
      </c>
      <c r="B62" s="8" t="n">
        <v>9</v>
      </c>
      <c r="C62" s="1" t="s">
        <v>371</v>
      </c>
      <c r="D62" s="5" t="s">
        <v>56</v>
      </c>
    </row>
    <row r="63" customFormat="false" ht="24" hidden="false" customHeight="true" outlineLevel="0" collapsed="false">
      <c r="A63" s="1" t="s">
        <v>101</v>
      </c>
      <c r="B63" s="8" t="n">
        <v>10</v>
      </c>
      <c r="C63" s="1" t="s">
        <v>387</v>
      </c>
      <c r="D63" s="5" t="s">
        <v>348</v>
      </c>
    </row>
    <row r="64" customFormat="false" ht="24" hidden="false" customHeight="true" outlineLevel="0" collapsed="false">
      <c r="A64" s="1" t="s">
        <v>101</v>
      </c>
      <c r="B64" s="8" t="n">
        <v>11</v>
      </c>
      <c r="C64" s="1" t="s">
        <v>388</v>
      </c>
      <c r="D64" s="5" t="s">
        <v>348</v>
      </c>
    </row>
    <row r="65" customFormat="false" ht="24" hidden="false" customHeight="true" outlineLevel="0" collapsed="false">
      <c r="A65" s="1" t="s">
        <v>101</v>
      </c>
      <c r="B65" s="8" t="n">
        <v>12</v>
      </c>
      <c r="C65" s="1" t="s">
        <v>389</v>
      </c>
      <c r="D65" s="5" t="s">
        <v>348</v>
      </c>
    </row>
    <row r="66" customFormat="false" ht="24" hidden="false" customHeight="true" outlineLevel="0" collapsed="false">
      <c r="A66" s="1" t="s">
        <v>101</v>
      </c>
      <c r="B66" s="8" t="n">
        <v>13</v>
      </c>
      <c r="C66" s="1" t="s">
        <v>390</v>
      </c>
      <c r="D66" s="5" t="s">
        <v>348</v>
      </c>
    </row>
    <row r="67" customFormat="false" ht="24" hidden="false" customHeight="true" outlineLevel="0" collapsed="false">
      <c r="A67" s="1" t="s">
        <v>101</v>
      </c>
      <c r="B67" s="8" t="n">
        <v>14</v>
      </c>
      <c r="C67" s="1" t="s">
        <v>391</v>
      </c>
      <c r="D67" s="5" t="s">
        <v>348</v>
      </c>
    </row>
    <row r="68" customFormat="false" ht="24" hidden="false" customHeight="true" outlineLevel="0" collapsed="false">
      <c r="A68" s="1" t="s">
        <v>101</v>
      </c>
      <c r="B68" s="8" t="n">
        <v>15</v>
      </c>
      <c r="C68" s="1" t="s">
        <v>373</v>
      </c>
      <c r="D68" s="5" t="s">
        <v>348</v>
      </c>
    </row>
    <row r="69" customFormat="false" ht="24" hidden="false" customHeight="true" outlineLevel="0" collapsed="false">
      <c r="A69" s="1" t="s">
        <v>101</v>
      </c>
      <c r="B69" s="8" t="n">
        <v>16</v>
      </c>
      <c r="C69" s="1" t="s">
        <v>353</v>
      </c>
      <c r="D69" s="5" t="s">
        <v>348</v>
      </c>
    </row>
    <row r="70" customFormat="false" ht="24" hidden="false" customHeight="true" outlineLevel="0" collapsed="false">
      <c r="A70" s="1" t="s">
        <v>106</v>
      </c>
      <c r="B70" s="8" t="n">
        <v>1</v>
      </c>
      <c r="C70" s="1" t="s">
        <v>392</v>
      </c>
      <c r="D70" s="5" t="s">
        <v>54</v>
      </c>
    </row>
    <row r="71" customFormat="false" ht="24" hidden="false" customHeight="true" outlineLevel="0" collapsed="false">
      <c r="A71" s="1" t="s">
        <v>106</v>
      </c>
      <c r="B71" s="8" t="n">
        <v>2</v>
      </c>
      <c r="C71" s="1" t="s">
        <v>393</v>
      </c>
      <c r="D71" s="5" t="s">
        <v>54</v>
      </c>
    </row>
    <row r="72" customFormat="false" ht="24" hidden="false" customHeight="true" outlineLevel="0" collapsed="false">
      <c r="A72" s="1" t="s">
        <v>106</v>
      </c>
      <c r="B72" s="8" t="n">
        <v>3</v>
      </c>
      <c r="C72" s="1" t="s">
        <v>394</v>
      </c>
      <c r="D72" s="5" t="s">
        <v>348</v>
      </c>
    </row>
    <row r="73" customFormat="false" ht="24" hidden="false" customHeight="true" outlineLevel="0" collapsed="false">
      <c r="A73" s="1" t="s">
        <v>106</v>
      </c>
      <c r="B73" s="8" t="n">
        <v>4</v>
      </c>
      <c r="C73" s="1" t="s">
        <v>357</v>
      </c>
      <c r="D73" s="5" t="s">
        <v>50</v>
      </c>
    </row>
    <row r="74" customFormat="false" ht="24" hidden="false" customHeight="true" outlineLevel="0" collapsed="false">
      <c r="A74" s="1" t="s">
        <v>106</v>
      </c>
      <c r="B74" s="8" t="n">
        <v>5</v>
      </c>
      <c r="C74" s="1" t="s">
        <v>395</v>
      </c>
      <c r="D74" s="5" t="s">
        <v>51</v>
      </c>
    </row>
    <row r="75" customFormat="false" ht="24" hidden="false" customHeight="true" outlineLevel="0" collapsed="false">
      <c r="A75" s="1" t="s">
        <v>106</v>
      </c>
      <c r="B75" s="8" t="n">
        <v>6</v>
      </c>
      <c r="C75" s="1" t="s">
        <v>396</v>
      </c>
      <c r="D75" s="5" t="s">
        <v>45</v>
      </c>
    </row>
    <row r="76" customFormat="false" ht="24" hidden="false" customHeight="true" outlineLevel="0" collapsed="false">
      <c r="A76" s="1" t="s">
        <v>106</v>
      </c>
      <c r="B76" s="8" t="n">
        <v>7</v>
      </c>
      <c r="C76" s="1" t="s">
        <v>397</v>
      </c>
      <c r="D76" s="5" t="s">
        <v>45</v>
      </c>
    </row>
    <row r="77" customFormat="false" ht="24" hidden="false" customHeight="true" outlineLevel="0" collapsed="false">
      <c r="A77" s="1" t="s">
        <v>106</v>
      </c>
      <c r="B77" s="8" t="n">
        <v>8</v>
      </c>
      <c r="C77" s="1" t="s">
        <v>347</v>
      </c>
      <c r="D77" s="5" t="s">
        <v>348</v>
      </c>
    </row>
    <row r="78" customFormat="false" ht="24" hidden="false" customHeight="true" outlineLevel="0" collapsed="false">
      <c r="A78" s="1" t="s">
        <v>106</v>
      </c>
      <c r="B78" s="8" t="n">
        <v>9</v>
      </c>
      <c r="C78" s="1" t="s">
        <v>367</v>
      </c>
      <c r="D78" s="5" t="s">
        <v>53</v>
      </c>
    </row>
    <row r="79" customFormat="false" ht="24" hidden="false" customHeight="true" outlineLevel="0" collapsed="false">
      <c r="A79" s="1" t="s">
        <v>106</v>
      </c>
      <c r="B79" s="8" t="n">
        <v>10</v>
      </c>
      <c r="C79" s="1" t="s">
        <v>398</v>
      </c>
      <c r="D79" s="5" t="s">
        <v>53</v>
      </c>
    </row>
    <row r="80" customFormat="false" ht="24" hidden="false" customHeight="true" outlineLevel="0" collapsed="false">
      <c r="A80" s="1" t="s">
        <v>106</v>
      </c>
      <c r="B80" s="8" t="n">
        <v>11</v>
      </c>
      <c r="C80" s="1" t="s">
        <v>399</v>
      </c>
      <c r="D80" s="5" t="s">
        <v>56</v>
      </c>
    </row>
    <row r="81" customFormat="false" ht="24" hidden="false" customHeight="true" outlineLevel="0" collapsed="false">
      <c r="A81" s="1" t="s">
        <v>106</v>
      </c>
      <c r="B81" s="8" t="n">
        <v>12</v>
      </c>
      <c r="C81" s="1" t="s">
        <v>383</v>
      </c>
      <c r="D81" s="5" t="s">
        <v>56</v>
      </c>
    </row>
    <row r="82" customFormat="false" ht="24" hidden="false" customHeight="true" outlineLevel="0" collapsed="false">
      <c r="A82" s="1" t="s">
        <v>106</v>
      </c>
      <c r="B82" s="8" t="n">
        <v>13</v>
      </c>
      <c r="C82" s="1" t="s">
        <v>353</v>
      </c>
      <c r="D82" s="5" t="s">
        <v>348</v>
      </c>
    </row>
    <row r="83" customFormat="false" ht="24" hidden="false" customHeight="true" outlineLevel="0" collapsed="false">
      <c r="A83" s="1" t="s">
        <v>112</v>
      </c>
      <c r="B83" s="8" t="n">
        <v>1</v>
      </c>
      <c r="C83" s="1" t="s">
        <v>343</v>
      </c>
      <c r="D83" s="5" t="s">
        <v>50</v>
      </c>
    </row>
    <row r="84" customFormat="false" ht="24" hidden="false" customHeight="true" outlineLevel="0" collapsed="false">
      <c r="A84" s="1" t="s">
        <v>112</v>
      </c>
      <c r="B84" s="8" t="n">
        <v>2</v>
      </c>
      <c r="C84" s="1" t="s">
        <v>347</v>
      </c>
      <c r="D84" s="5" t="s">
        <v>348</v>
      </c>
    </row>
    <row r="85" customFormat="false" ht="24" hidden="false" customHeight="true" outlineLevel="0" collapsed="false">
      <c r="A85" s="1" t="s">
        <v>112</v>
      </c>
      <c r="B85" s="8" t="n">
        <v>3</v>
      </c>
      <c r="C85" s="1" t="s">
        <v>367</v>
      </c>
      <c r="D85" s="5" t="s">
        <v>53</v>
      </c>
    </row>
    <row r="86" customFormat="false" ht="24" hidden="false" customHeight="true" outlineLevel="0" collapsed="false">
      <c r="A86" s="1" t="s">
        <v>112</v>
      </c>
      <c r="B86" s="8" t="n">
        <v>4</v>
      </c>
      <c r="C86" s="1" t="s">
        <v>400</v>
      </c>
      <c r="D86" s="5" t="s">
        <v>53</v>
      </c>
    </row>
    <row r="87" customFormat="false" ht="24" hidden="false" customHeight="true" outlineLevel="0" collapsed="false">
      <c r="A87" s="1" t="s">
        <v>112</v>
      </c>
      <c r="B87" s="8" t="n">
        <v>5</v>
      </c>
      <c r="C87" s="1" t="s">
        <v>359</v>
      </c>
      <c r="D87" s="5" t="s">
        <v>56</v>
      </c>
    </row>
    <row r="88" customFormat="false" ht="24" hidden="false" customHeight="true" outlineLevel="0" collapsed="false">
      <c r="A88" s="1" t="s">
        <v>112</v>
      </c>
      <c r="B88" s="8" t="n">
        <v>6</v>
      </c>
      <c r="C88" s="1" t="s">
        <v>358</v>
      </c>
      <c r="D88" s="5" t="s">
        <v>56</v>
      </c>
    </row>
    <row r="89" customFormat="false" ht="24" hidden="false" customHeight="true" outlineLevel="0" collapsed="false">
      <c r="A89" s="1" t="s">
        <v>112</v>
      </c>
      <c r="B89" s="8" t="n">
        <v>7</v>
      </c>
      <c r="C89" s="1" t="s">
        <v>401</v>
      </c>
      <c r="D89" s="5" t="s">
        <v>348</v>
      </c>
    </row>
    <row r="90" customFormat="false" ht="24" hidden="false" customHeight="true" outlineLevel="0" collapsed="false">
      <c r="A90" s="1" t="s">
        <v>112</v>
      </c>
      <c r="B90" s="8" t="n">
        <v>8</v>
      </c>
      <c r="C90" s="1" t="s">
        <v>402</v>
      </c>
      <c r="D90" s="5" t="s">
        <v>57</v>
      </c>
    </row>
    <row r="91" customFormat="false" ht="24" hidden="false" customHeight="true" outlineLevel="0" collapsed="false">
      <c r="A91" s="1" t="s">
        <v>112</v>
      </c>
      <c r="B91" s="8" t="n">
        <v>9</v>
      </c>
      <c r="C91" s="1" t="s">
        <v>140</v>
      </c>
      <c r="D91" s="5" t="s">
        <v>57</v>
      </c>
    </row>
    <row r="92" customFormat="false" ht="24" hidden="false" customHeight="true" outlineLevel="0" collapsed="false">
      <c r="A92" s="1" t="s">
        <v>112</v>
      </c>
      <c r="B92" s="8" t="n">
        <v>10</v>
      </c>
      <c r="C92" s="1" t="s">
        <v>403</v>
      </c>
      <c r="D92" s="5" t="s">
        <v>57</v>
      </c>
    </row>
    <row r="93" customFormat="false" ht="24" hidden="false" customHeight="true" outlineLevel="0" collapsed="false">
      <c r="A93" s="1" t="s">
        <v>112</v>
      </c>
      <c r="B93" s="8" t="n">
        <v>11</v>
      </c>
      <c r="C93" s="1" t="s">
        <v>353</v>
      </c>
      <c r="D93" s="5" t="s">
        <v>348</v>
      </c>
    </row>
    <row r="94" customFormat="false" ht="24" hidden="false" customHeight="true" outlineLevel="0" collapsed="false">
      <c r="A94" s="1" t="s">
        <v>118</v>
      </c>
      <c r="B94" s="8" t="n">
        <v>1</v>
      </c>
      <c r="C94" s="1" t="s">
        <v>404</v>
      </c>
      <c r="D94" s="5" t="s">
        <v>46</v>
      </c>
    </row>
    <row r="95" customFormat="false" ht="24" hidden="false" customHeight="true" outlineLevel="0" collapsed="false">
      <c r="A95" s="1" t="s">
        <v>118</v>
      </c>
      <c r="B95" s="8" t="n">
        <v>2</v>
      </c>
      <c r="C95" s="1" t="s">
        <v>405</v>
      </c>
      <c r="D95" s="5" t="s">
        <v>46</v>
      </c>
    </row>
    <row r="96" customFormat="false" ht="24" hidden="false" customHeight="true" outlineLevel="0" collapsed="false">
      <c r="A96" s="1" t="s">
        <v>118</v>
      </c>
      <c r="B96" s="8" t="n">
        <v>3</v>
      </c>
      <c r="C96" s="1" t="s">
        <v>406</v>
      </c>
      <c r="D96" s="5" t="s">
        <v>46</v>
      </c>
    </row>
    <row r="97" customFormat="false" ht="24" hidden="false" customHeight="true" outlineLevel="0" collapsed="false">
      <c r="A97" s="1" t="s">
        <v>118</v>
      </c>
      <c r="B97" s="8" t="n">
        <v>4</v>
      </c>
      <c r="C97" s="1" t="s">
        <v>407</v>
      </c>
      <c r="D97" s="5" t="s">
        <v>348</v>
      </c>
    </row>
    <row r="98" customFormat="false" ht="24" hidden="false" customHeight="true" outlineLevel="0" collapsed="false">
      <c r="A98" s="1" t="s">
        <v>118</v>
      </c>
      <c r="B98" s="8" t="n">
        <v>5</v>
      </c>
      <c r="C98" s="1" t="s">
        <v>357</v>
      </c>
      <c r="D98" s="5" t="s">
        <v>50</v>
      </c>
    </row>
    <row r="99" customFormat="false" ht="24" hidden="false" customHeight="true" outlineLevel="0" collapsed="false">
      <c r="A99" s="1" t="s">
        <v>118</v>
      </c>
      <c r="B99" s="8" t="n">
        <v>6</v>
      </c>
      <c r="C99" s="1" t="s">
        <v>347</v>
      </c>
      <c r="D99" s="5" t="s">
        <v>348</v>
      </c>
    </row>
    <row r="100" customFormat="false" ht="24" hidden="false" customHeight="true" outlineLevel="0" collapsed="false">
      <c r="A100" s="1" t="s">
        <v>118</v>
      </c>
      <c r="B100" s="8" t="n">
        <v>7</v>
      </c>
      <c r="C100" s="1" t="s">
        <v>408</v>
      </c>
      <c r="D100" s="5" t="s">
        <v>53</v>
      </c>
    </row>
    <row r="101" customFormat="false" ht="24" hidden="false" customHeight="true" outlineLevel="0" collapsed="false">
      <c r="A101" s="1" t="s">
        <v>118</v>
      </c>
      <c r="B101" s="8" t="n">
        <v>8</v>
      </c>
      <c r="C101" s="1" t="s">
        <v>409</v>
      </c>
      <c r="D101" s="5" t="s">
        <v>53</v>
      </c>
    </row>
    <row r="102" customFormat="false" ht="24" hidden="false" customHeight="true" outlineLevel="0" collapsed="false">
      <c r="A102" s="1" t="s">
        <v>118</v>
      </c>
      <c r="B102" s="8" t="n">
        <v>9</v>
      </c>
      <c r="C102" s="1" t="s">
        <v>370</v>
      </c>
      <c r="D102" s="5" t="s">
        <v>56</v>
      </c>
    </row>
    <row r="103" customFormat="false" ht="24" hidden="false" customHeight="true" outlineLevel="0" collapsed="false">
      <c r="A103" s="1" t="s">
        <v>118</v>
      </c>
      <c r="B103" s="8" t="n">
        <v>10</v>
      </c>
      <c r="C103" s="1" t="s">
        <v>383</v>
      </c>
      <c r="D103" s="5" t="s">
        <v>56</v>
      </c>
    </row>
    <row r="104" customFormat="false" ht="24" hidden="false" customHeight="true" outlineLevel="0" collapsed="false">
      <c r="A104" s="1" t="s">
        <v>118</v>
      </c>
      <c r="B104" s="8" t="n">
        <v>11</v>
      </c>
      <c r="C104" s="1" t="s">
        <v>353</v>
      </c>
      <c r="D104" s="5" t="s">
        <v>348</v>
      </c>
    </row>
    <row r="105" customFormat="false" ht="24" hidden="false" customHeight="true" outlineLevel="0" collapsed="false">
      <c r="A105" s="1" t="s">
        <v>124</v>
      </c>
      <c r="B105" s="8" t="n">
        <v>1</v>
      </c>
      <c r="C105" s="1" t="s">
        <v>410</v>
      </c>
      <c r="D105" s="5" t="s">
        <v>348</v>
      </c>
    </row>
    <row r="106" customFormat="false" ht="24" hidden="false" customHeight="true" outlineLevel="0" collapsed="false">
      <c r="A106" s="1" t="s">
        <v>124</v>
      </c>
      <c r="B106" s="8" t="n">
        <v>2</v>
      </c>
      <c r="C106" s="1" t="s">
        <v>411</v>
      </c>
      <c r="D106" s="5" t="s">
        <v>348</v>
      </c>
    </row>
    <row r="107" customFormat="false" ht="24" hidden="false" customHeight="true" outlineLevel="0" collapsed="false">
      <c r="A107" s="1" t="s">
        <v>124</v>
      </c>
      <c r="B107" s="8" t="n">
        <v>3</v>
      </c>
      <c r="C107" s="1" t="s">
        <v>412</v>
      </c>
      <c r="D107" s="5" t="s">
        <v>348</v>
      </c>
    </row>
    <row r="108" customFormat="false" ht="24" hidden="false" customHeight="true" outlineLevel="0" collapsed="false">
      <c r="A108" s="1" t="s">
        <v>124</v>
      </c>
      <c r="B108" s="8" t="n">
        <v>4</v>
      </c>
      <c r="C108" s="1" t="s">
        <v>413</v>
      </c>
      <c r="D108" s="5" t="s">
        <v>348</v>
      </c>
    </row>
    <row r="109" customFormat="false" ht="24" hidden="false" customHeight="true" outlineLevel="0" collapsed="false">
      <c r="A109" s="1" t="s">
        <v>124</v>
      </c>
      <c r="B109" s="8" t="n">
        <v>5</v>
      </c>
      <c r="C109" s="1" t="s">
        <v>414</v>
      </c>
      <c r="D109" s="5" t="s">
        <v>348</v>
      </c>
    </row>
    <row r="110" customFormat="false" ht="24" hidden="false" customHeight="true" outlineLevel="0" collapsed="false">
      <c r="A110" s="1" t="s">
        <v>124</v>
      </c>
      <c r="B110" s="8" t="n">
        <v>6</v>
      </c>
      <c r="C110" s="1" t="s">
        <v>415</v>
      </c>
      <c r="D110" s="5" t="s">
        <v>348</v>
      </c>
    </row>
    <row r="111" customFormat="false" ht="24" hidden="false" customHeight="true" outlineLevel="0" collapsed="false">
      <c r="A111" s="1" t="s">
        <v>124</v>
      </c>
      <c r="B111" s="8" t="n">
        <v>7</v>
      </c>
      <c r="C111" s="1" t="s">
        <v>357</v>
      </c>
      <c r="D111" s="5" t="s">
        <v>50</v>
      </c>
    </row>
    <row r="112" customFormat="false" ht="24" hidden="false" customHeight="true" outlineLevel="0" collapsed="false">
      <c r="A112" s="1" t="s">
        <v>124</v>
      </c>
      <c r="B112" s="8" t="n">
        <v>8</v>
      </c>
      <c r="C112" s="1" t="s">
        <v>416</v>
      </c>
      <c r="D112" s="5" t="s">
        <v>51</v>
      </c>
    </row>
    <row r="113" customFormat="false" ht="24" hidden="false" customHeight="true" outlineLevel="0" collapsed="false">
      <c r="A113" s="1" t="s">
        <v>124</v>
      </c>
      <c r="B113" s="8" t="n">
        <v>9</v>
      </c>
      <c r="C113" s="1" t="s">
        <v>417</v>
      </c>
      <c r="D113" s="5" t="s">
        <v>45</v>
      </c>
    </row>
    <row r="114" customFormat="false" ht="24" hidden="false" customHeight="true" outlineLevel="0" collapsed="false">
      <c r="A114" s="1" t="s">
        <v>124</v>
      </c>
      <c r="B114" s="8" t="n">
        <v>10</v>
      </c>
      <c r="C114" s="1" t="s">
        <v>418</v>
      </c>
      <c r="D114" s="5" t="s">
        <v>45</v>
      </c>
    </row>
    <row r="115" customFormat="false" ht="24" hidden="false" customHeight="true" outlineLevel="0" collapsed="false">
      <c r="A115" s="1" t="s">
        <v>124</v>
      </c>
      <c r="B115" s="8" t="n">
        <v>11</v>
      </c>
      <c r="C115" s="1" t="s">
        <v>347</v>
      </c>
      <c r="D115" s="5" t="s">
        <v>348</v>
      </c>
    </row>
    <row r="116" customFormat="false" ht="24" hidden="false" customHeight="true" outlineLevel="0" collapsed="false">
      <c r="A116" s="1" t="s">
        <v>124</v>
      </c>
      <c r="B116" s="8" t="n">
        <v>12</v>
      </c>
      <c r="C116" s="1" t="s">
        <v>367</v>
      </c>
      <c r="D116" s="5" t="s">
        <v>53</v>
      </c>
    </row>
    <row r="117" customFormat="false" ht="24" hidden="false" customHeight="true" outlineLevel="0" collapsed="false">
      <c r="A117" s="1" t="s">
        <v>124</v>
      </c>
      <c r="B117" s="8" t="n">
        <v>13</v>
      </c>
      <c r="C117" s="1" t="s">
        <v>419</v>
      </c>
      <c r="D117" s="5" t="s">
        <v>53</v>
      </c>
    </row>
    <row r="118" customFormat="false" ht="24" hidden="false" customHeight="true" outlineLevel="0" collapsed="false">
      <c r="A118" s="1" t="s">
        <v>124</v>
      </c>
      <c r="B118" s="8" t="n">
        <v>14</v>
      </c>
      <c r="C118" s="1" t="s">
        <v>382</v>
      </c>
      <c r="D118" s="5" t="s">
        <v>56</v>
      </c>
    </row>
    <row r="119" customFormat="false" ht="24" hidden="false" customHeight="true" outlineLevel="0" collapsed="false">
      <c r="A119" s="1" t="s">
        <v>124</v>
      </c>
      <c r="B119" s="8" t="n">
        <v>15</v>
      </c>
      <c r="C119" s="1" t="s">
        <v>371</v>
      </c>
      <c r="D119" s="5" t="s">
        <v>56</v>
      </c>
    </row>
    <row r="120" customFormat="false" ht="24" hidden="false" customHeight="true" outlineLevel="0" collapsed="false">
      <c r="A120" s="1" t="s">
        <v>124</v>
      </c>
      <c r="B120" s="8" t="n">
        <v>16</v>
      </c>
      <c r="C120" s="1" t="s">
        <v>353</v>
      </c>
      <c r="D120" s="5" t="s">
        <v>348</v>
      </c>
    </row>
    <row r="121" customFormat="false" ht="24" hidden="false" customHeight="true" outlineLevel="0" collapsed="false">
      <c r="A121" s="1" t="s">
        <v>130</v>
      </c>
      <c r="B121" s="8" t="n">
        <v>1</v>
      </c>
      <c r="C121" s="1" t="s">
        <v>420</v>
      </c>
      <c r="D121" s="5" t="s">
        <v>56</v>
      </c>
    </row>
    <row r="122" customFormat="false" ht="24" hidden="false" customHeight="true" outlineLevel="0" collapsed="false">
      <c r="A122" s="1" t="s">
        <v>130</v>
      </c>
      <c r="B122" s="8" t="n">
        <v>2</v>
      </c>
      <c r="C122" s="1" t="s">
        <v>383</v>
      </c>
      <c r="D122" s="5" t="s">
        <v>56</v>
      </c>
    </row>
    <row r="123" customFormat="false" ht="24" hidden="false" customHeight="true" outlineLevel="0" collapsed="false">
      <c r="A123" s="1" t="s">
        <v>130</v>
      </c>
      <c r="B123" s="8" t="n">
        <v>3</v>
      </c>
      <c r="C123" s="1" t="s">
        <v>358</v>
      </c>
      <c r="D123" s="5" t="s">
        <v>56</v>
      </c>
    </row>
    <row r="124" customFormat="false" ht="24" hidden="false" customHeight="true" outlineLevel="0" collapsed="false">
      <c r="A124" s="1" t="s">
        <v>130</v>
      </c>
      <c r="B124" s="8" t="n">
        <v>4</v>
      </c>
      <c r="C124" s="1" t="s">
        <v>414</v>
      </c>
      <c r="D124" s="5" t="s">
        <v>348</v>
      </c>
    </row>
    <row r="125" customFormat="false" ht="24" hidden="false" customHeight="true" outlineLevel="0" collapsed="false">
      <c r="A125" s="1" t="s">
        <v>130</v>
      </c>
      <c r="B125" s="8" t="n">
        <v>5</v>
      </c>
      <c r="C125" s="1" t="s">
        <v>357</v>
      </c>
      <c r="D125" s="5" t="s">
        <v>50</v>
      </c>
    </row>
    <row r="126" customFormat="false" ht="24" hidden="false" customHeight="true" outlineLevel="0" collapsed="false">
      <c r="A126" s="1" t="s">
        <v>130</v>
      </c>
      <c r="B126" s="8" t="n">
        <v>6</v>
      </c>
      <c r="C126" s="1" t="s">
        <v>421</v>
      </c>
      <c r="D126" s="5" t="s">
        <v>348</v>
      </c>
    </row>
    <row r="127" customFormat="false" ht="24" hidden="false" customHeight="true" outlineLevel="0" collapsed="false">
      <c r="A127" s="1" t="s">
        <v>130</v>
      </c>
      <c r="B127" s="8" t="n">
        <v>7</v>
      </c>
      <c r="C127" s="1" t="s">
        <v>395</v>
      </c>
      <c r="D127" s="5" t="s">
        <v>51</v>
      </c>
    </row>
    <row r="128" customFormat="false" ht="24" hidden="false" customHeight="true" outlineLevel="0" collapsed="false">
      <c r="A128" s="1" t="s">
        <v>130</v>
      </c>
      <c r="B128" s="8" t="n">
        <v>8</v>
      </c>
      <c r="C128" s="1" t="s">
        <v>422</v>
      </c>
      <c r="D128" s="5" t="s">
        <v>45</v>
      </c>
    </row>
    <row r="129" customFormat="false" ht="24" hidden="false" customHeight="true" outlineLevel="0" collapsed="false">
      <c r="A129" s="1" t="s">
        <v>130</v>
      </c>
      <c r="B129" s="8" t="n">
        <v>9</v>
      </c>
      <c r="C129" s="1" t="s">
        <v>423</v>
      </c>
      <c r="D129" s="5" t="s">
        <v>45</v>
      </c>
    </row>
    <row r="130" customFormat="false" ht="24" hidden="false" customHeight="true" outlineLevel="0" collapsed="false">
      <c r="A130" s="1" t="s">
        <v>130</v>
      </c>
      <c r="B130" s="8" t="n">
        <v>10</v>
      </c>
      <c r="C130" s="1" t="s">
        <v>347</v>
      </c>
      <c r="D130" s="5" t="s">
        <v>348</v>
      </c>
    </row>
    <row r="131" customFormat="false" ht="24" hidden="false" customHeight="true" outlineLevel="0" collapsed="false">
      <c r="A131" s="1" t="s">
        <v>130</v>
      </c>
      <c r="B131" s="8" t="n">
        <v>11</v>
      </c>
      <c r="C131" s="1" t="s">
        <v>408</v>
      </c>
      <c r="D131" s="5" t="s">
        <v>53</v>
      </c>
    </row>
    <row r="132" customFormat="false" ht="24" hidden="false" customHeight="true" outlineLevel="0" collapsed="false">
      <c r="A132" s="1" t="s">
        <v>130</v>
      </c>
      <c r="B132" s="8" t="n">
        <v>12</v>
      </c>
      <c r="C132" s="1" t="s">
        <v>424</v>
      </c>
      <c r="D132" s="5" t="s">
        <v>53</v>
      </c>
    </row>
    <row r="133" customFormat="false" ht="24" hidden="false" customHeight="true" outlineLevel="0" collapsed="false">
      <c r="A133" s="1" t="s">
        <v>130</v>
      </c>
      <c r="B133" s="8" t="n">
        <v>13</v>
      </c>
      <c r="C133" s="1" t="s">
        <v>353</v>
      </c>
      <c r="D133" s="5" t="s">
        <v>348</v>
      </c>
    </row>
    <row r="134" customFormat="false" ht="24" hidden="false" customHeight="true" outlineLevel="0" collapsed="false">
      <c r="A134" s="1" t="s">
        <v>136</v>
      </c>
      <c r="B134" s="8" t="n">
        <v>1</v>
      </c>
      <c r="C134" s="1" t="s">
        <v>425</v>
      </c>
      <c r="D134" s="5" t="s">
        <v>47</v>
      </c>
    </row>
    <row r="135" customFormat="false" ht="24" hidden="false" customHeight="true" outlineLevel="0" collapsed="false">
      <c r="A135" s="1" t="s">
        <v>136</v>
      </c>
      <c r="B135" s="8" t="n">
        <v>2</v>
      </c>
      <c r="C135" s="1" t="s">
        <v>426</v>
      </c>
      <c r="D135" s="5" t="s">
        <v>51</v>
      </c>
    </row>
    <row r="136" customFormat="false" ht="24" hidden="false" customHeight="true" outlineLevel="0" collapsed="false">
      <c r="A136" s="1" t="s">
        <v>136</v>
      </c>
      <c r="B136" s="8" t="n">
        <v>3</v>
      </c>
      <c r="C136" s="1" t="s">
        <v>427</v>
      </c>
      <c r="D136" s="5" t="s">
        <v>53</v>
      </c>
    </row>
    <row r="137" customFormat="false" ht="24" hidden="false" customHeight="true" outlineLevel="0" collapsed="false">
      <c r="A137" s="1" t="s">
        <v>136</v>
      </c>
      <c r="B137" s="8" t="n">
        <v>4</v>
      </c>
      <c r="C137" s="1" t="s">
        <v>428</v>
      </c>
      <c r="D137" s="5" t="s">
        <v>53</v>
      </c>
    </row>
    <row r="138" customFormat="false" ht="24" hidden="false" customHeight="true" outlineLevel="0" collapsed="false">
      <c r="A138" s="1" t="s">
        <v>136</v>
      </c>
      <c r="B138" s="8" t="n">
        <v>5</v>
      </c>
      <c r="C138" s="1" t="s">
        <v>399</v>
      </c>
      <c r="D138" s="5" t="s">
        <v>56</v>
      </c>
    </row>
    <row r="139" customFormat="false" ht="24" hidden="false" customHeight="true" outlineLevel="0" collapsed="false">
      <c r="A139" s="1" t="s">
        <v>136</v>
      </c>
      <c r="B139" s="8" t="n">
        <v>6</v>
      </c>
      <c r="C139" s="1" t="s">
        <v>371</v>
      </c>
      <c r="D139" s="5" t="s">
        <v>56</v>
      </c>
    </row>
    <row r="140" customFormat="false" ht="24" hidden="false" customHeight="true" outlineLevel="0" collapsed="false">
      <c r="A140" s="1" t="s">
        <v>136</v>
      </c>
      <c r="B140" s="8" t="n">
        <v>7</v>
      </c>
      <c r="C140" s="1" t="s">
        <v>387</v>
      </c>
      <c r="D140" s="5" t="s">
        <v>348</v>
      </c>
    </row>
    <row r="141" customFormat="false" ht="24" hidden="false" customHeight="true" outlineLevel="0" collapsed="false">
      <c r="A141" s="1" t="s">
        <v>136</v>
      </c>
      <c r="B141" s="8" t="n">
        <v>8</v>
      </c>
      <c r="C141" s="1" t="s">
        <v>140</v>
      </c>
      <c r="D141" s="5" t="s">
        <v>52</v>
      </c>
    </row>
    <row r="142" customFormat="false" ht="24" hidden="false" customHeight="true" outlineLevel="0" collapsed="false">
      <c r="A142" s="1" t="s">
        <v>136</v>
      </c>
      <c r="B142" s="8" t="n">
        <v>9</v>
      </c>
      <c r="C142" s="1" t="s">
        <v>429</v>
      </c>
      <c r="D142" s="5" t="s">
        <v>51</v>
      </c>
    </row>
    <row r="143" customFormat="false" ht="24" hidden="false" customHeight="true" outlineLevel="0" collapsed="false">
      <c r="A143" s="1" t="s">
        <v>136</v>
      </c>
      <c r="B143" s="8" t="n">
        <v>10</v>
      </c>
      <c r="C143" s="1" t="s">
        <v>366</v>
      </c>
      <c r="D143" s="5" t="s">
        <v>51</v>
      </c>
    </row>
    <row r="144" customFormat="false" ht="24" hidden="false" customHeight="true" outlineLevel="0" collapsed="false">
      <c r="A144" s="1" t="s">
        <v>136</v>
      </c>
      <c r="B144" s="8" t="n">
        <v>11</v>
      </c>
      <c r="C144" s="1" t="s">
        <v>355</v>
      </c>
      <c r="D144" s="5" t="s">
        <v>51</v>
      </c>
    </row>
    <row r="145" customFormat="false" ht="24" hidden="false" customHeight="true" outlineLevel="0" collapsed="false">
      <c r="A145" s="1" t="s">
        <v>136</v>
      </c>
      <c r="B145" s="8" t="n">
        <v>12</v>
      </c>
      <c r="C145" s="1" t="s">
        <v>353</v>
      </c>
      <c r="D145" s="5" t="s">
        <v>348</v>
      </c>
    </row>
    <row r="146" customFormat="false" ht="24" hidden="false" customHeight="true" outlineLevel="0" collapsed="false">
      <c r="A146" s="1" t="s">
        <v>143</v>
      </c>
      <c r="B146" s="8" t="n">
        <v>1</v>
      </c>
      <c r="C146" s="1" t="s">
        <v>430</v>
      </c>
      <c r="D146" s="5" t="s">
        <v>45</v>
      </c>
    </row>
    <row r="147" customFormat="false" ht="24" hidden="false" customHeight="true" outlineLevel="0" collapsed="false">
      <c r="A147" s="1" t="s">
        <v>143</v>
      </c>
      <c r="B147" s="8" t="n">
        <v>2</v>
      </c>
      <c r="C147" s="1" t="s">
        <v>431</v>
      </c>
      <c r="D147" s="5" t="s">
        <v>45</v>
      </c>
    </row>
    <row r="148" customFormat="false" ht="24" hidden="false" customHeight="true" outlineLevel="0" collapsed="false">
      <c r="A148" s="1" t="s">
        <v>143</v>
      </c>
      <c r="B148" s="8" t="n">
        <v>3</v>
      </c>
      <c r="C148" s="1" t="s">
        <v>140</v>
      </c>
      <c r="D148" s="5" t="s">
        <v>45</v>
      </c>
    </row>
    <row r="149" customFormat="false" ht="24" hidden="false" customHeight="true" outlineLevel="0" collapsed="false">
      <c r="A149" s="1" t="s">
        <v>143</v>
      </c>
      <c r="B149" s="8" t="n">
        <v>4</v>
      </c>
      <c r="C149" s="1" t="s">
        <v>432</v>
      </c>
      <c r="D149" s="5" t="s">
        <v>51</v>
      </c>
    </row>
    <row r="150" customFormat="false" ht="24" hidden="false" customHeight="true" outlineLevel="0" collapsed="false">
      <c r="A150" s="1" t="s">
        <v>143</v>
      </c>
      <c r="B150" s="8" t="n">
        <v>5</v>
      </c>
      <c r="C150" s="1" t="s">
        <v>369</v>
      </c>
      <c r="D150" s="5" t="s">
        <v>348</v>
      </c>
    </row>
    <row r="151" customFormat="false" ht="24" hidden="false" customHeight="true" outlineLevel="0" collapsed="false">
      <c r="A151" s="1" t="s">
        <v>143</v>
      </c>
      <c r="B151" s="8" t="n">
        <v>6</v>
      </c>
      <c r="C151" s="1" t="s">
        <v>433</v>
      </c>
      <c r="D151" s="5" t="s">
        <v>47</v>
      </c>
    </row>
    <row r="152" customFormat="false" ht="24" hidden="false" customHeight="true" outlineLevel="0" collapsed="false">
      <c r="A152" s="1" t="s">
        <v>143</v>
      </c>
      <c r="B152" s="8" t="n">
        <v>7</v>
      </c>
      <c r="C152" s="1" t="s">
        <v>352</v>
      </c>
      <c r="D152" s="5" t="s">
        <v>56</v>
      </c>
    </row>
    <row r="153" customFormat="false" ht="24" hidden="false" customHeight="true" outlineLevel="0" collapsed="false">
      <c r="A153" s="1" t="s">
        <v>143</v>
      </c>
      <c r="B153" s="8" t="n">
        <v>8</v>
      </c>
      <c r="C153" s="1" t="s">
        <v>383</v>
      </c>
      <c r="D153" s="5" t="s">
        <v>56</v>
      </c>
    </row>
    <row r="154" customFormat="false" ht="24" hidden="false" customHeight="true" outlineLevel="0" collapsed="false">
      <c r="A154" s="1" t="s">
        <v>143</v>
      </c>
      <c r="B154" s="8" t="n">
        <v>9</v>
      </c>
      <c r="C154" s="1" t="s">
        <v>347</v>
      </c>
      <c r="D154" s="5" t="s">
        <v>348</v>
      </c>
    </row>
    <row r="155" customFormat="false" ht="24" hidden="false" customHeight="true" outlineLevel="0" collapsed="false">
      <c r="A155" s="1" t="s">
        <v>143</v>
      </c>
      <c r="B155" s="8" t="n">
        <v>10</v>
      </c>
      <c r="C155" s="1" t="s">
        <v>367</v>
      </c>
      <c r="D155" s="5" t="s">
        <v>53</v>
      </c>
    </row>
    <row r="156" customFormat="false" ht="24" hidden="false" customHeight="true" outlineLevel="0" collapsed="false">
      <c r="A156" s="1" t="s">
        <v>143</v>
      </c>
      <c r="B156" s="8" t="n">
        <v>11</v>
      </c>
      <c r="C156" s="1" t="s">
        <v>434</v>
      </c>
      <c r="D156" s="5" t="s">
        <v>53</v>
      </c>
    </row>
    <row r="157" customFormat="false" ht="24" hidden="false" customHeight="true" outlineLevel="0" collapsed="false">
      <c r="A157" s="1" t="s">
        <v>143</v>
      </c>
      <c r="B157" s="8" t="n">
        <v>12</v>
      </c>
      <c r="C157" s="1" t="s">
        <v>353</v>
      </c>
      <c r="D157" s="5" t="s">
        <v>348</v>
      </c>
    </row>
    <row r="158" customFormat="false" ht="24" hidden="false" customHeight="true" outlineLevel="0" collapsed="false">
      <c r="A158" s="1" t="s">
        <v>149</v>
      </c>
      <c r="B158" s="8" t="n">
        <v>1</v>
      </c>
      <c r="C158" s="1" t="s">
        <v>435</v>
      </c>
      <c r="D158" s="5" t="s">
        <v>348</v>
      </c>
    </row>
    <row r="159" customFormat="false" ht="24" hidden="false" customHeight="true" outlineLevel="0" collapsed="false">
      <c r="A159" s="1" t="s">
        <v>149</v>
      </c>
      <c r="B159" s="8" t="n">
        <v>2</v>
      </c>
      <c r="C159" s="1" t="s">
        <v>433</v>
      </c>
      <c r="D159" s="5" t="s">
        <v>47</v>
      </c>
    </row>
    <row r="160" customFormat="false" ht="24" hidden="false" customHeight="true" outlineLevel="0" collapsed="false">
      <c r="A160" s="1" t="s">
        <v>149</v>
      </c>
      <c r="B160" s="8" t="n">
        <v>3</v>
      </c>
      <c r="C160" s="1" t="s">
        <v>347</v>
      </c>
      <c r="D160" s="5" t="s">
        <v>348</v>
      </c>
    </row>
    <row r="161" customFormat="false" ht="24" hidden="false" customHeight="true" outlineLevel="0" collapsed="false">
      <c r="A161" s="1" t="s">
        <v>149</v>
      </c>
      <c r="B161" s="8" t="n">
        <v>4</v>
      </c>
      <c r="C161" s="1" t="s">
        <v>360</v>
      </c>
      <c r="D161" s="5" t="s">
        <v>53</v>
      </c>
    </row>
    <row r="162" customFormat="false" ht="24" hidden="false" customHeight="true" outlineLevel="0" collapsed="false">
      <c r="A162" s="1" t="s">
        <v>149</v>
      </c>
      <c r="B162" s="8" t="n">
        <v>5</v>
      </c>
      <c r="C162" s="1" t="s">
        <v>436</v>
      </c>
      <c r="D162" s="5" t="s">
        <v>53</v>
      </c>
    </row>
    <row r="163" customFormat="false" ht="24" hidden="false" customHeight="true" outlineLevel="0" collapsed="false">
      <c r="A163" s="1" t="s">
        <v>149</v>
      </c>
      <c r="B163" s="8" t="n">
        <v>6</v>
      </c>
      <c r="C163" s="1" t="s">
        <v>370</v>
      </c>
      <c r="D163" s="5" t="s">
        <v>56</v>
      </c>
    </row>
    <row r="164" customFormat="false" ht="24" hidden="false" customHeight="true" outlineLevel="0" collapsed="false">
      <c r="A164" s="1" t="s">
        <v>149</v>
      </c>
      <c r="B164" s="8" t="n">
        <v>7</v>
      </c>
      <c r="C164" s="1" t="s">
        <v>383</v>
      </c>
      <c r="D164" s="5" t="s">
        <v>56</v>
      </c>
    </row>
    <row r="165" customFormat="false" ht="24" hidden="false" customHeight="true" outlineLevel="0" collapsed="false">
      <c r="A165" s="1" t="s">
        <v>149</v>
      </c>
      <c r="B165" s="8" t="n">
        <v>8</v>
      </c>
      <c r="C165" s="1" t="s">
        <v>414</v>
      </c>
      <c r="D165" s="5" t="s">
        <v>348</v>
      </c>
    </row>
    <row r="166" customFormat="false" ht="24" hidden="false" customHeight="true" outlineLevel="0" collapsed="false">
      <c r="A166" s="1" t="s">
        <v>149</v>
      </c>
      <c r="B166" s="8" t="n">
        <v>9</v>
      </c>
      <c r="C166" s="1" t="s">
        <v>152</v>
      </c>
      <c r="D166" s="5" t="s">
        <v>52</v>
      </c>
    </row>
    <row r="167" customFormat="false" ht="24" hidden="false" customHeight="true" outlineLevel="0" collapsed="false">
      <c r="A167" s="1" t="s">
        <v>149</v>
      </c>
      <c r="B167" s="8" t="n">
        <v>10</v>
      </c>
      <c r="C167" s="1" t="s">
        <v>437</v>
      </c>
      <c r="D167" s="5" t="s">
        <v>51</v>
      </c>
    </row>
    <row r="168" customFormat="false" ht="24" hidden="false" customHeight="true" outlineLevel="0" collapsed="false">
      <c r="A168" s="1" t="s">
        <v>149</v>
      </c>
      <c r="B168" s="8" t="n">
        <v>11</v>
      </c>
      <c r="C168" s="1" t="s">
        <v>438</v>
      </c>
      <c r="D168" s="5" t="s">
        <v>51</v>
      </c>
    </row>
    <row r="169" customFormat="false" ht="24" hidden="false" customHeight="true" outlineLevel="0" collapsed="false">
      <c r="A169" s="1" t="s">
        <v>149</v>
      </c>
      <c r="B169" s="8" t="n">
        <v>12</v>
      </c>
      <c r="C169" s="1" t="s">
        <v>353</v>
      </c>
      <c r="D169" s="5" t="s">
        <v>348</v>
      </c>
    </row>
    <row r="170" customFormat="false" ht="24" hidden="false" customHeight="true" outlineLevel="0" collapsed="false">
      <c r="A170" s="1" t="s">
        <v>154</v>
      </c>
      <c r="B170" s="8" t="n">
        <v>1</v>
      </c>
      <c r="C170" s="1" t="s">
        <v>157</v>
      </c>
      <c r="D170" s="5" t="s">
        <v>52</v>
      </c>
    </row>
    <row r="171" customFormat="false" ht="24" hidden="false" customHeight="true" outlineLevel="0" collapsed="false">
      <c r="A171" s="1" t="s">
        <v>154</v>
      </c>
      <c r="B171" s="8" t="n">
        <v>2</v>
      </c>
      <c r="C171" s="1" t="s">
        <v>439</v>
      </c>
      <c r="D171" s="5" t="s">
        <v>51</v>
      </c>
    </row>
    <row r="172" customFormat="false" ht="24" hidden="false" customHeight="true" outlineLevel="0" collapsed="false">
      <c r="A172" s="1" t="s">
        <v>154</v>
      </c>
      <c r="B172" s="8" t="n">
        <v>3</v>
      </c>
      <c r="C172" s="1" t="s">
        <v>373</v>
      </c>
      <c r="D172" s="5" t="s">
        <v>51</v>
      </c>
    </row>
    <row r="173" customFormat="false" ht="24" hidden="false" customHeight="true" outlineLevel="0" collapsed="false">
      <c r="A173" s="1" t="s">
        <v>154</v>
      </c>
      <c r="B173" s="8" t="n">
        <v>4</v>
      </c>
      <c r="C173" s="1" t="s">
        <v>440</v>
      </c>
      <c r="D173" s="5" t="s">
        <v>348</v>
      </c>
    </row>
    <row r="174" customFormat="false" ht="24" hidden="false" customHeight="true" outlineLevel="0" collapsed="false">
      <c r="A174" s="1" t="s">
        <v>154</v>
      </c>
      <c r="B174" s="8" t="n">
        <v>5</v>
      </c>
      <c r="C174" s="1" t="s">
        <v>433</v>
      </c>
      <c r="D174" s="5" t="s">
        <v>47</v>
      </c>
    </row>
    <row r="175" customFormat="false" ht="24" hidden="false" customHeight="true" outlineLevel="0" collapsed="false">
      <c r="A175" s="1" t="s">
        <v>154</v>
      </c>
      <c r="B175" s="8" t="n">
        <v>6</v>
      </c>
      <c r="C175" s="1" t="s">
        <v>441</v>
      </c>
      <c r="D175" s="5" t="s">
        <v>348</v>
      </c>
    </row>
    <row r="176" customFormat="false" ht="24" hidden="false" customHeight="true" outlineLevel="0" collapsed="false">
      <c r="A176" s="1" t="s">
        <v>154</v>
      </c>
      <c r="B176" s="8" t="n">
        <v>7</v>
      </c>
      <c r="C176" s="1" t="s">
        <v>442</v>
      </c>
      <c r="D176" s="5" t="s">
        <v>51</v>
      </c>
    </row>
    <row r="177" customFormat="false" ht="24" hidden="false" customHeight="true" outlineLevel="0" collapsed="false">
      <c r="A177" s="1" t="s">
        <v>154</v>
      </c>
      <c r="B177" s="8" t="n">
        <v>8</v>
      </c>
      <c r="C177" s="1" t="s">
        <v>443</v>
      </c>
      <c r="D177" s="5" t="s">
        <v>45</v>
      </c>
    </row>
    <row r="178" customFormat="false" ht="24" hidden="false" customHeight="true" outlineLevel="0" collapsed="false">
      <c r="A178" s="1" t="s">
        <v>154</v>
      </c>
      <c r="B178" s="8" t="n">
        <v>9</v>
      </c>
      <c r="C178" s="1" t="s">
        <v>444</v>
      </c>
      <c r="D178" s="5" t="s">
        <v>45</v>
      </c>
    </row>
    <row r="179" customFormat="false" ht="24" hidden="false" customHeight="true" outlineLevel="0" collapsed="false">
      <c r="A179" s="1" t="s">
        <v>154</v>
      </c>
      <c r="B179" s="8" t="n">
        <v>10</v>
      </c>
      <c r="C179" s="1" t="s">
        <v>347</v>
      </c>
      <c r="D179" s="5" t="s">
        <v>348</v>
      </c>
    </row>
    <row r="180" customFormat="false" ht="24" hidden="false" customHeight="true" outlineLevel="0" collapsed="false">
      <c r="A180" s="1" t="s">
        <v>154</v>
      </c>
      <c r="B180" s="8" t="n">
        <v>11</v>
      </c>
      <c r="C180" s="1" t="s">
        <v>445</v>
      </c>
      <c r="D180" s="5" t="s">
        <v>53</v>
      </c>
    </row>
    <row r="181" customFormat="false" ht="24" hidden="false" customHeight="true" outlineLevel="0" collapsed="false">
      <c r="A181" s="1" t="s">
        <v>154</v>
      </c>
      <c r="B181" s="8" t="n">
        <v>12</v>
      </c>
      <c r="C181" s="1" t="s">
        <v>446</v>
      </c>
      <c r="D181" s="5" t="s">
        <v>53</v>
      </c>
    </row>
    <row r="182" customFormat="false" ht="24" hidden="false" customHeight="true" outlineLevel="0" collapsed="false">
      <c r="A182" s="1" t="s">
        <v>154</v>
      </c>
      <c r="B182" s="8" t="n">
        <v>13</v>
      </c>
      <c r="C182" s="1" t="s">
        <v>399</v>
      </c>
      <c r="D182" s="5" t="s">
        <v>56</v>
      </c>
    </row>
    <row r="183" customFormat="false" ht="24" hidden="false" customHeight="true" outlineLevel="0" collapsed="false">
      <c r="A183" s="1" t="s">
        <v>154</v>
      </c>
      <c r="B183" s="8" t="n">
        <v>14</v>
      </c>
      <c r="C183" s="1" t="s">
        <v>383</v>
      </c>
      <c r="D183" s="5" t="s">
        <v>56</v>
      </c>
    </row>
    <row r="184" customFormat="false" ht="24" hidden="false" customHeight="true" outlineLevel="0" collapsed="false">
      <c r="A184" s="1" t="s">
        <v>154</v>
      </c>
      <c r="B184" s="8" t="n">
        <v>15</v>
      </c>
      <c r="C184" s="1" t="s">
        <v>353</v>
      </c>
      <c r="D184" s="5" t="s">
        <v>348</v>
      </c>
    </row>
    <row r="185" customFormat="false" ht="24" hidden="false" customHeight="true" outlineLevel="0" collapsed="false">
      <c r="A185" s="1" t="s">
        <v>161</v>
      </c>
      <c r="B185" s="8" t="n">
        <v>1</v>
      </c>
      <c r="C185" s="1" t="s">
        <v>447</v>
      </c>
      <c r="D185" s="5" t="s">
        <v>52</v>
      </c>
    </row>
    <row r="186" customFormat="false" ht="24" hidden="false" customHeight="true" outlineLevel="0" collapsed="false">
      <c r="A186" s="1" t="s">
        <v>161</v>
      </c>
      <c r="B186" s="8" t="n">
        <v>2</v>
      </c>
      <c r="C186" s="1" t="s">
        <v>448</v>
      </c>
      <c r="D186" s="5" t="s">
        <v>52</v>
      </c>
    </row>
    <row r="187" customFormat="false" ht="24" hidden="false" customHeight="true" outlineLevel="0" collapsed="false">
      <c r="A187" s="1" t="s">
        <v>161</v>
      </c>
      <c r="B187" s="8" t="n">
        <v>3</v>
      </c>
      <c r="C187" s="1" t="s">
        <v>449</v>
      </c>
      <c r="D187" s="5" t="s">
        <v>348</v>
      </c>
    </row>
    <row r="188" customFormat="false" ht="24" hidden="false" customHeight="true" outlineLevel="0" collapsed="false">
      <c r="A188" s="1" t="s">
        <v>161</v>
      </c>
      <c r="B188" s="8" t="n">
        <v>4</v>
      </c>
      <c r="C188" s="1" t="s">
        <v>450</v>
      </c>
      <c r="D188" s="5" t="s">
        <v>348</v>
      </c>
    </row>
    <row r="189" customFormat="false" ht="24" hidden="false" customHeight="true" outlineLevel="0" collapsed="false">
      <c r="A189" s="1" t="s">
        <v>161</v>
      </c>
      <c r="B189" s="8" t="n">
        <v>5</v>
      </c>
      <c r="C189" s="1" t="s">
        <v>433</v>
      </c>
      <c r="D189" s="5" t="s">
        <v>47</v>
      </c>
    </row>
    <row r="190" customFormat="false" ht="24" hidden="false" customHeight="true" outlineLevel="0" collapsed="false">
      <c r="A190" s="1" t="s">
        <v>161</v>
      </c>
      <c r="B190" s="8" t="n">
        <v>6</v>
      </c>
      <c r="C190" s="1" t="s">
        <v>347</v>
      </c>
      <c r="D190" s="5" t="s">
        <v>348</v>
      </c>
    </row>
    <row r="191" customFormat="false" ht="24" hidden="false" customHeight="true" outlineLevel="0" collapsed="false">
      <c r="A191" s="1" t="s">
        <v>161</v>
      </c>
      <c r="B191" s="8" t="n">
        <v>7</v>
      </c>
      <c r="C191" s="1" t="s">
        <v>367</v>
      </c>
      <c r="D191" s="5" t="s">
        <v>53</v>
      </c>
    </row>
    <row r="192" customFormat="false" ht="24" hidden="false" customHeight="true" outlineLevel="0" collapsed="false">
      <c r="A192" s="1" t="s">
        <v>161</v>
      </c>
      <c r="B192" s="8" t="n">
        <v>8</v>
      </c>
      <c r="C192" s="1" t="s">
        <v>451</v>
      </c>
      <c r="D192" s="5" t="s">
        <v>53</v>
      </c>
    </row>
    <row r="193" customFormat="false" ht="24" hidden="false" customHeight="true" outlineLevel="0" collapsed="false">
      <c r="A193" s="1" t="s">
        <v>161</v>
      </c>
      <c r="B193" s="8" t="n">
        <v>9</v>
      </c>
      <c r="C193" s="1" t="s">
        <v>383</v>
      </c>
      <c r="D193" s="5" t="s">
        <v>56</v>
      </c>
    </row>
    <row r="194" customFormat="false" ht="24" hidden="false" customHeight="true" outlineLevel="0" collapsed="false">
      <c r="A194" s="1" t="s">
        <v>161</v>
      </c>
      <c r="B194" s="8" t="n">
        <v>10</v>
      </c>
      <c r="C194" s="1" t="s">
        <v>358</v>
      </c>
      <c r="D194" s="5" t="s">
        <v>56</v>
      </c>
    </row>
    <row r="195" customFormat="false" ht="24" hidden="false" customHeight="true" outlineLevel="0" collapsed="false">
      <c r="A195" s="1" t="s">
        <v>161</v>
      </c>
      <c r="B195" s="8" t="n">
        <v>11</v>
      </c>
      <c r="C195" s="1" t="s">
        <v>452</v>
      </c>
      <c r="D195" s="5" t="s">
        <v>348</v>
      </c>
    </row>
    <row r="196" customFormat="false" ht="24" hidden="false" customHeight="true" outlineLevel="0" collapsed="false">
      <c r="A196" s="1" t="s">
        <v>161</v>
      </c>
      <c r="B196" s="8" t="n">
        <v>12</v>
      </c>
      <c r="C196" s="1" t="s">
        <v>387</v>
      </c>
      <c r="D196" s="5" t="s">
        <v>348</v>
      </c>
    </row>
    <row r="197" customFormat="false" ht="24" hidden="false" customHeight="true" outlineLevel="0" collapsed="false">
      <c r="A197" s="1" t="s">
        <v>161</v>
      </c>
      <c r="B197" s="8" t="n">
        <v>13</v>
      </c>
      <c r="C197" s="1" t="s">
        <v>453</v>
      </c>
      <c r="D197" s="5" t="s">
        <v>45</v>
      </c>
    </row>
    <row r="198" customFormat="false" ht="24" hidden="false" customHeight="true" outlineLevel="0" collapsed="false">
      <c r="A198" s="1" t="s">
        <v>161</v>
      </c>
      <c r="B198" s="8" t="n">
        <v>14</v>
      </c>
      <c r="C198" s="1" t="s">
        <v>355</v>
      </c>
      <c r="D198" s="5" t="s">
        <v>45</v>
      </c>
    </row>
    <row r="199" customFormat="false" ht="24" hidden="false" customHeight="true" outlineLevel="0" collapsed="false">
      <c r="A199" s="1" t="s">
        <v>161</v>
      </c>
      <c r="B199" s="8" t="n">
        <v>15</v>
      </c>
      <c r="C199" s="1" t="s">
        <v>454</v>
      </c>
      <c r="D199" s="5" t="s">
        <v>51</v>
      </c>
    </row>
    <row r="200" customFormat="false" ht="24" hidden="false" customHeight="true" outlineLevel="0" collapsed="false">
      <c r="A200" s="1" t="s">
        <v>161</v>
      </c>
      <c r="B200" s="8" t="n">
        <v>16</v>
      </c>
      <c r="C200" s="1" t="s">
        <v>353</v>
      </c>
      <c r="D200" s="5" t="s">
        <v>348</v>
      </c>
    </row>
    <row r="201" customFormat="false" ht="24" hidden="false" customHeight="true" outlineLevel="0" collapsed="false">
      <c r="A201" s="1" t="s">
        <v>168</v>
      </c>
      <c r="B201" s="8" t="n">
        <v>1</v>
      </c>
      <c r="C201" s="1" t="s">
        <v>455</v>
      </c>
      <c r="D201" s="5" t="s">
        <v>348</v>
      </c>
    </row>
    <row r="202" customFormat="false" ht="24" hidden="false" customHeight="true" outlineLevel="0" collapsed="false">
      <c r="A202" s="1" t="s">
        <v>168</v>
      </c>
      <c r="B202" s="8" t="n">
        <v>2</v>
      </c>
      <c r="C202" s="1" t="s">
        <v>456</v>
      </c>
      <c r="D202" s="5" t="s">
        <v>54</v>
      </c>
    </row>
    <row r="203" customFormat="false" ht="24" hidden="false" customHeight="true" outlineLevel="0" collapsed="false">
      <c r="A203" s="1" t="s">
        <v>168</v>
      </c>
      <c r="B203" s="8" t="n">
        <v>3</v>
      </c>
      <c r="C203" s="1" t="s">
        <v>457</v>
      </c>
      <c r="D203" s="5" t="s">
        <v>54</v>
      </c>
    </row>
    <row r="204" customFormat="false" ht="24" hidden="false" customHeight="true" outlineLevel="0" collapsed="false">
      <c r="A204" s="1" t="s">
        <v>168</v>
      </c>
      <c r="B204" s="8" t="n">
        <v>4</v>
      </c>
      <c r="C204" s="1" t="s">
        <v>414</v>
      </c>
      <c r="D204" s="5" t="s">
        <v>348</v>
      </c>
    </row>
    <row r="205" customFormat="false" ht="24" hidden="false" customHeight="true" outlineLevel="0" collapsed="false">
      <c r="A205" s="1" t="s">
        <v>168</v>
      </c>
      <c r="B205" s="8" t="n">
        <v>5</v>
      </c>
      <c r="C205" s="1" t="s">
        <v>433</v>
      </c>
      <c r="D205" s="5" t="s">
        <v>47</v>
      </c>
    </row>
    <row r="206" customFormat="false" ht="24" hidden="false" customHeight="true" outlineLevel="0" collapsed="false">
      <c r="A206" s="1" t="s">
        <v>168</v>
      </c>
      <c r="B206" s="8" t="n">
        <v>6</v>
      </c>
      <c r="C206" s="1" t="s">
        <v>416</v>
      </c>
      <c r="D206" s="5" t="s">
        <v>51</v>
      </c>
    </row>
    <row r="207" customFormat="false" ht="24" hidden="false" customHeight="true" outlineLevel="0" collapsed="false">
      <c r="A207" s="1" t="s">
        <v>168</v>
      </c>
      <c r="B207" s="8" t="n">
        <v>7</v>
      </c>
      <c r="C207" s="1" t="s">
        <v>458</v>
      </c>
      <c r="D207" s="5" t="s">
        <v>45</v>
      </c>
    </row>
    <row r="208" customFormat="false" ht="24" hidden="false" customHeight="true" outlineLevel="0" collapsed="false">
      <c r="A208" s="1" t="s">
        <v>168</v>
      </c>
      <c r="B208" s="8" t="n">
        <v>8</v>
      </c>
      <c r="C208" s="1" t="s">
        <v>459</v>
      </c>
      <c r="D208" s="5" t="s">
        <v>45</v>
      </c>
    </row>
    <row r="209" customFormat="false" ht="24" hidden="false" customHeight="true" outlineLevel="0" collapsed="false">
      <c r="A209" s="1" t="s">
        <v>168</v>
      </c>
      <c r="B209" s="8" t="n">
        <v>9</v>
      </c>
      <c r="C209" s="1" t="s">
        <v>347</v>
      </c>
      <c r="D209" s="5" t="s">
        <v>348</v>
      </c>
    </row>
    <row r="210" customFormat="false" ht="24" hidden="false" customHeight="true" outlineLevel="0" collapsed="false">
      <c r="A210" s="1" t="s">
        <v>168</v>
      </c>
      <c r="B210" s="8" t="n">
        <v>10</v>
      </c>
      <c r="C210" s="1" t="s">
        <v>349</v>
      </c>
      <c r="D210" s="5" t="s">
        <v>53</v>
      </c>
    </row>
    <row r="211" customFormat="false" ht="24" hidden="false" customHeight="true" outlineLevel="0" collapsed="false">
      <c r="A211" s="1" t="s">
        <v>168</v>
      </c>
      <c r="B211" s="8" t="n">
        <v>11</v>
      </c>
      <c r="C211" s="1" t="s">
        <v>460</v>
      </c>
      <c r="D211" s="5" t="s">
        <v>53</v>
      </c>
    </row>
    <row r="212" customFormat="false" ht="24" hidden="false" customHeight="true" outlineLevel="0" collapsed="false">
      <c r="A212" s="1" t="s">
        <v>168</v>
      </c>
      <c r="B212" s="8" t="n">
        <v>12</v>
      </c>
      <c r="C212" s="1" t="s">
        <v>382</v>
      </c>
      <c r="D212" s="5" t="s">
        <v>56</v>
      </c>
    </row>
    <row r="213" customFormat="false" ht="24" hidden="false" customHeight="true" outlineLevel="0" collapsed="false">
      <c r="A213" s="1" t="s">
        <v>168</v>
      </c>
      <c r="B213" s="8" t="n">
        <v>13</v>
      </c>
      <c r="C213" s="1" t="s">
        <v>371</v>
      </c>
      <c r="D213" s="5" t="s">
        <v>56</v>
      </c>
    </row>
    <row r="214" customFormat="false" ht="24" hidden="false" customHeight="true" outlineLevel="0" collapsed="false">
      <c r="A214" s="1" t="s">
        <v>168</v>
      </c>
      <c r="B214" s="8" t="n">
        <v>14</v>
      </c>
      <c r="C214" s="1" t="s">
        <v>353</v>
      </c>
      <c r="D214" s="5" t="s">
        <v>348</v>
      </c>
    </row>
    <row r="215" customFormat="false" ht="24" hidden="false" customHeight="true" outlineLevel="0" collapsed="false">
      <c r="A215" s="1" t="s">
        <v>173</v>
      </c>
      <c r="B215" s="8" t="n">
        <v>1</v>
      </c>
      <c r="C215" s="1" t="s">
        <v>404</v>
      </c>
      <c r="D215" s="5" t="s">
        <v>57</v>
      </c>
    </row>
    <row r="216" customFormat="false" ht="24" hidden="false" customHeight="true" outlineLevel="0" collapsed="false">
      <c r="A216" s="1" t="s">
        <v>173</v>
      </c>
      <c r="B216" s="8" t="n">
        <v>2</v>
      </c>
      <c r="C216" s="1" t="s">
        <v>461</v>
      </c>
      <c r="D216" s="5" t="s">
        <v>57</v>
      </c>
    </row>
    <row r="217" customFormat="false" ht="24" hidden="false" customHeight="true" outlineLevel="0" collapsed="false">
      <c r="A217" s="1" t="s">
        <v>173</v>
      </c>
      <c r="B217" s="8" t="n">
        <v>3</v>
      </c>
      <c r="C217" s="1" t="s">
        <v>403</v>
      </c>
      <c r="D217" s="5" t="s">
        <v>57</v>
      </c>
    </row>
    <row r="218" customFormat="false" ht="24" hidden="false" customHeight="true" outlineLevel="0" collapsed="false">
      <c r="A218" s="1" t="s">
        <v>173</v>
      </c>
      <c r="B218" s="8" t="n">
        <v>4</v>
      </c>
      <c r="C218" s="1" t="s">
        <v>462</v>
      </c>
      <c r="D218" s="5" t="s">
        <v>348</v>
      </c>
    </row>
    <row r="219" customFormat="false" ht="24" hidden="false" customHeight="true" outlineLevel="0" collapsed="false">
      <c r="A219" s="1" t="s">
        <v>173</v>
      </c>
      <c r="B219" s="8" t="n">
        <v>5</v>
      </c>
      <c r="C219" s="1" t="s">
        <v>433</v>
      </c>
      <c r="D219" s="5" t="s">
        <v>47</v>
      </c>
    </row>
    <row r="220" customFormat="false" ht="24" hidden="false" customHeight="true" outlineLevel="0" collapsed="false">
      <c r="A220" s="1" t="s">
        <v>173</v>
      </c>
      <c r="B220" s="8" t="n">
        <v>6</v>
      </c>
      <c r="C220" s="1" t="s">
        <v>347</v>
      </c>
      <c r="D220" s="5" t="s">
        <v>348</v>
      </c>
    </row>
    <row r="221" customFormat="false" ht="24" hidden="false" customHeight="true" outlineLevel="0" collapsed="false">
      <c r="A221" s="1" t="s">
        <v>173</v>
      </c>
      <c r="B221" s="8" t="n">
        <v>7</v>
      </c>
      <c r="C221" s="1" t="s">
        <v>463</v>
      </c>
      <c r="D221" s="5" t="s">
        <v>53</v>
      </c>
    </row>
    <row r="222" customFormat="false" ht="24" hidden="false" customHeight="true" outlineLevel="0" collapsed="false">
      <c r="A222" s="1" t="s">
        <v>173</v>
      </c>
      <c r="B222" s="8" t="n">
        <v>8</v>
      </c>
      <c r="C222" s="1" t="s">
        <v>464</v>
      </c>
      <c r="D222" s="5" t="s">
        <v>53</v>
      </c>
    </row>
    <row r="223" customFormat="false" ht="24" hidden="false" customHeight="true" outlineLevel="0" collapsed="false">
      <c r="A223" s="1" t="s">
        <v>173</v>
      </c>
      <c r="B223" s="8" t="n">
        <v>9</v>
      </c>
      <c r="C223" s="1" t="s">
        <v>359</v>
      </c>
      <c r="D223" s="5" t="s">
        <v>56</v>
      </c>
    </row>
    <row r="224" customFormat="false" ht="24" hidden="false" customHeight="true" outlineLevel="0" collapsed="false">
      <c r="A224" s="1" t="s">
        <v>173</v>
      </c>
      <c r="B224" s="8" t="n">
        <v>10</v>
      </c>
      <c r="C224" s="1" t="s">
        <v>370</v>
      </c>
      <c r="D224" s="5" t="s">
        <v>56</v>
      </c>
    </row>
    <row r="225" customFormat="false" ht="24" hidden="false" customHeight="true" outlineLevel="0" collapsed="false">
      <c r="A225" s="1" t="s">
        <v>173</v>
      </c>
      <c r="B225" s="8" t="n">
        <v>11</v>
      </c>
      <c r="C225" s="1" t="s">
        <v>353</v>
      </c>
      <c r="D225" s="5" t="s">
        <v>348</v>
      </c>
    </row>
    <row r="226" customFormat="false" ht="24" hidden="false" customHeight="true" outlineLevel="0" collapsed="false">
      <c r="A226" s="1" t="s">
        <v>179</v>
      </c>
      <c r="B226" s="8" t="n">
        <v>1</v>
      </c>
      <c r="C226" s="1" t="s">
        <v>425</v>
      </c>
      <c r="D226" s="5" t="s">
        <v>47</v>
      </c>
    </row>
    <row r="227" customFormat="false" ht="24" hidden="false" customHeight="true" outlineLevel="0" collapsed="false">
      <c r="A227" s="1" t="s">
        <v>179</v>
      </c>
      <c r="B227" s="8" t="n">
        <v>2</v>
      </c>
      <c r="C227" s="1" t="s">
        <v>347</v>
      </c>
      <c r="D227" s="5" t="s">
        <v>348</v>
      </c>
    </row>
    <row r="228" customFormat="false" ht="24" hidden="false" customHeight="true" outlineLevel="0" collapsed="false">
      <c r="A228" s="1" t="s">
        <v>179</v>
      </c>
      <c r="B228" s="8" t="n">
        <v>3</v>
      </c>
      <c r="C228" s="1" t="s">
        <v>367</v>
      </c>
      <c r="D228" s="5" t="s">
        <v>53</v>
      </c>
    </row>
    <row r="229" customFormat="false" ht="24" hidden="false" customHeight="true" outlineLevel="0" collapsed="false">
      <c r="A229" s="1" t="s">
        <v>179</v>
      </c>
      <c r="B229" s="8" t="n">
        <v>4</v>
      </c>
      <c r="C229" s="1" t="s">
        <v>465</v>
      </c>
      <c r="D229" s="5" t="s">
        <v>53</v>
      </c>
    </row>
    <row r="230" customFormat="false" ht="24" hidden="false" customHeight="true" outlineLevel="0" collapsed="false">
      <c r="A230" s="1" t="s">
        <v>179</v>
      </c>
      <c r="B230" s="8" t="n">
        <v>5</v>
      </c>
      <c r="C230" s="1" t="s">
        <v>358</v>
      </c>
      <c r="D230" s="5" t="s">
        <v>56</v>
      </c>
    </row>
    <row r="231" customFormat="false" ht="24" hidden="false" customHeight="true" outlineLevel="0" collapsed="false">
      <c r="A231" s="1" t="s">
        <v>179</v>
      </c>
      <c r="B231" s="8" t="n">
        <v>6</v>
      </c>
      <c r="C231" s="1" t="s">
        <v>383</v>
      </c>
      <c r="D231" s="5" t="s">
        <v>56</v>
      </c>
    </row>
    <row r="232" customFormat="false" ht="24" hidden="false" customHeight="true" outlineLevel="0" collapsed="false">
      <c r="A232" s="1" t="s">
        <v>179</v>
      </c>
      <c r="B232" s="8" t="n">
        <v>7</v>
      </c>
      <c r="C232" s="1" t="s">
        <v>466</v>
      </c>
      <c r="D232" s="5" t="s">
        <v>348</v>
      </c>
    </row>
    <row r="233" customFormat="false" ht="24" hidden="false" customHeight="true" outlineLevel="0" collapsed="false">
      <c r="A233" s="1" t="s">
        <v>179</v>
      </c>
      <c r="B233" s="8" t="n">
        <v>8</v>
      </c>
      <c r="C233" s="1" t="s">
        <v>453</v>
      </c>
      <c r="D233" s="5" t="s">
        <v>46</v>
      </c>
    </row>
    <row r="234" customFormat="false" ht="24" hidden="false" customHeight="true" outlineLevel="0" collapsed="false">
      <c r="A234" s="1" t="s">
        <v>179</v>
      </c>
      <c r="B234" s="8" t="n">
        <v>9</v>
      </c>
      <c r="C234" s="1" t="s">
        <v>412</v>
      </c>
      <c r="D234" s="5" t="s">
        <v>46</v>
      </c>
    </row>
    <row r="235" customFormat="false" ht="24" hidden="false" customHeight="true" outlineLevel="0" collapsed="false">
      <c r="A235" s="1" t="s">
        <v>179</v>
      </c>
      <c r="B235" s="8" t="n">
        <v>10</v>
      </c>
      <c r="C235" s="1" t="s">
        <v>406</v>
      </c>
      <c r="D235" s="5" t="s">
        <v>46</v>
      </c>
    </row>
    <row r="236" customFormat="false" ht="24" hidden="false" customHeight="true" outlineLevel="0" collapsed="false">
      <c r="A236" s="1" t="s">
        <v>179</v>
      </c>
      <c r="B236" s="8" t="n">
        <v>11</v>
      </c>
      <c r="C236" s="1" t="s">
        <v>353</v>
      </c>
      <c r="D236" s="5" t="s">
        <v>348</v>
      </c>
    </row>
    <row r="237" customFormat="false" ht="24" hidden="false" customHeight="true" outlineLevel="0" collapsed="false">
      <c r="A237" s="1" t="s">
        <v>185</v>
      </c>
      <c r="B237" s="8" t="n">
        <v>1</v>
      </c>
      <c r="C237" s="1" t="s">
        <v>467</v>
      </c>
      <c r="D237" s="5" t="s">
        <v>348</v>
      </c>
    </row>
    <row r="238" customFormat="false" ht="24" hidden="false" customHeight="true" outlineLevel="0" collapsed="false">
      <c r="A238" s="1" t="s">
        <v>185</v>
      </c>
      <c r="B238" s="8" t="n">
        <v>2</v>
      </c>
      <c r="C238" s="1" t="s">
        <v>411</v>
      </c>
      <c r="D238" s="5" t="s">
        <v>348</v>
      </c>
    </row>
    <row r="239" customFormat="false" ht="24" hidden="false" customHeight="true" outlineLevel="0" collapsed="false">
      <c r="A239" s="1" t="s">
        <v>185</v>
      </c>
      <c r="B239" s="8" t="n">
        <v>3</v>
      </c>
      <c r="C239" s="1" t="s">
        <v>412</v>
      </c>
      <c r="D239" s="5" t="s">
        <v>348</v>
      </c>
    </row>
    <row r="240" customFormat="false" ht="24" hidden="false" customHeight="true" outlineLevel="0" collapsed="false">
      <c r="A240" s="1" t="s">
        <v>185</v>
      </c>
      <c r="B240" s="8" t="n">
        <v>4</v>
      </c>
      <c r="C240" s="1" t="s">
        <v>468</v>
      </c>
      <c r="D240" s="5" t="s">
        <v>348</v>
      </c>
    </row>
    <row r="241" customFormat="false" ht="24" hidden="false" customHeight="true" outlineLevel="0" collapsed="false">
      <c r="A241" s="1" t="s">
        <v>185</v>
      </c>
      <c r="B241" s="8" t="n">
        <v>5</v>
      </c>
      <c r="C241" s="1" t="s">
        <v>469</v>
      </c>
      <c r="D241" s="5" t="s">
        <v>348</v>
      </c>
    </row>
    <row r="242" customFormat="false" ht="24" hidden="false" customHeight="true" outlineLevel="0" collapsed="false">
      <c r="A242" s="1" t="s">
        <v>185</v>
      </c>
      <c r="B242" s="8" t="n">
        <v>6</v>
      </c>
      <c r="C242" s="1" t="s">
        <v>433</v>
      </c>
      <c r="D242" s="5" t="s">
        <v>47</v>
      </c>
    </row>
    <row r="243" customFormat="false" ht="24" hidden="false" customHeight="true" outlineLevel="0" collapsed="false">
      <c r="A243" s="1" t="s">
        <v>185</v>
      </c>
      <c r="B243" s="8" t="n">
        <v>7</v>
      </c>
      <c r="C243" s="1" t="s">
        <v>382</v>
      </c>
      <c r="D243" s="5" t="s">
        <v>56</v>
      </c>
    </row>
    <row r="244" customFormat="false" ht="24" hidden="false" customHeight="true" outlineLevel="0" collapsed="false">
      <c r="A244" s="1" t="s">
        <v>185</v>
      </c>
      <c r="B244" s="8" t="n">
        <v>8</v>
      </c>
      <c r="C244" s="1" t="s">
        <v>383</v>
      </c>
      <c r="D244" s="5" t="s">
        <v>56</v>
      </c>
    </row>
    <row r="245" customFormat="false" ht="24" hidden="false" customHeight="true" outlineLevel="0" collapsed="false">
      <c r="A245" s="1" t="s">
        <v>185</v>
      </c>
      <c r="B245" s="8" t="n">
        <v>9</v>
      </c>
      <c r="C245" s="1" t="s">
        <v>347</v>
      </c>
      <c r="D245" s="5" t="s">
        <v>348</v>
      </c>
    </row>
    <row r="246" customFormat="false" ht="24" hidden="false" customHeight="true" outlineLevel="0" collapsed="false">
      <c r="A246" s="1" t="s">
        <v>185</v>
      </c>
      <c r="B246" s="8" t="n">
        <v>10</v>
      </c>
      <c r="C246" s="1" t="s">
        <v>408</v>
      </c>
      <c r="D246" s="5" t="s">
        <v>53</v>
      </c>
    </row>
    <row r="247" customFormat="false" ht="24" hidden="false" customHeight="true" outlineLevel="0" collapsed="false">
      <c r="A247" s="1" t="s">
        <v>185</v>
      </c>
      <c r="B247" s="8" t="n">
        <v>11</v>
      </c>
      <c r="C247" s="1" t="s">
        <v>470</v>
      </c>
      <c r="D247" s="5" t="s">
        <v>53</v>
      </c>
    </row>
    <row r="248" customFormat="false" ht="24" hidden="false" customHeight="true" outlineLevel="0" collapsed="false">
      <c r="A248" s="1" t="s">
        <v>185</v>
      </c>
      <c r="B248" s="8" t="n">
        <v>12</v>
      </c>
      <c r="C248" s="1" t="s">
        <v>387</v>
      </c>
      <c r="D248" s="5" t="s">
        <v>348</v>
      </c>
    </row>
    <row r="249" customFormat="false" ht="24" hidden="false" customHeight="true" outlineLevel="0" collapsed="false">
      <c r="A249" s="1" t="s">
        <v>185</v>
      </c>
      <c r="B249" s="8" t="n">
        <v>13</v>
      </c>
      <c r="C249" s="1" t="s">
        <v>471</v>
      </c>
      <c r="D249" s="5" t="s">
        <v>45</v>
      </c>
    </row>
    <row r="250" customFormat="false" ht="24" hidden="false" customHeight="true" outlineLevel="0" collapsed="false">
      <c r="A250" s="1" t="s">
        <v>185</v>
      </c>
      <c r="B250" s="8" t="n">
        <v>14</v>
      </c>
      <c r="C250" s="1" t="s">
        <v>472</v>
      </c>
      <c r="D250" s="5" t="s">
        <v>45</v>
      </c>
    </row>
    <row r="251" customFormat="false" ht="24" hidden="false" customHeight="true" outlineLevel="0" collapsed="false">
      <c r="A251" s="1" t="s">
        <v>185</v>
      </c>
      <c r="B251" s="8" t="n">
        <v>15</v>
      </c>
      <c r="C251" s="1" t="s">
        <v>473</v>
      </c>
      <c r="D251" s="5" t="s">
        <v>51</v>
      </c>
    </row>
    <row r="252" customFormat="false" ht="24" hidden="false" customHeight="true" outlineLevel="0" collapsed="false">
      <c r="A252" s="1" t="s">
        <v>185</v>
      </c>
      <c r="B252" s="8" t="n">
        <v>16</v>
      </c>
      <c r="C252" s="1" t="s">
        <v>353</v>
      </c>
      <c r="D252" s="5" t="s">
        <v>348</v>
      </c>
    </row>
    <row r="253" customFormat="false" ht="24" hidden="false" customHeight="true" outlineLevel="0" collapsed="false">
      <c r="A253" s="1" t="s">
        <v>190</v>
      </c>
      <c r="B253" s="8" t="n">
        <v>1</v>
      </c>
      <c r="C253" s="1" t="s">
        <v>425</v>
      </c>
      <c r="D253" s="5" t="s">
        <v>47</v>
      </c>
    </row>
    <row r="254" customFormat="false" ht="24" hidden="false" customHeight="true" outlineLevel="0" collapsed="false">
      <c r="A254" s="1" t="s">
        <v>190</v>
      </c>
      <c r="B254" s="8" t="n">
        <v>2</v>
      </c>
      <c r="C254" s="1" t="s">
        <v>474</v>
      </c>
      <c r="D254" s="5" t="s">
        <v>47</v>
      </c>
    </row>
    <row r="255" customFormat="false" ht="24" hidden="false" customHeight="true" outlineLevel="0" collapsed="false">
      <c r="A255" s="1" t="s">
        <v>190</v>
      </c>
      <c r="B255" s="8" t="n">
        <v>3</v>
      </c>
      <c r="C255" s="1" t="s">
        <v>475</v>
      </c>
      <c r="D255" s="5" t="s">
        <v>51</v>
      </c>
    </row>
    <row r="256" customFormat="false" ht="24" hidden="false" customHeight="true" outlineLevel="0" collapsed="false">
      <c r="A256" s="1" t="s">
        <v>190</v>
      </c>
      <c r="B256" s="8" t="n">
        <v>4</v>
      </c>
      <c r="C256" s="1" t="s">
        <v>347</v>
      </c>
      <c r="D256" s="5" t="s">
        <v>348</v>
      </c>
    </row>
    <row r="257" customFormat="false" ht="24" hidden="false" customHeight="true" outlineLevel="0" collapsed="false">
      <c r="A257" s="1" t="s">
        <v>190</v>
      </c>
      <c r="B257" s="8" t="n">
        <v>5</v>
      </c>
      <c r="C257" s="1" t="s">
        <v>367</v>
      </c>
      <c r="D257" s="5" t="s">
        <v>53</v>
      </c>
    </row>
    <row r="258" customFormat="false" ht="24" hidden="false" customHeight="true" outlineLevel="0" collapsed="false">
      <c r="A258" s="1" t="s">
        <v>190</v>
      </c>
      <c r="B258" s="8" t="n">
        <v>6</v>
      </c>
      <c r="C258" s="1" t="s">
        <v>476</v>
      </c>
      <c r="D258" s="5" t="s">
        <v>53</v>
      </c>
    </row>
    <row r="259" customFormat="false" ht="24" hidden="false" customHeight="true" outlineLevel="0" collapsed="false">
      <c r="A259" s="1" t="s">
        <v>190</v>
      </c>
      <c r="B259" s="8" t="n">
        <v>7</v>
      </c>
      <c r="C259" s="1" t="s">
        <v>358</v>
      </c>
      <c r="D259" s="5" t="s">
        <v>56</v>
      </c>
    </row>
    <row r="260" customFormat="false" ht="24" hidden="false" customHeight="true" outlineLevel="0" collapsed="false">
      <c r="A260" s="1" t="s">
        <v>190</v>
      </c>
      <c r="B260" s="8" t="n">
        <v>8</v>
      </c>
      <c r="C260" s="1" t="s">
        <v>371</v>
      </c>
      <c r="D260" s="5" t="s">
        <v>56</v>
      </c>
    </row>
    <row r="261" customFormat="false" ht="24" hidden="false" customHeight="true" outlineLevel="0" collapsed="false">
      <c r="A261" s="1" t="s">
        <v>190</v>
      </c>
      <c r="B261" s="8" t="n">
        <v>9</v>
      </c>
      <c r="C261" s="1" t="s">
        <v>477</v>
      </c>
      <c r="D261" s="5" t="s">
        <v>348</v>
      </c>
    </row>
    <row r="262" customFormat="false" ht="24" hidden="false" customHeight="true" outlineLevel="0" collapsed="false">
      <c r="A262" s="1" t="s">
        <v>190</v>
      </c>
      <c r="B262" s="8" t="n">
        <v>10</v>
      </c>
      <c r="C262" s="1" t="s">
        <v>140</v>
      </c>
      <c r="D262" s="5" t="s">
        <v>52</v>
      </c>
    </row>
    <row r="263" customFormat="false" ht="24" hidden="false" customHeight="true" outlineLevel="0" collapsed="false">
      <c r="A263" s="1" t="s">
        <v>190</v>
      </c>
      <c r="B263" s="8" t="n">
        <v>11</v>
      </c>
      <c r="C263" s="1" t="s">
        <v>478</v>
      </c>
      <c r="D263" s="5" t="s">
        <v>51</v>
      </c>
    </row>
    <row r="264" customFormat="false" ht="24" hidden="false" customHeight="true" outlineLevel="0" collapsed="false">
      <c r="A264" s="1" t="s">
        <v>190</v>
      </c>
      <c r="B264" s="8" t="n">
        <v>12</v>
      </c>
      <c r="C264" s="1" t="s">
        <v>347</v>
      </c>
      <c r="D264" s="5" t="s">
        <v>51</v>
      </c>
    </row>
    <row r="265" customFormat="false" ht="24" hidden="false" customHeight="true" outlineLevel="0" collapsed="false">
      <c r="A265" s="1" t="s">
        <v>190</v>
      </c>
      <c r="B265" s="8" t="n">
        <v>13</v>
      </c>
      <c r="C265" s="1" t="s">
        <v>479</v>
      </c>
      <c r="D265" s="5" t="s">
        <v>51</v>
      </c>
    </row>
    <row r="266" customFormat="false" ht="24" hidden="false" customHeight="true" outlineLevel="0" collapsed="false">
      <c r="A266" s="1" t="s">
        <v>190</v>
      </c>
      <c r="B266" s="8" t="n">
        <v>14</v>
      </c>
      <c r="C266" s="1" t="s">
        <v>353</v>
      </c>
      <c r="D266" s="5" t="s">
        <v>348</v>
      </c>
    </row>
    <row r="267" customFormat="false" ht="24" hidden="false" customHeight="true" outlineLevel="0" collapsed="false">
      <c r="A267" s="1" t="s">
        <v>195</v>
      </c>
      <c r="B267" s="8" t="n">
        <v>1</v>
      </c>
      <c r="C267" s="1" t="s">
        <v>480</v>
      </c>
      <c r="D267" s="5" t="s">
        <v>49</v>
      </c>
    </row>
    <row r="268" customFormat="false" ht="24" hidden="false" customHeight="true" outlineLevel="0" collapsed="false">
      <c r="A268" s="1" t="s">
        <v>195</v>
      </c>
      <c r="B268" s="8" t="n">
        <v>2</v>
      </c>
      <c r="C268" s="1" t="s">
        <v>481</v>
      </c>
      <c r="D268" s="5" t="s">
        <v>51</v>
      </c>
    </row>
    <row r="269" customFormat="false" ht="24" hidden="false" customHeight="true" outlineLevel="0" collapsed="false">
      <c r="A269" s="1" t="s">
        <v>195</v>
      </c>
      <c r="B269" s="8" t="n">
        <v>3</v>
      </c>
      <c r="C269" s="1" t="s">
        <v>482</v>
      </c>
      <c r="D269" s="5" t="s">
        <v>45</v>
      </c>
    </row>
    <row r="270" customFormat="false" ht="24" hidden="false" customHeight="true" outlineLevel="0" collapsed="false">
      <c r="A270" s="1" t="s">
        <v>195</v>
      </c>
      <c r="B270" s="8" t="n">
        <v>4</v>
      </c>
      <c r="C270" s="1" t="s">
        <v>483</v>
      </c>
      <c r="D270" s="5" t="s">
        <v>45</v>
      </c>
    </row>
    <row r="271" customFormat="false" ht="24" hidden="false" customHeight="true" outlineLevel="0" collapsed="false">
      <c r="A271" s="1" t="s">
        <v>195</v>
      </c>
      <c r="B271" s="8" t="n">
        <v>5</v>
      </c>
      <c r="C271" s="1" t="s">
        <v>347</v>
      </c>
      <c r="D271" s="5" t="s">
        <v>348</v>
      </c>
    </row>
    <row r="272" customFormat="false" ht="24" hidden="false" customHeight="true" outlineLevel="0" collapsed="false">
      <c r="A272" s="1" t="s">
        <v>195</v>
      </c>
      <c r="B272" s="8" t="n">
        <v>6</v>
      </c>
      <c r="C272" s="1" t="s">
        <v>463</v>
      </c>
      <c r="D272" s="5" t="s">
        <v>53</v>
      </c>
    </row>
    <row r="273" customFormat="false" ht="24" hidden="false" customHeight="true" outlineLevel="0" collapsed="false">
      <c r="A273" s="1" t="s">
        <v>195</v>
      </c>
      <c r="B273" s="8" t="n">
        <v>7</v>
      </c>
      <c r="C273" s="1" t="s">
        <v>484</v>
      </c>
      <c r="D273" s="5" t="s">
        <v>53</v>
      </c>
    </row>
    <row r="274" customFormat="false" ht="24" hidden="false" customHeight="true" outlineLevel="0" collapsed="false">
      <c r="A274" s="1" t="s">
        <v>195</v>
      </c>
      <c r="B274" s="8" t="n">
        <v>8</v>
      </c>
      <c r="C274" s="1" t="s">
        <v>485</v>
      </c>
      <c r="D274" s="5" t="s">
        <v>56</v>
      </c>
    </row>
    <row r="275" customFormat="false" ht="24" hidden="false" customHeight="true" outlineLevel="0" collapsed="false">
      <c r="A275" s="1" t="s">
        <v>195</v>
      </c>
      <c r="B275" s="8" t="n">
        <v>9</v>
      </c>
      <c r="C275" s="1" t="s">
        <v>486</v>
      </c>
      <c r="D275" s="5" t="s">
        <v>56</v>
      </c>
    </row>
    <row r="276" customFormat="false" ht="24" hidden="false" customHeight="true" outlineLevel="0" collapsed="false">
      <c r="A276" s="1" t="s">
        <v>195</v>
      </c>
      <c r="B276" s="8" t="n">
        <v>10</v>
      </c>
      <c r="C276" s="1" t="s">
        <v>383</v>
      </c>
      <c r="D276" s="5" t="s">
        <v>56</v>
      </c>
    </row>
    <row r="277" customFormat="false" ht="24" hidden="false" customHeight="true" outlineLevel="0" collapsed="false">
      <c r="A277" s="1" t="s">
        <v>195</v>
      </c>
      <c r="B277" s="8" t="n">
        <v>11</v>
      </c>
      <c r="C277" s="1" t="s">
        <v>353</v>
      </c>
      <c r="D277" s="5" t="s">
        <v>348</v>
      </c>
    </row>
    <row r="278" customFormat="false" ht="24" hidden="false" customHeight="true" outlineLevel="0" collapsed="false">
      <c r="A278" s="1" t="s">
        <v>201</v>
      </c>
      <c r="B278" s="8" t="n">
        <v>1</v>
      </c>
      <c r="C278" s="1" t="s">
        <v>404</v>
      </c>
      <c r="D278" s="5" t="s">
        <v>45</v>
      </c>
    </row>
    <row r="279" customFormat="false" ht="24" hidden="false" customHeight="true" outlineLevel="0" collapsed="false">
      <c r="A279" s="1" t="s">
        <v>201</v>
      </c>
      <c r="B279" s="8" t="n">
        <v>2</v>
      </c>
      <c r="C279" s="1" t="s">
        <v>487</v>
      </c>
      <c r="D279" s="5" t="s">
        <v>45</v>
      </c>
    </row>
    <row r="280" customFormat="false" ht="24" hidden="false" customHeight="true" outlineLevel="0" collapsed="false">
      <c r="A280" s="1" t="s">
        <v>201</v>
      </c>
      <c r="B280" s="8" t="n">
        <v>3</v>
      </c>
      <c r="C280" s="1" t="s">
        <v>488</v>
      </c>
      <c r="D280" s="5" t="s">
        <v>51</v>
      </c>
    </row>
    <row r="281" customFormat="false" ht="24" hidden="false" customHeight="true" outlineLevel="0" collapsed="false">
      <c r="A281" s="1" t="s">
        <v>201</v>
      </c>
      <c r="B281" s="8" t="n">
        <v>4</v>
      </c>
      <c r="C281" s="1" t="s">
        <v>462</v>
      </c>
      <c r="D281" s="5" t="s">
        <v>348</v>
      </c>
    </row>
    <row r="282" customFormat="false" ht="24" hidden="false" customHeight="true" outlineLevel="0" collapsed="false">
      <c r="A282" s="1" t="s">
        <v>201</v>
      </c>
      <c r="B282" s="8" t="n">
        <v>5</v>
      </c>
      <c r="C282" s="1" t="s">
        <v>489</v>
      </c>
      <c r="D282" s="5" t="s">
        <v>49</v>
      </c>
    </row>
    <row r="283" customFormat="false" ht="24" hidden="false" customHeight="true" outlineLevel="0" collapsed="false">
      <c r="A283" s="1" t="s">
        <v>201</v>
      </c>
      <c r="B283" s="8" t="n">
        <v>6</v>
      </c>
      <c r="C283" s="1" t="s">
        <v>347</v>
      </c>
      <c r="D283" s="5" t="s">
        <v>348</v>
      </c>
    </row>
    <row r="284" customFormat="false" ht="24" hidden="false" customHeight="true" outlineLevel="0" collapsed="false">
      <c r="A284" s="1" t="s">
        <v>201</v>
      </c>
      <c r="B284" s="8" t="n">
        <v>7</v>
      </c>
      <c r="C284" s="1" t="s">
        <v>490</v>
      </c>
      <c r="D284" s="5" t="s">
        <v>55</v>
      </c>
    </row>
    <row r="285" customFormat="false" ht="24" hidden="false" customHeight="true" outlineLevel="0" collapsed="false">
      <c r="A285" s="1" t="s">
        <v>201</v>
      </c>
      <c r="B285" s="8" t="n">
        <v>8</v>
      </c>
      <c r="C285" s="1" t="s">
        <v>491</v>
      </c>
      <c r="D285" s="5" t="s">
        <v>55</v>
      </c>
    </row>
    <row r="286" customFormat="false" ht="24" hidden="false" customHeight="true" outlineLevel="0" collapsed="false">
      <c r="A286" s="1" t="s">
        <v>201</v>
      </c>
      <c r="B286" s="8" t="n">
        <v>9</v>
      </c>
      <c r="C286" s="1" t="s">
        <v>359</v>
      </c>
      <c r="D286" s="5" t="s">
        <v>56</v>
      </c>
    </row>
    <row r="287" customFormat="false" ht="24" hidden="false" customHeight="true" outlineLevel="0" collapsed="false">
      <c r="A287" s="1" t="s">
        <v>201</v>
      </c>
      <c r="B287" s="8" t="n">
        <v>10</v>
      </c>
      <c r="C287" s="1" t="s">
        <v>382</v>
      </c>
      <c r="D287" s="5" t="s">
        <v>56</v>
      </c>
    </row>
    <row r="288" customFormat="false" ht="24" hidden="false" customHeight="true" outlineLevel="0" collapsed="false">
      <c r="A288" s="1" t="s">
        <v>201</v>
      </c>
      <c r="B288" s="8" t="n">
        <v>11</v>
      </c>
      <c r="C288" s="1" t="s">
        <v>353</v>
      </c>
      <c r="D288" s="5" t="s">
        <v>348</v>
      </c>
    </row>
    <row r="289" customFormat="false" ht="24" hidden="false" customHeight="true" outlineLevel="0" collapsed="false">
      <c r="A289" s="1" t="s">
        <v>207</v>
      </c>
      <c r="B289" s="8" t="n">
        <v>1</v>
      </c>
      <c r="C289" s="1" t="s">
        <v>362</v>
      </c>
      <c r="D289" s="5" t="s">
        <v>52</v>
      </c>
    </row>
    <row r="290" customFormat="false" ht="24" hidden="false" customHeight="true" outlineLevel="0" collapsed="false">
      <c r="A290" s="1" t="s">
        <v>207</v>
      </c>
      <c r="B290" s="8" t="n">
        <v>2</v>
      </c>
      <c r="C290" s="1" t="s">
        <v>492</v>
      </c>
      <c r="D290" s="5" t="s">
        <v>52</v>
      </c>
    </row>
    <row r="291" customFormat="false" ht="24" hidden="false" customHeight="true" outlineLevel="0" collapsed="false">
      <c r="A291" s="1" t="s">
        <v>207</v>
      </c>
      <c r="B291" s="8" t="n">
        <v>3</v>
      </c>
      <c r="C291" s="1" t="s">
        <v>493</v>
      </c>
      <c r="D291" s="5" t="s">
        <v>51</v>
      </c>
    </row>
    <row r="292" customFormat="false" ht="24" hidden="false" customHeight="true" outlineLevel="0" collapsed="false">
      <c r="A292" s="1" t="s">
        <v>207</v>
      </c>
      <c r="B292" s="8" t="n">
        <v>4</v>
      </c>
      <c r="C292" s="1" t="s">
        <v>494</v>
      </c>
      <c r="D292" s="5" t="s">
        <v>51</v>
      </c>
    </row>
    <row r="293" customFormat="false" ht="24" hidden="false" customHeight="true" outlineLevel="0" collapsed="false">
      <c r="A293" s="1" t="s">
        <v>207</v>
      </c>
      <c r="B293" s="8" t="n">
        <v>5</v>
      </c>
      <c r="C293" s="1" t="s">
        <v>407</v>
      </c>
      <c r="D293" s="5" t="s">
        <v>348</v>
      </c>
    </row>
    <row r="294" customFormat="false" ht="24" hidden="false" customHeight="true" outlineLevel="0" collapsed="false">
      <c r="A294" s="1" t="s">
        <v>207</v>
      </c>
      <c r="B294" s="8" t="n">
        <v>6</v>
      </c>
      <c r="C294" s="1" t="s">
        <v>489</v>
      </c>
      <c r="D294" s="5" t="s">
        <v>49</v>
      </c>
    </row>
    <row r="295" customFormat="false" ht="24" hidden="false" customHeight="true" outlineLevel="0" collapsed="false">
      <c r="A295" s="1" t="s">
        <v>207</v>
      </c>
      <c r="B295" s="8" t="n">
        <v>7</v>
      </c>
      <c r="C295" s="1" t="s">
        <v>347</v>
      </c>
      <c r="D295" s="5" t="s">
        <v>348</v>
      </c>
    </row>
    <row r="296" customFormat="false" ht="24" hidden="false" customHeight="true" outlineLevel="0" collapsed="false">
      <c r="A296" s="1" t="s">
        <v>207</v>
      </c>
      <c r="B296" s="8" t="n">
        <v>8</v>
      </c>
      <c r="C296" s="1" t="s">
        <v>495</v>
      </c>
      <c r="D296" s="5" t="s">
        <v>53</v>
      </c>
    </row>
    <row r="297" customFormat="false" ht="24" hidden="false" customHeight="true" outlineLevel="0" collapsed="false">
      <c r="A297" s="1" t="s">
        <v>207</v>
      </c>
      <c r="B297" s="8" t="n">
        <v>9</v>
      </c>
      <c r="C297" s="1" t="s">
        <v>496</v>
      </c>
      <c r="D297" s="5" t="s">
        <v>53</v>
      </c>
    </row>
    <row r="298" customFormat="false" ht="24" hidden="false" customHeight="true" outlineLevel="0" collapsed="false">
      <c r="A298" s="1" t="s">
        <v>207</v>
      </c>
      <c r="B298" s="8" t="n">
        <v>10</v>
      </c>
      <c r="C298" s="1" t="s">
        <v>399</v>
      </c>
      <c r="D298" s="5" t="s">
        <v>56</v>
      </c>
    </row>
    <row r="299" customFormat="false" ht="24" hidden="false" customHeight="true" outlineLevel="0" collapsed="false">
      <c r="A299" s="1" t="s">
        <v>207</v>
      </c>
      <c r="B299" s="8" t="n">
        <v>11</v>
      </c>
      <c r="C299" s="1" t="s">
        <v>371</v>
      </c>
      <c r="D299" s="5" t="s">
        <v>56</v>
      </c>
    </row>
    <row r="300" customFormat="false" ht="24" hidden="false" customHeight="true" outlineLevel="0" collapsed="false">
      <c r="A300" s="1" t="s">
        <v>207</v>
      </c>
      <c r="B300" s="8" t="n">
        <v>12</v>
      </c>
      <c r="C300" s="1" t="s">
        <v>353</v>
      </c>
      <c r="D300" s="5" t="s">
        <v>348</v>
      </c>
    </row>
    <row r="301" customFormat="false" ht="24" hidden="false" customHeight="true" outlineLevel="0" collapsed="false">
      <c r="A301" s="1" t="s">
        <v>212</v>
      </c>
      <c r="B301" s="8" t="n">
        <v>1</v>
      </c>
      <c r="C301" s="1" t="s">
        <v>497</v>
      </c>
      <c r="D301" s="5" t="s">
        <v>348</v>
      </c>
    </row>
    <row r="302" customFormat="false" ht="24" hidden="false" customHeight="true" outlineLevel="0" collapsed="false">
      <c r="A302" s="1" t="s">
        <v>212</v>
      </c>
      <c r="B302" s="8" t="n">
        <v>2</v>
      </c>
      <c r="C302" s="1" t="s">
        <v>498</v>
      </c>
      <c r="D302" s="5" t="s">
        <v>348</v>
      </c>
    </row>
    <row r="303" customFormat="false" ht="24" hidden="false" customHeight="true" outlineLevel="0" collapsed="false">
      <c r="A303" s="1" t="s">
        <v>212</v>
      </c>
      <c r="B303" s="8" t="n">
        <v>3</v>
      </c>
      <c r="C303" s="1" t="s">
        <v>499</v>
      </c>
      <c r="D303" s="5" t="s">
        <v>348</v>
      </c>
    </row>
    <row r="304" customFormat="false" ht="24" hidden="false" customHeight="true" outlineLevel="0" collapsed="false">
      <c r="A304" s="1" t="s">
        <v>212</v>
      </c>
      <c r="B304" s="8" t="n">
        <v>4</v>
      </c>
      <c r="C304" s="1" t="s">
        <v>500</v>
      </c>
      <c r="D304" s="5" t="s">
        <v>348</v>
      </c>
    </row>
    <row r="305" customFormat="false" ht="24" hidden="false" customHeight="true" outlineLevel="0" collapsed="false">
      <c r="A305" s="1" t="s">
        <v>212</v>
      </c>
      <c r="B305" s="8" t="n">
        <v>5</v>
      </c>
      <c r="C305" s="1" t="s">
        <v>501</v>
      </c>
      <c r="D305" s="5" t="s">
        <v>348</v>
      </c>
    </row>
    <row r="306" customFormat="false" ht="24" hidden="false" customHeight="true" outlineLevel="0" collapsed="false">
      <c r="A306" s="1" t="s">
        <v>212</v>
      </c>
      <c r="B306" s="8" t="n">
        <v>6</v>
      </c>
      <c r="C306" s="1" t="s">
        <v>502</v>
      </c>
      <c r="D306" s="5" t="s">
        <v>348</v>
      </c>
    </row>
    <row r="307" customFormat="false" ht="24" hidden="false" customHeight="true" outlineLevel="0" collapsed="false">
      <c r="A307" s="1" t="s">
        <v>212</v>
      </c>
      <c r="B307" s="8" t="n">
        <v>7</v>
      </c>
      <c r="C307" s="1" t="s">
        <v>489</v>
      </c>
      <c r="D307" s="5" t="s">
        <v>49</v>
      </c>
    </row>
    <row r="308" customFormat="false" ht="24" hidden="false" customHeight="true" outlineLevel="0" collapsed="false">
      <c r="A308" s="1" t="s">
        <v>212</v>
      </c>
      <c r="B308" s="8" t="n">
        <v>8</v>
      </c>
      <c r="C308" s="1" t="s">
        <v>377</v>
      </c>
      <c r="D308" s="5" t="s">
        <v>348</v>
      </c>
    </row>
    <row r="309" customFormat="false" ht="24" hidden="false" customHeight="true" outlineLevel="0" collapsed="false">
      <c r="A309" s="1" t="s">
        <v>212</v>
      </c>
      <c r="B309" s="8" t="n">
        <v>9</v>
      </c>
      <c r="C309" s="1" t="s">
        <v>416</v>
      </c>
      <c r="D309" s="5" t="s">
        <v>51</v>
      </c>
    </row>
    <row r="310" customFormat="false" ht="24" hidden="false" customHeight="true" outlineLevel="0" collapsed="false">
      <c r="A310" s="1" t="s">
        <v>212</v>
      </c>
      <c r="B310" s="8" t="n">
        <v>10</v>
      </c>
      <c r="C310" s="1" t="s">
        <v>216</v>
      </c>
      <c r="D310" s="5" t="s">
        <v>45</v>
      </c>
    </row>
    <row r="311" customFormat="false" ht="24" hidden="false" customHeight="true" outlineLevel="0" collapsed="false">
      <c r="A311" s="1" t="s">
        <v>212</v>
      </c>
      <c r="B311" s="8" t="n">
        <v>11</v>
      </c>
      <c r="C311" s="1" t="s">
        <v>347</v>
      </c>
      <c r="D311" s="5" t="s">
        <v>348</v>
      </c>
    </row>
    <row r="312" customFormat="false" ht="24" hidden="false" customHeight="true" outlineLevel="0" collapsed="false">
      <c r="A312" s="1" t="s">
        <v>212</v>
      </c>
      <c r="B312" s="8" t="n">
        <v>12</v>
      </c>
      <c r="C312" s="1" t="s">
        <v>503</v>
      </c>
      <c r="D312" s="5" t="s">
        <v>53</v>
      </c>
    </row>
    <row r="313" customFormat="false" ht="24" hidden="false" customHeight="true" outlineLevel="0" collapsed="false">
      <c r="A313" s="1" t="s">
        <v>212</v>
      </c>
      <c r="B313" s="8" t="n">
        <v>13</v>
      </c>
      <c r="C313" s="1" t="s">
        <v>504</v>
      </c>
      <c r="D313" s="5" t="s">
        <v>53</v>
      </c>
    </row>
    <row r="314" customFormat="false" ht="24" hidden="false" customHeight="true" outlineLevel="0" collapsed="false">
      <c r="A314" s="1" t="s">
        <v>212</v>
      </c>
      <c r="B314" s="8" t="n">
        <v>14</v>
      </c>
      <c r="C314" s="1" t="s">
        <v>505</v>
      </c>
      <c r="D314" s="5" t="s">
        <v>53</v>
      </c>
    </row>
    <row r="315" customFormat="false" ht="24" hidden="false" customHeight="true" outlineLevel="0" collapsed="false">
      <c r="A315" s="1" t="s">
        <v>212</v>
      </c>
      <c r="B315" s="8" t="n">
        <v>15</v>
      </c>
      <c r="C315" s="1" t="s">
        <v>370</v>
      </c>
      <c r="D315" s="5" t="s">
        <v>56</v>
      </c>
    </row>
    <row r="316" customFormat="false" ht="24" hidden="false" customHeight="true" outlineLevel="0" collapsed="false">
      <c r="A316" s="1" t="s">
        <v>212</v>
      </c>
      <c r="B316" s="8" t="n">
        <v>16</v>
      </c>
      <c r="C316" s="1" t="s">
        <v>371</v>
      </c>
      <c r="D316" s="5" t="s">
        <v>56</v>
      </c>
    </row>
    <row r="317" customFormat="false" ht="24" hidden="false" customHeight="true" outlineLevel="0" collapsed="false">
      <c r="A317" s="1" t="s">
        <v>212</v>
      </c>
      <c r="B317" s="8" t="n">
        <v>17</v>
      </c>
      <c r="C317" s="1" t="s">
        <v>353</v>
      </c>
      <c r="D317" s="5" t="s">
        <v>348</v>
      </c>
    </row>
    <row r="318" customFormat="false" ht="24" hidden="false" customHeight="true" outlineLevel="0" collapsed="false">
      <c r="A318" s="1" t="s">
        <v>217</v>
      </c>
      <c r="B318" s="8" t="n">
        <v>1</v>
      </c>
      <c r="C318" s="1" t="s">
        <v>506</v>
      </c>
      <c r="D318" s="5" t="s">
        <v>348</v>
      </c>
    </row>
    <row r="319" customFormat="false" ht="24" hidden="false" customHeight="true" outlineLevel="0" collapsed="false">
      <c r="A319" s="1" t="s">
        <v>217</v>
      </c>
      <c r="B319" s="8" t="n">
        <v>2</v>
      </c>
      <c r="C319" s="1" t="s">
        <v>507</v>
      </c>
      <c r="D319" s="5" t="s">
        <v>52</v>
      </c>
    </row>
    <row r="320" customFormat="false" ht="24" hidden="false" customHeight="true" outlineLevel="0" collapsed="false">
      <c r="A320" s="1" t="s">
        <v>217</v>
      </c>
      <c r="B320" s="8" t="n">
        <v>3</v>
      </c>
      <c r="C320" s="1" t="s">
        <v>423</v>
      </c>
      <c r="D320" s="5" t="s">
        <v>52</v>
      </c>
    </row>
    <row r="321" customFormat="false" ht="24" hidden="false" customHeight="true" outlineLevel="0" collapsed="false">
      <c r="A321" s="1" t="s">
        <v>217</v>
      </c>
      <c r="B321" s="8" t="n">
        <v>4</v>
      </c>
      <c r="C321" s="1" t="s">
        <v>508</v>
      </c>
      <c r="D321" s="5" t="s">
        <v>348</v>
      </c>
    </row>
    <row r="322" customFormat="false" ht="24" hidden="false" customHeight="true" outlineLevel="0" collapsed="false">
      <c r="A322" s="1" t="s">
        <v>217</v>
      </c>
      <c r="B322" s="8" t="n">
        <v>5</v>
      </c>
      <c r="C322" s="1" t="s">
        <v>489</v>
      </c>
      <c r="D322" s="5" t="s">
        <v>49</v>
      </c>
    </row>
    <row r="323" customFormat="false" ht="24" hidden="false" customHeight="true" outlineLevel="0" collapsed="false">
      <c r="A323" s="1" t="s">
        <v>217</v>
      </c>
      <c r="B323" s="8" t="n">
        <v>6</v>
      </c>
      <c r="C323" s="1" t="s">
        <v>347</v>
      </c>
      <c r="D323" s="5" t="s">
        <v>348</v>
      </c>
    </row>
    <row r="324" customFormat="false" ht="24" hidden="false" customHeight="true" outlineLevel="0" collapsed="false">
      <c r="A324" s="1" t="s">
        <v>217</v>
      </c>
      <c r="B324" s="8" t="n">
        <v>7</v>
      </c>
      <c r="C324" s="1" t="s">
        <v>367</v>
      </c>
      <c r="D324" s="5" t="s">
        <v>53</v>
      </c>
    </row>
    <row r="325" customFormat="false" ht="24" hidden="false" customHeight="true" outlineLevel="0" collapsed="false">
      <c r="A325" s="1" t="s">
        <v>217</v>
      </c>
      <c r="B325" s="8" t="n">
        <v>8</v>
      </c>
      <c r="C325" s="1" t="s">
        <v>509</v>
      </c>
      <c r="D325" s="5" t="s">
        <v>53</v>
      </c>
    </row>
    <row r="326" customFormat="false" ht="24" hidden="false" customHeight="true" outlineLevel="0" collapsed="false">
      <c r="A326" s="1" t="s">
        <v>217</v>
      </c>
      <c r="B326" s="8" t="n">
        <v>9</v>
      </c>
      <c r="C326" s="1" t="s">
        <v>383</v>
      </c>
      <c r="D326" s="5" t="s">
        <v>56</v>
      </c>
    </row>
    <row r="327" customFormat="false" ht="24" hidden="false" customHeight="true" outlineLevel="0" collapsed="false">
      <c r="A327" s="1" t="s">
        <v>217</v>
      </c>
      <c r="B327" s="8" t="n">
        <v>10</v>
      </c>
      <c r="C327" s="1" t="s">
        <v>358</v>
      </c>
      <c r="D327" s="5" t="s">
        <v>56</v>
      </c>
    </row>
    <row r="328" customFormat="false" ht="24" hidden="false" customHeight="true" outlineLevel="0" collapsed="false">
      <c r="A328" s="1" t="s">
        <v>217</v>
      </c>
      <c r="B328" s="8" t="n">
        <v>11</v>
      </c>
      <c r="C328" s="1" t="s">
        <v>510</v>
      </c>
      <c r="D328" s="5" t="s">
        <v>348</v>
      </c>
    </row>
    <row r="329" customFormat="false" ht="24" hidden="false" customHeight="true" outlineLevel="0" collapsed="false">
      <c r="A329" s="1" t="s">
        <v>217</v>
      </c>
      <c r="B329" s="8" t="n">
        <v>12</v>
      </c>
      <c r="C329" s="1" t="s">
        <v>511</v>
      </c>
      <c r="D329" s="5" t="s">
        <v>348</v>
      </c>
    </row>
    <row r="330" customFormat="false" ht="24" hidden="false" customHeight="true" outlineLevel="0" collapsed="false">
      <c r="A330" s="1" t="s">
        <v>217</v>
      </c>
      <c r="B330" s="8" t="n">
        <v>13</v>
      </c>
      <c r="C330" s="1" t="s">
        <v>512</v>
      </c>
      <c r="D330" s="5" t="s">
        <v>348</v>
      </c>
    </row>
    <row r="331" customFormat="false" ht="24" hidden="false" customHeight="true" outlineLevel="0" collapsed="false">
      <c r="A331" s="1" t="s">
        <v>217</v>
      </c>
      <c r="B331" s="8" t="n">
        <v>14</v>
      </c>
      <c r="C331" s="1" t="s">
        <v>353</v>
      </c>
      <c r="D331" s="5" t="s">
        <v>348</v>
      </c>
    </row>
    <row r="332" customFormat="false" ht="24" hidden="false" customHeight="true" outlineLevel="0" collapsed="false">
      <c r="A332" s="1" t="s">
        <v>221</v>
      </c>
      <c r="B332" s="8" t="n">
        <v>1</v>
      </c>
      <c r="C332" s="1" t="s">
        <v>513</v>
      </c>
      <c r="D332" s="5" t="s">
        <v>54</v>
      </c>
    </row>
    <row r="333" customFormat="false" ht="24" hidden="false" customHeight="true" outlineLevel="0" collapsed="false">
      <c r="A333" s="1" t="s">
        <v>221</v>
      </c>
      <c r="B333" s="8" t="n">
        <v>2</v>
      </c>
      <c r="C333" s="1" t="s">
        <v>514</v>
      </c>
      <c r="D333" s="5" t="s">
        <v>54</v>
      </c>
    </row>
    <row r="334" customFormat="false" ht="24" hidden="false" customHeight="true" outlineLevel="0" collapsed="false">
      <c r="A334" s="1" t="s">
        <v>221</v>
      </c>
      <c r="B334" s="8" t="n">
        <v>3</v>
      </c>
      <c r="C334" s="1" t="s">
        <v>515</v>
      </c>
      <c r="D334" s="5" t="s">
        <v>54</v>
      </c>
    </row>
    <row r="335" customFormat="false" ht="24" hidden="false" customHeight="true" outlineLevel="0" collapsed="false">
      <c r="A335" s="1" t="s">
        <v>221</v>
      </c>
      <c r="B335" s="8" t="n">
        <v>4</v>
      </c>
      <c r="C335" s="1" t="s">
        <v>516</v>
      </c>
      <c r="D335" s="5" t="s">
        <v>348</v>
      </c>
    </row>
    <row r="336" customFormat="false" ht="24" hidden="false" customHeight="true" outlineLevel="0" collapsed="false">
      <c r="A336" s="1" t="s">
        <v>221</v>
      </c>
      <c r="B336" s="8" t="n">
        <v>5</v>
      </c>
      <c r="C336" s="1" t="s">
        <v>489</v>
      </c>
      <c r="D336" s="5" t="s">
        <v>49</v>
      </c>
    </row>
    <row r="337" customFormat="false" ht="24" hidden="false" customHeight="true" outlineLevel="0" collapsed="false">
      <c r="A337" s="1" t="s">
        <v>221</v>
      </c>
      <c r="B337" s="8" t="n">
        <v>6</v>
      </c>
      <c r="C337" s="1" t="s">
        <v>500</v>
      </c>
      <c r="D337" s="5" t="s">
        <v>348</v>
      </c>
    </row>
    <row r="338" customFormat="false" ht="24" hidden="false" customHeight="true" outlineLevel="0" collapsed="false">
      <c r="A338" s="1" t="s">
        <v>221</v>
      </c>
      <c r="B338" s="8" t="n">
        <v>7</v>
      </c>
      <c r="C338" s="1" t="s">
        <v>517</v>
      </c>
      <c r="D338" s="5" t="s">
        <v>51</v>
      </c>
    </row>
    <row r="339" customFormat="false" ht="24" hidden="false" customHeight="true" outlineLevel="0" collapsed="false">
      <c r="A339" s="1" t="s">
        <v>221</v>
      </c>
      <c r="B339" s="8" t="n">
        <v>8</v>
      </c>
      <c r="C339" s="1" t="s">
        <v>518</v>
      </c>
      <c r="D339" s="5" t="s">
        <v>45</v>
      </c>
    </row>
    <row r="340" customFormat="false" ht="24" hidden="false" customHeight="true" outlineLevel="0" collapsed="false">
      <c r="A340" s="1" t="s">
        <v>221</v>
      </c>
      <c r="B340" s="8" t="n">
        <v>9</v>
      </c>
      <c r="C340" s="1" t="s">
        <v>519</v>
      </c>
      <c r="D340" s="5" t="s">
        <v>45</v>
      </c>
    </row>
    <row r="341" customFormat="false" ht="24" hidden="false" customHeight="true" outlineLevel="0" collapsed="false">
      <c r="A341" s="1" t="s">
        <v>221</v>
      </c>
      <c r="B341" s="8" t="n">
        <v>10</v>
      </c>
      <c r="C341" s="1" t="s">
        <v>347</v>
      </c>
      <c r="D341" s="5" t="s">
        <v>348</v>
      </c>
    </row>
    <row r="342" customFormat="false" ht="24" hidden="false" customHeight="true" outlineLevel="0" collapsed="false">
      <c r="A342" s="1" t="s">
        <v>221</v>
      </c>
      <c r="B342" s="8" t="n">
        <v>11</v>
      </c>
      <c r="C342" s="1" t="s">
        <v>408</v>
      </c>
      <c r="D342" s="5" t="s">
        <v>53</v>
      </c>
    </row>
    <row r="343" customFormat="false" ht="24" hidden="false" customHeight="true" outlineLevel="0" collapsed="false">
      <c r="A343" s="1" t="s">
        <v>221</v>
      </c>
      <c r="B343" s="8" t="n">
        <v>12</v>
      </c>
      <c r="C343" s="1" t="s">
        <v>520</v>
      </c>
      <c r="D343" s="5" t="s">
        <v>53</v>
      </c>
    </row>
    <row r="344" customFormat="false" ht="24" hidden="false" customHeight="true" outlineLevel="0" collapsed="false">
      <c r="A344" s="1" t="s">
        <v>221</v>
      </c>
      <c r="B344" s="8" t="n">
        <v>13</v>
      </c>
      <c r="C344" s="1" t="s">
        <v>382</v>
      </c>
      <c r="D344" s="5" t="s">
        <v>56</v>
      </c>
    </row>
    <row r="345" customFormat="false" ht="24" hidden="false" customHeight="true" outlineLevel="0" collapsed="false">
      <c r="A345" s="1" t="s">
        <v>221</v>
      </c>
      <c r="B345" s="8" t="n">
        <v>14</v>
      </c>
      <c r="C345" s="1" t="s">
        <v>383</v>
      </c>
      <c r="D345" s="5" t="s">
        <v>56</v>
      </c>
    </row>
    <row r="346" customFormat="false" ht="24" hidden="false" customHeight="true" outlineLevel="0" collapsed="false">
      <c r="A346" s="1" t="s">
        <v>221</v>
      </c>
      <c r="B346" s="8" t="n">
        <v>15</v>
      </c>
      <c r="C346" s="1" t="s">
        <v>353</v>
      </c>
      <c r="D346" s="5" t="s">
        <v>348</v>
      </c>
    </row>
    <row r="347" customFormat="false" ht="24" hidden="false" customHeight="true" outlineLevel="0" collapsed="false">
      <c r="A347" s="1" t="s">
        <v>226</v>
      </c>
      <c r="B347" s="8" t="n">
        <v>1</v>
      </c>
      <c r="C347" s="1" t="s">
        <v>480</v>
      </c>
      <c r="D347" s="5" t="s">
        <v>49</v>
      </c>
    </row>
    <row r="348" customFormat="false" ht="24" hidden="false" customHeight="true" outlineLevel="0" collapsed="false">
      <c r="A348" s="1" t="s">
        <v>226</v>
      </c>
      <c r="B348" s="8" t="n">
        <v>2</v>
      </c>
      <c r="C348" s="1" t="s">
        <v>352</v>
      </c>
      <c r="D348" s="5" t="s">
        <v>56</v>
      </c>
    </row>
    <row r="349" customFormat="false" ht="24" hidden="false" customHeight="true" outlineLevel="0" collapsed="false">
      <c r="A349" s="1" t="s">
        <v>226</v>
      </c>
      <c r="B349" s="8" t="n">
        <v>3</v>
      </c>
      <c r="C349" s="1" t="s">
        <v>383</v>
      </c>
      <c r="D349" s="5" t="s">
        <v>56</v>
      </c>
    </row>
    <row r="350" customFormat="false" ht="24" hidden="false" customHeight="true" outlineLevel="0" collapsed="false">
      <c r="A350" s="1" t="s">
        <v>226</v>
      </c>
      <c r="B350" s="8" t="n">
        <v>4</v>
      </c>
      <c r="C350" s="1" t="s">
        <v>347</v>
      </c>
      <c r="D350" s="5" t="s">
        <v>348</v>
      </c>
    </row>
    <row r="351" customFormat="false" ht="24" hidden="false" customHeight="true" outlineLevel="0" collapsed="false">
      <c r="A351" s="1" t="s">
        <v>226</v>
      </c>
      <c r="B351" s="8" t="n">
        <v>5</v>
      </c>
      <c r="C351" s="1" t="s">
        <v>349</v>
      </c>
      <c r="D351" s="5" t="s">
        <v>53</v>
      </c>
    </row>
    <row r="352" customFormat="false" ht="24" hidden="false" customHeight="true" outlineLevel="0" collapsed="false">
      <c r="A352" s="1" t="s">
        <v>226</v>
      </c>
      <c r="B352" s="8" t="n">
        <v>6</v>
      </c>
      <c r="C352" s="1" t="s">
        <v>521</v>
      </c>
      <c r="D352" s="5" t="s">
        <v>53</v>
      </c>
    </row>
    <row r="353" customFormat="false" ht="24" hidden="false" customHeight="true" outlineLevel="0" collapsed="false">
      <c r="A353" s="1" t="s">
        <v>226</v>
      </c>
      <c r="B353" s="8" t="n">
        <v>7</v>
      </c>
      <c r="C353" s="1" t="s">
        <v>401</v>
      </c>
      <c r="D353" s="5" t="s">
        <v>348</v>
      </c>
    </row>
    <row r="354" customFormat="false" ht="24" hidden="false" customHeight="true" outlineLevel="0" collapsed="false">
      <c r="A354" s="1" t="s">
        <v>226</v>
      </c>
      <c r="B354" s="8" t="n">
        <v>8</v>
      </c>
      <c r="C354" s="1" t="s">
        <v>453</v>
      </c>
      <c r="D354" s="5" t="s">
        <v>57</v>
      </c>
    </row>
    <row r="355" customFormat="false" ht="24" hidden="false" customHeight="true" outlineLevel="0" collapsed="false">
      <c r="A355" s="1" t="s">
        <v>226</v>
      </c>
      <c r="B355" s="8" t="n">
        <v>9</v>
      </c>
      <c r="C355" s="1" t="s">
        <v>522</v>
      </c>
      <c r="D355" s="5" t="s">
        <v>57</v>
      </c>
    </row>
    <row r="356" customFormat="false" ht="24" hidden="false" customHeight="true" outlineLevel="0" collapsed="false">
      <c r="A356" s="1" t="s">
        <v>226</v>
      </c>
      <c r="B356" s="8" t="n">
        <v>10</v>
      </c>
      <c r="C356" s="1" t="s">
        <v>355</v>
      </c>
      <c r="D356" s="5" t="s">
        <v>57</v>
      </c>
    </row>
    <row r="357" customFormat="false" ht="24" hidden="false" customHeight="true" outlineLevel="0" collapsed="false">
      <c r="A357" s="1" t="s">
        <v>226</v>
      </c>
      <c r="B357" s="8" t="n">
        <v>11</v>
      </c>
      <c r="C357" s="1" t="s">
        <v>403</v>
      </c>
      <c r="D357" s="5" t="s">
        <v>57</v>
      </c>
    </row>
    <row r="358" customFormat="false" ht="24" hidden="false" customHeight="true" outlineLevel="0" collapsed="false">
      <c r="A358" s="1" t="s">
        <v>226</v>
      </c>
      <c r="B358" s="8" t="n">
        <v>12</v>
      </c>
      <c r="C358" s="1" t="s">
        <v>353</v>
      </c>
      <c r="D358" s="5" t="s">
        <v>348</v>
      </c>
    </row>
    <row r="359" customFormat="false" ht="24" hidden="false" customHeight="true" outlineLevel="0" collapsed="false">
      <c r="A359" s="1" t="s">
        <v>231</v>
      </c>
      <c r="B359" s="8" t="n">
        <v>1</v>
      </c>
      <c r="C359" s="1" t="s">
        <v>523</v>
      </c>
      <c r="D359" s="5" t="s">
        <v>348</v>
      </c>
    </row>
    <row r="360" customFormat="false" ht="24" hidden="false" customHeight="true" outlineLevel="0" collapsed="false">
      <c r="A360" s="1" t="s">
        <v>231</v>
      </c>
      <c r="B360" s="8" t="n">
        <v>2</v>
      </c>
      <c r="C360" s="1" t="s">
        <v>489</v>
      </c>
      <c r="D360" s="5" t="s">
        <v>49</v>
      </c>
    </row>
    <row r="361" customFormat="false" ht="24" hidden="false" customHeight="true" outlineLevel="0" collapsed="false">
      <c r="A361" s="1" t="s">
        <v>231</v>
      </c>
      <c r="B361" s="8" t="n">
        <v>3</v>
      </c>
      <c r="C361" s="1" t="s">
        <v>347</v>
      </c>
      <c r="D361" s="5" t="s">
        <v>348</v>
      </c>
    </row>
    <row r="362" customFormat="false" ht="24" hidden="false" customHeight="true" outlineLevel="0" collapsed="false">
      <c r="A362" s="1" t="s">
        <v>231</v>
      </c>
      <c r="B362" s="8" t="n">
        <v>4</v>
      </c>
      <c r="C362" s="1" t="s">
        <v>367</v>
      </c>
      <c r="D362" s="5" t="s">
        <v>53</v>
      </c>
    </row>
    <row r="363" customFormat="false" ht="24" hidden="false" customHeight="true" outlineLevel="0" collapsed="false">
      <c r="A363" s="1" t="s">
        <v>231</v>
      </c>
      <c r="B363" s="8" t="n">
        <v>5</v>
      </c>
      <c r="C363" s="1" t="s">
        <v>524</v>
      </c>
      <c r="D363" s="5" t="s">
        <v>53</v>
      </c>
    </row>
    <row r="364" customFormat="false" ht="24" hidden="false" customHeight="true" outlineLevel="0" collapsed="false">
      <c r="A364" s="1" t="s">
        <v>231</v>
      </c>
      <c r="B364" s="8" t="n">
        <v>6</v>
      </c>
      <c r="C364" s="1" t="s">
        <v>358</v>
      </c>
      <c r="D364" s="5" t="s">
        <v>56</v>
      </c>
    </row>
    <row r="365" customFormat="false" ht="24" hidden="false" customHeight="true" outlineLevel="0" collapsed="false">
      <c r="A365" s="1" t="s">
        <v>231</v>
      </c>
      <c r="B365" s="8" t="n">
        <v>7</v>
      </c>
      <c r="C365" s="1" t="s">
        <v>359</v>
      </c>
      <c r="D365" s="5" t="s">
        <v>56</v>
      </c>
    </row>
    <row r="366" customFormat="false" ht="24" hidden="false" customHeight="true" outlineLevel="0" collapsed="false">
      <c r="A366" s="1" t="s">
        <v>231</v>
      </c>
      <c r="B366" s="8" t="n">
        <v>8</v>
      </c>
      <c r="C366" s="1" t="s">
        <v>414</v>
      </c>
      <c r="D366" s="5" t="s">
        <v>348</v>
      </c>
    </row>
    <row r="367" customFormat="false" ht="24" hidden="false" customHeight="true" outlineLevel="0" collapsed="false">
      <c r="A367" s="1" t="s">
        <v>231</v>
      </c>
      <c r="B367" s="8" t="n">
        <v>9</v>
      </c>
      <c r="C367" s="1" t="s">
        <v>402</v>
      </c>
      <c r="D367" s="5" t="s">
        <v>46</v>
      </c>
    </row>
    <row r="368" customFormat="false" ht="24" hidden="false" customHeight="true" outlineLevel="0" collapsed="false">
      <c r="A368" s="1" t="s">
        <v>231</v>
      </c>
      <c r="B368" s="8" t="n">
        <v>10</v>
      </c>
      <c r="C368" s="1" t="s">
        <v>525</v>
      </c>
      <c r="D368" s="5" t="s">
        <v>46</v>
      </c>
    </row>
    <row r="369" customFormat="false" ht="24" hidden="false" customHeight="true" outlineLevel="0" collapsed="false">
      <c r="A369" s="1" t="s">
        <v>231</v>
      </c>
      <c r="B369" s="8" t="n">
        <v>11</v>
      </c>
      <c r="C369" s="1" t="s">
        <v>406</v>
      </c>
      <c r="D369" s="5" t="s">
        <v>46</v>
      </c>
    </row>
    <row r="370" customFormat="false" ht="24" hidden="false" customHeight="true" outlineLevel="0" collapsed="false">
      <c r="A370" s="1" t="s">
        <v>231</v>
      </c>
      <c r="B370" s="8" t="n">
        <v>12</v>
      </c>
      <c r="C370" s="1" t="s">
        <v>353</v>
      </c>
      <c r="D370" s="5" t="s">
        <v>348</v>
      </c>
    </row>
    <row r="371" customFormat="false" ht="24" hidden="false" customHeight="true" outlineLevel="0" collapsed="false">
      <c r="A371" s="1" t="s">
        <v>236</v>
      </c>
      <c r="B371" s="8" t="n">
        <v>1</v>
      </c>
      <c r="C371" s="1" t="s">
        <v>480</v>
      </c>
      <c r="D371" s="5" t="s">
        <v>49</v>
      </c>
    </row>
    <row r="372" customFormat="false" ht="24" hidden="false" customHeight="true" outlineLevel="0" collapsed="false">
      <c r="A372" s="1" t="s">
        <v>236</v>
      </c>
      <c r="B372" s="8" t="n">
        <v>2</v>
      </c>
      <c r="C372" s="1" t="s">
        <v>416</v>
      </c>
      <c r="D372" s="5" t="s">
        <v>51</v>
      </c>
    </row>
    <row r="373" customFormat="false" ht="24" hidden="false" customHeight="true" outlineLevel="0" collapsed="false">
      <c r="A373" s="1" t="s">
        <v>236</v>
      </c>
      <c r="B373" s="8" t="n">
        <v>3</v>
      </c>
      <c r="C373" s="1" t="s">
        <v>526</v>
      </c>
      <c r="D373" s="5" t="s">
        <v>45</v>
      </c>
    </row>
    <row r="374" customFormat="false" ht="24" hidden="false" customHeight="true" outlineLevel="0" collapsed="false">
      <c r="A374" s="1" t="s">
        <v>236</v>
      </c>
      <c r="B374" s="8" t="n">
        <v>4</v>
      </c>
      <c r="C374" s="1" t="s">
        <v>527</v>
      </c>
      <c r="D374" s="5" t="s">
        <v>45</v>
      </c>
    </row>
    <row r="375" customFormat="false" ht="24" hidden="false" customHeight="true" outlineLevel="0" collapsed="false">
      <c r="A375" s="1" t="s">
        <v>236</v>
      </c>
      <c r="B375" s="8" t="n">
        <v>5</v>
      </c>
      <c r="C375" s="1" t="s">
        <v>347</v>
      </c>
      <c r="D375" s="5" t="s">
        <v>348</v>
      </c>
    </row>
    <row r="376" customFormat="false" ht="24" hidden="false" customHeight="true" outlineLevel="0" collapsed="false">
      <c r="A376" s="1" t="s">
        <v>236</v>
      </c>
      <c r="B376" s="8" t="n">
        <v>6</v>
      </c>
      <c r="C376" s="1" t="s">
        <v>528</v>
      </c>
      <c r="D376" s="5" t="s">
        <v>53</v>
      </c>
    </row>
    <row r="377" customFormat="false" ht="24" hidden="false" customHeight="true" outlineLevel="0" collapsed="false">
      <c r="A377" s="1" t="s">
        <v>236</v>
      </c>
      <c r="B377" s="8" t="n">
        <v>7</v>
      </c>
      <c r="C377" s="1" t="s">
        <v>529</v>
      </c>
      <c r="D377" s="5" t="s">
        <v>53</v>
      </c>
    </row>
    <row r="378" customFormat="false" ht="24" hidden="false" customHeight="true" outlineLevel="0" collapsed="false">
      <c r="A378" s="1" t="s">
        <v>236</v>
      </c>
      <c r="B378" s="8" t="n">
        <v>8</v>
      </c>
      <c r="C378" s="1" t="s">
        <v>399</v>
      </c>
      <c r="D378" s="5" t="s">
        <v>56</v>
      </c>
    </row>
    <row r="379" customFormat="false" ht="24" hidden="false" customHeight="true" outlineLevel="0" collapsed="false">
      <c r="A379" s="1" t="s">
        <v>236</v>
      </c>
      <c r="B379" s="8" t="n">
        <v>9</v>
      </c>
      <c r="C379" s="1" t="s">
        <v>383</v>
      </c>
      <c r="D379" s="5" t="s">
        <v>56</v>
      </c>
    </row>
    <row r="380" customFormat="false" ht="24" hidden="false" customHeight="true" outlineLevel="0" collapsed="false">
      <c r="A380" s="1" t="s">
        <v>236</v>
      </c>
      <c r="B380" s="8" t="n">
        <v>10</v>
      </c>
      <c r="C380" s="1" t="s">
        <v>387</v>
      </c>
      <c r="D380" s="5" t="s">
        <v>348</v>
      </c>
    </row>
    <row r="381" customFormat="false" ht="24" hidden="false" customHeight="true" outlineLevel="0" collapsed="false">
      <c r="A381" s="1" t="s">
        <v>236</v>
      </c>
      <c r="B381" s="8" t="n">
        <v>11</v>
      </c>
      <c r="C381" s="1" t="s">
        <v>530</v>
      </c>
      <c r="D381" s="5" t="s">
        <v>348</v>
      </c>
    </row>
    <row r="382" customFormat="false" ht="24" hidden="false" customHeight="true" outlineLevel="0" collapsed="false">
      <c r="A382" s="1" t="s">
        <v>236</v>
      </c>
      <c r="B382" s="8" t="n">
        <v>12</v>
      </c>
      <c r="C382" s="1" t="s">
        <v>531</v>
      </c>
      <c r="D382" s="5" t="s">
        <v>348</v>
      </c>
    </row>
    <row r="383" customFormat="false" ht="24" hidden="false" customHeight="true" outlineLevel="0" collapsed="false">
      <c r="A383" s="1" t="s">
        <v>236</v>
      </c>
      <c r="B383" s="8" t="n">
        <v>13</v>
      </c>
      <c r="C383" s="1" t="s">
        <v>532</v>
      </c>
      <c r="D383" s="5" t="s">
        <v>348</v>
      </c>
    </row>
    <row r="384" customFormat="false" ht="24" hidden="false" customHeight="true" outlineLevel="0" collapsed="false">
      <c r="A384" s="1" t="s">
        <v>236</v>
      </c>
      <c r="B384" s="8" t="n">
        <v>14</v>
      </c>
      <c r="C384" s="1" t="s">
        <v>353</v>
      </c>
      <c r="D384" s="5" t="s">
        <v>348</v>
      </c>
    </row>
    <row r="385" customFormat="false" ht="24" hidden="false" customHeight="true" outlineLevel="0" collapsed="false">
      <c r="A385" s="1" t="s">
        <v>241</v>
      </c>
      <c r="B385" s="8" t="n">
        <v>1</v>
      </c>
      <c r="C385" s="1" t="s">
        <v>533</v>
      </c>
      <c r="D385" s="5" t="s">
        <v>56</v>
      </c>
    </row>
    <row r="386" customFormat="false" ht="24" hidden="false" customHeight="true" outlineLevel="0" collapsed="false">
      <c r="A386" s="1" t="s">
        <v>241</v>
      </c>
      <c r="B386" s="8" t="n">
        <v>2</v>
      </c>
      <c r="C386" s="1" t="s">
        <v>371</v>
      </c>
      <c r="D386" s="5" t="s">
        <v>56</v>
      </c>
    </row>
    <row r="387" customFormat="false" ht="24" hidden="false" customHeight="true" outlineLevel="0" collapsed="false">
      <c r="A387" s="1" t="s">
        <v>241</v>
      </c>
      <c r="B387" s="8" t="n">
        <v>3</v>
      </c>
      <c r="C387" s="1" t="s">
        <v>414</v>
      </c>
      <c r="D387" s="5" t="s">
        <v>348</v>
      </c>
    </row>
    <row r="388" customFormat="false" ht="24" hidden="false" customHeight="true" outlineLevel="0" collapsed="false">
      <c r="A388" s="1" t="s">
        <v>241</v>
      </c>
      <c r="B388" s="8" t="n">
        <v>4</v>
      </c>
      <c r="C388" s="1" t="s">
        <v>494</v>
      </c>
      <c r="D388" s="5" t="s">
        <v>49</v>
      </c>
    </row>
    <row r="389" customFormat="false" ht="24" hidden="false" customHeight="true" outlineLevel="0" collapsed="false">
      <c r="A389" s="1" t="s">
        <v>241</v>
      </c>
      <c r="B389" s="8" t="n">
        <v>5</v>
      </c>
      <c r="C389" s="1" t="s">
        <v>421</v>
      </c>
      <c r="D389" s="5" t="s">
        <v>348</v>
      </c>
    </row>
    <row r="390" customFormat="false" ht="24" hidden="false" customHeight="true" outlineLevel="0" collapsed="false">
      <c r="A390" s="1" t="s">
        <v>241</v>
      </c>
      <c r="B390" s="8" t="n">
        <v>6</v>
      </c>
      <c r="C390" s="1" t="s">
        <v>534</v>
      </c>
      <c r="D390" s="5" t="s">
        <v>51</v>
      </c>
    </row>
    <row r="391" customFormat="false" ht="24" hidden="false" customHeight="true" outlineLevel="0" collapsed="false">
      <c r="A391" s="1" t="s">
        <v>241</v>
      </c>
      <c r="B391" s="8" t="n">
        <v>7</v>
      </c>
      <c r="C391" s="1" t="s">
        <v>535</v>
      </c>
      <c r="D391" s="5" t="s">
        <v>45</v>
      </c>
    </row>
    <row r="392" customFormat="false" ht="24" hidden="false" customHeight="true" outlineLevel="0" collapsed="false">
      <c r="A392" s="1" t="s">
        <v>241</v>
      </c>
      <c r="B392" s="8" t="n">
        <v>8</v>
      </c>
      <c r="C392" s="1" t="s">
        <v>536</v>
      </c>
      <c r="D392" s="5" t="s">
        <v>45</v>
      </c>
    </row>
    <row r="393" customFormat="false" ht="24" hidden="false" customHeight="true" outlineLevel="0" collapsed="false">
      <c r="A393" s="1" t="s">
        <v>241</v>
      </c>
      <c r="B393" s="8" t="n">
        <v>9</v>
      </c>
      <c r="C393" s="1" t="s">
        <v>347</v>
      </c>
      <c r="D393" s="5" t="s">
        <v>348</v>
      </c>
    </row>
    <row r="394" customFormat="false" ht="24" hidden="false" customHeight="true" outlineLevel="0" collapsed="false">
      <c r="A394" s="1" t="s">
        <v>241</v>
      </c>
      <c r="B394" s="8" t="n">
        <v>10</v>
      </c>
      <c r="C394" s="1" t="s">
        <v>360</v>
      </c>
      <c r="D394" s="5" t="s">
        <v>53</v>
      </c>
    </row>
    <row r="395" customFormat="false" ht="24" hidden="false" customHeight="true" outlineLevel="0" collapsed="false">
      <c r="A395" s="1" t="s">
        <v>241</v>
      </c>
      <c r="B395" s="8" t="n">
        <v>11</v>
      </c>
      <c r="C395" s="1" t="s">
        <v>537</v>
      </c>
      <c r="D395" s="5" t="s">
        <v>53</v>
      </c>
    </row>
    <row r="396" customFormat="false" ht="24" hidden="false" customHeight="true" outlineLevel="0" collapsed="false">
      <c r="A396" s="1" t="s">
        <v>241</v>
      </c>
      <c r="B396" s="8" t="n">
        <v>12</v>
      </c>
      <c r="C396" s="1" t="s">
        <v>353</v>
      </c>
      <c r="D396" s="5" t="s">
        <v>348</v>
      </c>
    </row>
    <row r="397" customFormat="false" ht="24" hidden="false" customHeight="true" outlineLevel="0" collapsed="false">
      <c r="A397" s="1" t="s">
        <v>247</v>
      </c>
      <c r="B397" s="8" t="n">
        <v>1</v>
      </c>
      <c r="C397" s="1" t="s">
        <v>538</v>
      </c>
      <c r="D397" s="5" t="s">
        <v>44</v>
      </c>
    </row>
    <row r="398" customFormat="false" ht="24" hidden="false" customHeight="true" outlineLevel="0" collapsed="false">
      <c r="A398" s="1" t="s">
        <v>247</v>
      </c>
      <c r="B398" s="8" t="n">
        <v>2</v>
      </c>
      <c r="C398" s="1" t="s">
        <v>539</v>
      </c>
      <c r="D398" s="5" t="s">
        <v>51</v>
      </c>
    </row>
    <row r="399" customFormat="false" ht="24" hidden="false" customHeight="true" outlineLevel="0" collapsed="false">
      <c r="A399" s="1" t="s">
        <v>247</v>
      </c>
      <c r="B399" s="8" t="n">
        <v>3</v>
      </c>
      <c r="C399" s="1" t="s">
        <v>540</v>
      </c>
      <c r="D399" s="5" t="s">
        <v>45</v>
      </c>
    </row>
    <row r="400" customFormat="false" ht="24" hidden="false" customHeight="true" outlineLevel="0" collapsed="false">
      <c r="A400" s="1" t="s">
        <v>247</v>
      </c>
      <c r="B400" s="8" t="n">
        <v>4</v>
      </c>
      <c r="C400" s="1" t="s">
        <v>541</v>
      </c>
      <c r="D400" s="5" t="s">
        <v>45</v>
      </c>
    </row>
    <row r="401" customFormat="false" ht="24" hidden="false" customHeight="true" outlineLevel="0" collapsed="false">
      <c r="A401" s="1" t="s">
        <v>247</v>
      </c>
      <c r="B401" s="8" t="n">
        <v>5</v>
      </c>
      <c r="C401" s="1" t="s">
        <v>347</v>
      </c>
      <c r="D401" s="5" t="s">
        <v>348</v>
      </c>
    </row>
    <row r="402" customFormat="false" ht="24" hidden="false" customHeight="true" outlineLevel="0" collapsed="false">
      <c r="A402" s="1" t="s">
        <v>247</v>
      </c>
      <c r="B402" s="8" t="n">
        <v>6</v>
      </c>
      <c r="C402" s="1" t="s">
        <v>490</v>
      </c>
      <c r="D402" s="5" t="s">
        <v>55</v>
      </c>
    </row>
    <row r="403" customFormat="false" ht="24" hidden="false" customHeight="true" outlineLevel="0" collapsed="false">
      <c r="A403" s="1" t="s">
        <v>247</v>
      </c>
      <c r="B403" s="8" t="n">
        <v>7</v>
      </c>
      <c r="C403" s="1" t="s">
        <v>542</v>
      </c>
      <c r="D403" s="5" t="s">
        <v>55</v>
      </c>
    </row>
    <row r="404" customFormat="false" ht="24" hidden="false" customHeight="true" outlineLevel="0" collapsed="false">
      <c r="A404" s="1" t="s">
        <v>247</v>
      </c>
      <c r="B404" s="8" t="n">
        <v>8</v>
      </c>
      <c r="C404" s="1" t="s">
        <v>370</v>
      </c>
      <c r="D404" s="5" t="s">
        <v>56</v>
      </c>
    </row>
    <row r="405" customFormat="false" ht="24" hidden="false" customHeight="true" outlineLevel="0" collapsed="false">
      <c r="A405" s="1" t="s">
        <v>247</v>
      </c>
      <c r="B405" s="8" t="n">
        <v>9</v>
      </c>
      <c r="C405" s="1" t="s">
        <v>383</v>
      </c>
      <c r="D405" s="5" t="s">
        <v>56</v>
      </c>
    </row>
    <row r="406" customFormat="false" ht="24" hidden="false" customHeight="true" outlineLevel="0" collapsed="false">
      <c r="A406" s="1" t="s">
        <v>247</v>
      </c>
      <c r="B406" s="8" t="n">
        <v>10</v>
      </c>
      <c r="C406" s="1" t="s">
        <v>353</v>
      </c>
      <c r="D406" s="5" t="s">
        <v>348</v>
      </c>
    </row>
    <row r="407" customFormat="false" ht="24" hidden="false" customHeight="true" outlineLevel="0" collapsed="false">
      <c r="A407" s="1" t="s">
        <v>252</v>
      </c>
      <c r="B407" s="8" t="n">
        <v>1</v>
      </c>
      <c r="C407" s="1" t="s">
        <v>543</v>
      </c>
      <c r="D407" s="5" t="s">
        <v>45</v>
      </c>
    </row>
    <row r="408" customFormat="false" ht="24" hidden="false" customHeight="true" outlineLevel="0" collapsed="false">
      <c r="A408" s="1" t="s">
        <v>252</v>
      </c>
      <c r="B408" s="8" t="n">
        <v>2</v>
      </c>
      <c r="C408" s="1" t="s">
        <v>544</v>
      </c>
      <c r="D408" s="5" t="s">
        <v>45</v>
      </c>
    </row>
    <row r="409" customFormat="false" ht="24" hidden="false" customHeight="true" outlineLevel="0" collapsed="false">
      <c r="A409" s="1" t="s">
        <v>252</v>
      </c>
      <c r="B409" s="8" t="n">
        <v>3</v>
      </c>
      <c r="C409" s="1" t="s">
        <v>545</v>
      </c>
      <c r="D409" s="5" t="s">
        <v>45</v>
      </c>
    </row>
    <row r="410" customFormat="false" ht="24" hidden="false" customHeight="true" outlineLevel="0" collapsed="false">
      <c r="A410" s="1" t="s">
        <v>252</v>
      </c>
      <c r="B410" s="8" t="n">
        <v>4</v>
      </c>
      <c r="C410" s="1" t="s">
        <v>546</v>
      </c>
      <c r="D410" s="5" t="s">
        <v>51</v>
      </c>
    </row>
    <row r="411" customFormat="false" ht="24" hidden="false" customHeight="true" outlineLevel="0" collapsed="false">
      <c r="A411" s="1" t="s">
        <v>252</v>
      </c>
      <c r="B411" s="8" t="n">
        <v>5</v>
      </c>
      <c r="C411" s="1" t="s">
        <v>462</v>
      </c>
      <c r="D411" s="5" t="s">
        <v>348</v>
      </c>
    </row>
    <row r="412" customFormat="false" ht="24" hidden="false" customHeight="true" outlineLevel="0" collapsed="false">
      <c r="A412" s="1" t="s">
        <v>252</v>
      </c>
      <c r="B412" s="8" t="n">
        <v>6</v>
      </c>
      <c r="C412" s="1" t="s">
        <v>547</v>
      </c>
      <c r="D412" s="5" t="s">
        <v>44</v>
      </c>
    </row>
    <row r="413" customFormat="false" ht="24" hidden="false" customHeight="true" outlineLevel="0" collapsed="false">
      <c r="A413" s="1" t="s">
        <v>252</v>
      </c>
      <c r="B413" s="8" t="n">
        <v>7</v>
      </c>
      <c r="C413" s="1" t="s">
        <v>347</v>
      </c>
      <c r="D413" s="5" t="s">
        <v>348</v>
      </c>
    </row>
    <row r="414" customFormat="false" ht="24" hidden="false" customHeight="true" outlineLevel="0" collapsed="false">
      <c r="A414" s="1" t="s">
        <v>252</v>
      </c>
      <c r="B414" s="8" t="n">
        <v>8</v>
      </c>
      <c r="C414" s="1" t="s">
        <v>367</v>
      </c>
      <c r="D414" s="5" t="s">
        <v>53</v>
      </c>
    </row>
    <row r="415" customFormat="false" ht="24" hidden="false" customHeight="true" outlineLevel="0" collapsed="false">
      <c r="A415" s="1" t="s">
        <v>252</v>
      </c>
      <c r="B415" s="8" t="n">
        <v>9</v>
      </c>
      <c r="C415" s="1" t="s">
        <v>548</v>
      </c>
      <c r="D415" s="5" t="s">
        <v>53</v>
      </c>
    </row>
    <row r="416" customFormat="false" ht="24" hidden="false" customHeight="true" outlineLevel="0" collapsed="false">
      <c r="A416" s="1" t="s">
        <v>252</v>
      </c>
      <c r="B416" s="8" t="n">
        <v>10</v>
      </c>
      <c r="C416" s="1" t="s">
        <v>399</v>
      </c>
      <c r="D416" s="5" t="s">
        <v>56</v>
      </c>
    </row>
    <row r="417" customFormat="false" ht="24" hidden="false" customHeight="true" outlineLevel="0" collapsed="false">
      <c r="A417" s="1" t="s">
        <v>252</v>
      </c>
      <c r="B417" s="8" t="n">
        <v>11</v>
      </c>
      <c r="C417" s="1" t="s">
        <v>371</v>
      </c>
      <c r="D417" s="5" t="s">
        <v>56</v>
      </c>
    </row>
    <row r="418" customFormat="false" ht="24" hidden="false" customHeight="true" outlineLevel="0" collapsed="false">
      <c r="A418" s="1" t="s">
        <v>252</v>
      </c>
      <c r="B418" s="8" t="n">
        <v>12</v>
      </c>
      <c r="C418" s="1" t="s">
        <v>353</v>
      </c>
      <c r="D418" s="5" t="s">
        <v>348</v>
      </c>
    </row>
    <row r="419" customFormat="false" ht="24" hidden="false" customHeight="true" outlineLevel="0" collapsed="false">
      <c r="A419" s="1" t="s">
        <v>257</v>
      </c>
      <c r="B419" s="8" t="n">
        <v>1</v>
      </c>
      <c r="C419" s="1" t="s">
        <v>319</v>
      </c>
      <c r="D419" s="5" t="s">
        <v>52</v>
      </c>
    </row>
    <row r="420" customFormat="false" ht="24" hidden="false" customHeight="true" outlineLevel="0" collapsed="false">
      <c r="A420" s="1" t="s">
        <v>257</v>
      </c>
      <c r="B420" s="8" t="n">
        <v>2</v>
      </c>
      <c r="C420" s="1" t="s">
        <v>549</v>
      </c>
      <c r="D420" s="5" t="s">
        <v>52</v>
      </c>
    </row>
    <row r="421" customFormat="false" ht="24" hidden="false" customHeight="true" outlineLevel="0" collapsed="false">
      <c r="A421" s="1" t="s">
        <v>257</v>
      </c>
      <c r="B421" s="8" t="n">
        <v>3</v>
      </c>
      <c r="C421" s="1" t="s">
        <v>550</v>
      </c>
      <c r="D421" s="5" t="s">
        <v>51</v>
      </c>
    </row>
    <row r="422" customFormat="false" ht="24" hidden="false" customHeight="true" outlineLevel="0" collapsed="false">
      <c r="A422" s="1" t="s">
        <v>257</v>
      </c>
      <c r="B422" s="8" t="n">
        <v>4</v>
      </c>
      <c r="C422" s="1" t="s">
        <v>551</v>
      </c>
      <c r="D422" s="5" t="s">
        <v>51</v>
      </c>
    </row>
    <row r="423" customFormat="false" ht="24" hidden="false" customHeight="true" outlineLevel="0" collapsed="false">
      <c r="A423" s="1" t="s">
        <v>257</v>
      </c>
      <c r="B423" s="8" t="n">
        <v>5</v>
      </c>
      <c r="C423" s="1" t="s">
        <v>552</v>
      </c>
      <c r="D423" s="5" t="s">
        <v>51</v>
      </c>
    </row>
    <row r="424" customFormat="false" ht="24" hidden="false" customHeight="true" outlineLevel="0" collapsed="false">
      <c r="A424" s="1" t="s">
        <v>257</v>
      </c>
      <c r="B424" s="8" t="n">
        <v>6</v>
      </c>
      <c r="C424" s="1" t="s">
        <v>469</v>
      </c>
      <c r="D424" s="5" t="s">
        <v>348</v>
      </c>
    </row>
    <row r="425" customFormat="false" ht="24" hidden="false" customHeight="true" outlineLevel="0" collapsed="false">
      <c r="A425" s="1" t="s">
        <v>257</v>
      </c>
      <c r="B425" s="8" t="n">
        <v>7</v>
      </c>
      <c r="C425" s="1" t="s">
        <v>547</v>
      </c>
      <c r="D425" s="5" t="s">
        <v>44</v>
      </c>
    </row>
    <row r="426" customFormat="false" ht="24" hidden="false" customHeight="true" outlineLevel="0" collapsed="false">
      <c r="A426" s="1" t="s">
        <v>257</v>
      </c>
      <c r="B426" s="8" t="n">
        <v>8</v>
      </c>
      <c r="C426" s="1" t="s">
        <v>347</v>
      </c>
      <c r="D426" s="5" t="s">
        <v>348</v>
      </c>
    </row>
    <row r="427" customFormat="false" ht="24" hidden="false" customHeight="true" outlineLevel="0" collapsed="false">
      <c r="A427" s="1" t="s">
        <v>257</v>
      </c>
      <c r="B427" s="8" t="n">
        <v>9</v>
      </c>
      <c r="C427" s="1" t="s">
        <v>490</v>
      </c>
      <c r="D427" s="5" t="s">
        <v>55</v>
      </c>
    </row>
    <row r="428" customFormat="false" ht="24" hidden="false" customHeight="true" outlineLevel="0" collapsed="false">
      <c r="A428" s="1" t="s">
        <v>257</v>
      </c>
      <c r="B428" s="8" t="n">
        <v>10</v>
      </c>
      <c r="C428" s="1" t="s">
        <v>553</v>
      </c>
      <c r="D428" s="5" t="s">
        <v>55</v>
      </c>
    </row>
    <row r="429" customFormat="false" ht="24" hidden="false" customHeight="true" outlineLevel="0" collapsed="false">
      <c r="A429" s="1" t="s">
        <v>257</v>
      </c>
      <c r="B429" s="8" t="n">
        <v>11</v>
      </c>
      <c r="C429" s="1" t="s">
        <v>359</v>
      </c>
      <c r="D429" s="5" t="s">
        <v>56</v>
      </c>
    </row>
    <row r="430" customFormat="false" ht="24" hidden="false" customHeight="true" outlineLevel="0" collapsed="false">
      <c r="A430" s="1" t="s">
        <v>257</v>
      </c>
      <c r="B430" s="8" t="n">
        <v>12</v>
      </c>
      <c r="C430" s="1" t="s">
        <v>382</v>
      </c>
      <c r="D430" s="5" t="s">
        <v>56</v>
      </c>
    </row>
    <row r="431" customFormat="false" ht="24" hidden="false" customHeight="true" outlineLevel="0" collapsed="false">
      <c r="A431" s="1" t="s">
        <v>257</v>
      </c>
      <c r="B431" s="8" t="n">
        <v>13</v>
      </c>
      <c r="C431" s="1" t="s">
        <v>353</v>
      </c>
      <c r="D431" s="5" t="s">
        <v>348</v>
      </c>
    </row>
    <row r="432" customFormat="false" ht="24" hidden="false" customHeight="true" outlineLevel="0" collapsed="false">
      <c r="A432" s="1" t="s">
        <v>262</v>
      </c>
      <c r="B432" s="8" t="n">
        <v>1</v>
      </c>
      <c r="C432" s="1" t="s">
        <v>554</v>
      </c>
      <c r="D432" s="5" t="s">
        <v>51</v>
      </c>
    </row>
    <row r="433" customFormat="false" ht="24" hidden="false" customHeight="true" outlineLevel="0" collapsed="false">
      <c r="A433" s="1" t="s">
        <v>262</v>
      </c>
      <c r="B433" s="8" t="n">
        <v>2</v>
      </c>
      <c r="C433" s="1" t="s">
        <v>555</v>
      </c>
      <c r="D433" s="5" t="s">
        <v>51</v>
      </c>
    </row>
    <row r="434" customFormat="false" ht="24" hidden="false" customHeight="true" outlineLevel="0" collapsed="false">
      <c r="A434" s="1" t="s">
        <v>262</v>
      </c>
      <c r="B434" s="8" t="n">
        <v>3</v>
      </c>
      <c r="C434" s="1" t="s">
        <v>376</v>
      </c>
      <c r="D434" s="5" t="s">
        <v>348</v>
      </c>
    </row>
    <row r="435" customFormat="false" ht="24" hidden="false" customHeight="true" outlineLevel="0" collapsed="false">
      <c r="A435" s="1" t="s">
        <v>262</v>
      </c>
      <c r="B435" s="8" t="n">
        <v>4</v>
      </c>
      <c r="C435" s="1" t="s">
        <v>547</v>
      </c>
      <c r="D435" s="5" t="s">
        <v>44</v>
      </c>
    </row>
    <row r="436" customFormat="false" ht="24" hidden="false" customHeight="true" outlineLevel="0" collapsed="false">
      <c r="A436" s="1" t="s">
        <v>262</v>
      </c>
      <c r="B436" s="8" t="n">
        <v>5</v>
      </c>
      <c r="C436" s="1" t="s">
        <v>512</v>
      </c>
      <c r="D436" s="5" t="s">
        <v>348</v>
      </c>
    </row>
    <row r="437" customFormat="false" ht="24" hidden="false" customHeight="true" outlineLevel="0" collapsed="false">
      <c r="A437" s="1" t="s">
        <v>262</v>
      </c>
      <c r="B437" s="8" t="n">
        <v>6</v>
      </c>
      <c r="C437" s="1" t="s">
        <v>416</v>
      </c>
      <c r="D437" s="5" t="s">
        <v>51</v>
      </c>
    </row>
    <row r="438" customFormat="false" ht="24" hidden="false" customHeight="true" outlineLevel="0" collapsed="false">
      <c r="A438" s="1" t="s">
        <v>262</v>
      </c>
      <c r="B438" s="8" t="n">
        <v>7</v>
      </c>
      <c r="C438" s="1" t="s">
        <v>556</v>
      </c>
      <c r="D438" s="5" t="s">
        <v>45</v>
      </c>
    </row>
    <row r="439" customFormat="false" ht="24" hidden="false" customHeight="true" outlineLevel="0" collapsed="false">
      <c r="A439" s="1" t="s">
        <v>262</v>
      </c>
      <c r="B439" s="8" t="n">
        <v>8</v>
      </c>
      <c r="C439" s="1" t="s">
        <v>557</v>
      </c>
      <c r="D439" s="5" t="s">
        <v>45</v>
      </c>
    </row>
    <row r="440" customFormat="false" ht="24" hidden="false" customHeight="true" outlineLevel="0" collapsed="false">
      <c r="A440" s="1" t="s">
        <v>262</v>
      </c>
      <c r="B440" s="8" t="n">
        <v>9</v>
      </c>
      <c r="C440" s="1" t="s">
        <v>347</v>
      </c>
      <c r="D440" s="5" t="s">
        <v>348</v>
      </c>
    </row>
    <row r="441" customFormat="false" ht="24" hidden="false" customHeight="true" outlineLevel="0" collapsed="false">
      <c r="A441" s="1" t="s">
        <v>262</v>
      </c>
      <c r="B441" s="8" t="n">
        <v>10</v>
      </c>
      <c r="C441" s="1" t="s">
        <v>558</v>
      </c>
      <c r="D441" s="5" t="s">
        <v>53</v>
      </c>
    </row>
    <row r="442" customFormat="false" ht="24" hidden="false" customHeight="true" outlineLevel="0" collapsed="false">
      <c r="A442" s="1" t="s">
        <v>262</v>
      </c>
      <c r="B442" s="8" t="n">
        <v>11</v>
      </c>
      <c r="C442" s="1" t="s">
        <v>559</v>
      </c>
      <c r="D442" s="5" t="s">
        <v>53</v>
      </c>
    </row>
    <row r="443" customFormat="false" ht="24" hidden="false" customHeight="true" outlineLevel="0" collapsed="false">
      <c r="A443" s="1" t="s">
        <v>262</v>
      </c>
      <c r="B443" s="8" t="n">
        <v>12</v>
      </c>
      <c r="C443" s="1" t="s">
        <v>382</v>
      </c>
      <c r="D443" s="5" t="s">
        <v>56</v>
      </c>
    </row>
    <row r="444" customFormat="false" ht="24" hidden="false" customHeight="true" outlineLevel="0" collapsed="false">
      <c r="A444" s="1" t="s">
        <v>262</v>
      </c>
      <c r="B444" s="8" t="n">
        <v>13</v>
      </c>
      <c r="C444" s="1" t="s">
        <v>383</v>
      </c>
      <c r="D444" s="5" t="s">
        <v>56</v>
      </c>
    </row>
    <row r="445" customFormat="false" ht="24" hidden="false" customHeight="true" outlineLevel="0" collapsed="false">
      <c r="A445" s="1" t="s">
        <v>262</v>
      </c>
      <c r="B445" s="8" t="n">
        <v>14</v>
      </c>
      <c r="C445" s="1" t="s">
        <v>353</v>
      </c>
      <c r="D445" s="5" t="s">
        <v>348</v>
      </c>
    </row>
    <row r="446" customFormat="false" ht="24" hidden="false" customHeight="true" outlineLevel="0" collapsed="false">
      <c r="A446" s="1" t="s">
        <v>268</v>
      </c>
      <c r="B446" s="8" t="n">
        <v>1</v>
      </c>
      <c r="C446" s="1" t="s">
        <v>560</v>
      </c>
      <c r="D446" s="5" t="s">
        <v>51</v>
      </c>
    </row>
    <row r="447" customFormat="false" ht="24" hidden="false" customHeight="true" outlineLevel="0" collapsed="false">
      <c r="A447" s="1" t="s">
        <v>268</v>
      </c>
      <c r="B447" s="8" t="n">
        <v>2</v>
      </c>
      <c r="C447" s="1" t="s">
        <v>373</v>
      </c>
      <c r="D447" s="5" t="s">
        <v>51</v>
      </c>
    </row>
    <row r="448" customFormat="false" ht="24" hidden="false" customHeight="true" outlineLevel="0" collapsed="false">
      <c r="A448" s="1" t="s">
        <v>268</v>
      </c>
      <c r="B448" s="8" t="n">
        <v>3</v>
      </c>
      <c r="C448" s="1" t="s">
        <v>561</v>
      </c>
      <c r="D448" s="5" t="s">
        <v>51</v>
      </c>
    </row>
    <row r="449" customFormat="false" ht="24" hidden="false" customHeight="true" outlineLevel="0" collapsed="false">
      <c r="A449" s="1" t="s">
        <v>268</v>
      </c>
      <c r="B449" s="8" t="n">
        <v>4</v>
      </c>
      <c r="C449" s="1" t="s">
        <v>562</v>
      </c>
      <c r="D449" s="5" t="s">
        <v>51</v>
      </c>
    </row>
    <row r="450" customFormat="false" ht="24" hidden="false" customHeight="true" outlineLevel="0" collapsed="false">
      <c r="A450" s="1" t="s">
        <v>268</v>
      </c>
      <c r="B450" s="8" t="n">
        <v>5</v>
      </c>
      <c r="C450" s="1" t="s">
        <v>563</v>
      </c>
      <c r="D450" s="5" t="s">
        <v>348</v>
      </c>
    </row>
    <row r="451" customFormat="false" ht="24" hidden="false" customHeight="true" outlineLevel="0" collapsed="false">
      <c r="A451" s="1" t="s">
        <v>268</v>
      </c>
      <c r="B451" s="8" t="n">
        <v>6</v>
      </c>
      <c r="C451" s="1" t="s">
        <v>547</v>
      </c>
      <c r="D451" s="5" t="s">
        <v>44</v>
      </c>
    </row>
    <row r="452" customFormat="false" ht="24" hidden="false" customHeight="true" outlineLevel="0" collapsed="false">
      <c r="A452" s="1" t="s">
        <v>268</v>
      </c>
      <c r="B452" s="8" t="n">
        <v>7</v>
      </c>
      <c r="C452" s="1" t="s">
        <v>377</v>
      </c>
      <c r="D452" s="5" t="s">
        <v>348</v>
      </c>
    </row>
    <row r="453" customFormat="false" ht="24" hidden="false" customHeight="true" outlineLevel="0" collapsed="false">
      <c r="A453" s="1" t="s">
        <v>268</v>
      </c>
      <c r="B453" s="8" t="n">
        <v>8</v>
      </c>
      <c r="C453" s="1" t="s">
        <v>347</v>
      </c>
      <c r="D453" s="5" t="s">
        <v>348</v>
      </c>
    </row>
    <row r="454" customFormat="false" ht="24" hidden="false" customHeight="true" outlineLevel="0" collapsed="false">
      <c r="A454" s="1" t="s">
        <v>268</v>
      </c>
      <c r="B454" s="8" t="n">
        <v>9</v>
      </c>
      <c r="C454" s="1" t="s">
        <v>490</v>
      </c>
      <c r="D454" s="5" t="s">
        <v>55</v>
      </c>
    </row>
    <row r="455" customFormat="false" ht="24" hidden="false" customHeight="true" outlineLevel="0" collapsed="false">
      <c r="A455" s="1" t="s">
        <v>268</v>
      </c>
      <c r="B455" s="8" t="n">
        <v>10</v>
      </c>
      <c r="C455" s="1" t="s">
        <v>564</v>
      </c>
      <c r="D455" s="5" t="s">
        <v>55</v>
      </c>
    </row>
    <row r="456" customFormat="false" ht="24" hidden="false" customHeight="true" outlineLevel="0" collapsed="false">
      <c r="A456" s="1" t="s">
        <v>268</v>
      </c>
      <c r="B456" s="8" t="n">
        <v>11</v>
      </c>
      <c r="C456" s="1" t="s">
        <v>370</v>
      </c>
      <c r="D456" s="5" t="s">
        <v>56</v>
      </c>
    </row>
    <row r="457" customFormat="false" ht="24" hidden="false" customHeight="true" outlineLevel="0" collapsed="false">
      <c r="A457" s="1" t="s">
        <v>268</v>
      </c>
      <c r="B457" s="8" t="n">
        <v>12</v>
      </c>
      <c r="C457" s="1" t="s">
        <v>371</v>
      </c>
      <c r="D457" s="5" t="s">
        <v>56</v>
      </c>
    </row>
    <row r="458" customFormat="false" ht="24" hidden="false" customHeight="true" outlineLevel="0" collapsed="false">
      <c r="A458" s="1" t="s">
        <v>268</v>
      </c>
      <c r="B458" s="8" t="n">
        <v>13</v>
      </c>
      <c r="C458" s="1" t="s">
        <v>387</v>
      </c>
      <c r="D458" s="5" t="s">
        <v>348</v>
      </c>
    </row>
    <row r="459" customFormat="false" ht="24" hidden="false" customHeight="true" outlineLevel="0" collapsed="false">
      <c r="A459" s="1" t="s">
        <v>268</v>
      </c>
      <c r="B459" s="8" t="n">
        <v>14</v>
      </c>
      <c r="C459" s="1" t="s">
        <v>402</v>
      </c>
      <c r="D459" s="5" t="s">
        <v>57</v>
      </c>
    </row>
    <row r="460" customFormat="false" ht="24" hidden="false" customHeight="true" outlineLevel="0" collapsed="false">
      <c r="A460" s="1" t="s">
        <v>268</v>
      </c>
      <c r="B460" s="8" t="n">
        <v>15</v>
      </c>
      <c r="C460" s="1" t="s">
        <v>565</v>
      </c>
      <c r="D460" s="5" t="s">
        <v>57</v>
      </c>
    </row>
    <row r="461" customFormat="false" ht="24" hidden="false" customHeight="true" outlineLevel="0" collapsed="false">
      <c r="A461" s="1" t="s">
        <v>268</v>
      </c>
      <c r="B461" s="8" t="n">
        <v>16</v>
      </c>
      <c r="C461" s="1" t="s">
        <v>403</v>
      </c>
      <c r="D461" s="5" t="s">
        <v>57</v>
      </c>
    </row>
    <row r="462" customFormat="false" ht="24" hidden="false" customHeight="true" outlineLevel="0" collapsed="false">
      <c r="A462" s="1" t="s">
        <v>268</v>
      </c>
      <c r="B462" s="8" t="n">
        <v>17</v>
      </c>
      <c r="C462" s="1" t="s">
        <v>353</v>
      </c>
      <c r="D462" s="5" t="s">
        <v>348</v>
      </c>
    </row>
    <row r="463" customFormat="false" ht="24" hidden="false" customHeight="true" outlineLevel="0" collapsed="false">
      <c r="A463" s="1" t="s">
        <v>275</v>
      </c>
      <c r="B463" s="8" t="n">
        <v>1</v>
      </c>
      <c r="C463" s="1" t="s">
        <v>566</v>
      </c>
      <c r="D463" s="5" t="s">
        <v>54</v>
      </c>
    </row>
    <row r="464" customFormat="false" ht="24" hidden="false" customHeight="true" outlineLevel="0" collapsed="false">
      <c r="A464" s="1" t="s">
        <v>275</v>
      </c>
      <c r="B464" s="8" t="n">
        <v>2</v>
      </c>
      <c r="C464" s="1" t="s">
        <v>567</v>
      </c>
      <c r="D464" s="5" t="s">
        <v>54</v>
      </c>
    </row>
    <row r="465" customFormat="false" ht="24" hidden="false" customHeight="true" outlineLevel="0" collapsed="false">
      <c r="A465" s="1" t="s">
        <v>275</v>
      </c>
      <c r="B465" s="8" t="n">
        <v>3</v>
      </c>
      <c r="C465" s="1" t="s">
        <v>516</v>
      </c>
      <c r="D465" s="5" t="s">
        <v>348</v>
      </c>
    </row>
    <row r="466" customFormat="false" ht="24" hidden="false" customHeight="true" outlineLevel="0" collapsed="false">
      <c r="A466" s="1" t="s">
        <v>275</v>
      </c>
      <c r="B466" s="8" t="n">
        <v>4</v>
      </c>
      <c r="C466" s="1" t="s">
        <v>547</v>
      </c>
      <c r="D466" s="5" t="s">
        <v>44</v>
      </c>
    </row>
    <row r="467" customFormat="false" ht="24" hidden="false" customHeight="true" outlineLevel="0" collapsed="false">
      <c r="A467" s="1" t="s">
        <v>275</v>
      </c>
      <c r="B467" s="8" t="n">
        <v>5</v>
      </c>
      <c r="C467" s="1" t="s">
        <v>347</v>
      </c>
      <c r="D467" s="5" t="s">
        <v>348</v>
      </c>
    </row>
    <row r="468" customFormat="false" ht="24" hidden="false" customHeight="true" outlineLevel="0" collapsed="false">
      <c r="A468" s="1" t="s">
        <v>275</v>
      </c>
      <c r="B468" s="8" t="n">
        <v>6</v>
      </c>
      <c r="C468" s="1" t="s">
        <v>367</v>
      </c>
      <c r="D468" s="5" t="s">
        <v>53</v>
      </c>
    </row>
    <row r="469" customFormat="false" ht="24" hidden="false" customHeight="true" outlineLevel="0" collapsed="false">
      <c r="A469" s="1" t="s">
        <v>275</v>
      </c>
      <c r="B469" s="8" t="n">
        <v>7</v>
      </c>
      <c r="C469" s="1" t="s">
        <v>568</v>
      </c>
      <c r="D469" s="5" t="s">
        <v>53</v>
      </c>
    </row>
    <row r="470" customFormat="false" ht="24" hidden="false" customHeight="true" outlineLevel="0" collapsed="false">
      <c r="A470" s="1" t="s">
        <v>275</v>
      </c>
      <c r="B470" s="8" t="n">
        <v>8</v>
      </c>
      <c r="C470" s="1" t="s">
        <v>358</v>
      </c>
      <c r="D470" s="5" t="s">
        <v>56</v>
      </c>
    </row>
    <row r="471" customFormat="false" ht="24" hidden="false" customHeight="true" outlineLevel="0" collapsed="false">
      <c r="A471" s="1" t="s">
        <v>275</v>
      </c>
      <c r="B471" s="8" t="n">
        <v>9</v>
      </c>
      <c r="C471" s="1" t="s">
        <v>383</v>
      </c>
      <c r="D471" s="5" t="s">
        <v>56</v>
      </c>
    </row>
    <row r="472" customFormat="false" ht="24" hidden="false" customHeight="true" outlineLevel="0" collapsed="false">
      <c r="A472" s="1" t="s">
        <v>275</v>
      </c>
      <c r="B472" s="8" t="n">
        <v>10</v>
      </c>
      <c r="C472" s="1" t="s">
        <v>387</v>
      </c>
      <c r="D472" s="5" t="s">
        <v>348</v>
      </c>
    </row>
    <row r="473" customFormat="false" ht="24" hidden="false" customHeight="true" outlineLevel="0" collapsed="false">
      <c r="A473" s="1" t="s">
        <v>275</v>
      </c>
      <c r="B473" s="8" t="n">
        <v>11</v>
      </c>
      <c r="C473" s="1" t="s">
        <v>453</v>
      </c>
      <c r="D473" s="5" t="s">
        <v>45</v>
      </c>
    </row>
    <row r="474" customFormat="false" ht="24" hidden="false" customHeight="true" outlineLevel="0" collapsed="false">
      <c r="A474" s="1" t="s">
        <v>275</v>
      </c>
      <c r="B474" s="8" t="n">
        <v>12</v>
      </c>
      <c r="C474" s="1" t="s">
        <v>569</v>
      </c>
      <c r="D474" s="5" t="s">
        <v>45</v>
      </c>
    </row>
    <row r="475" customFormat="false" ht="24" hidden="false" customHeight="true" outlineLevel="0" collapsed="false">
      <c r="A475" s="1" t="s">
        <v>275</v>
      </c>
      <c r="B475" s="8" t="n">
        <v>13</v>
      </c>
      <c r="C475" s="1" t="s">
        <v>454</v>
      </c>
      <c r="D475" s="5" t="s">
        <v>51</v>
      </c>
    </row>
    <row r="476" customFormat="false" ht="24" hidden="false" customHeight="true" outlineLevel="0" collapsed="false">
      <c r="A476" s="1" t="s">
        <v>275</v>
      </c>
      <c r="B476" s="8" t="n">
        <v>14</v>
      </c>
      <c r="C476" s="1" t="s">
        <v>353</v>
      </c>
      <c r="D476" s="5" t="s">
        <v>348</v>
      </c>
    </row>
    <row r="477" customFormat="false" ht="24" hidden="false" customHeight="true" outlineLevel="0" collapsed="false">
      <c r="A477" s="1" t="s">
        <v>280</v>
      </c>
      <c r="B477" s="8" t="n">
        <v>1</v>
      </c>
      <c r="C477" s="1" t="s">
        <v>455</v>
      </c>
      <c r="D477" s="5" t="s">
        <v>348</v>
      </c>
    </row>
    <row r="478" customFormat="false" ht="24" hidden="false" customHeight="true" outlineLevel="0" collapsed="false">
      <c r="A478" s="1" t="s">
        <v>280</v>
      </c>
      <c r="B478" s="8" t="n">
        <v>2</v>
      </c>
      <c r="C478" s="1" t="s">
        <v>547</v>
      </c>
      <c r="D478" s="5" t="s">
        <v>44</v>
      </c>
    </row>
    <row r="479" customFormat="false" ht="24" hidden="false" customHeight="true" outlineLevel="0" collapsed="false">
      <c r="A479" s="1" t="s">
        <v>280</v>
      </c>
      <c r="B479" s="8" t="n">
        <v>3</v>
      </c>
      <c r="C479" s="1" t="s">
        <v>347</v>
      </c>
      <c r="D479" s="5" t="s">
        <v>348</v>
      </c>
    </row>
    <row r="480" customFormat="false" ht="24" hidden="false" customHeight="true" outlineLevel="0" collapsed="false">
      <c r="A480" s="1" t="s">
        <v>280</v>
      </c>
      <c r="B480" s="8" t="n">
        <v>4</v>
      </c>
      <c r="C480" s="1" t="s">
        <v>490</v>
      </c>
      <c r="D480" s="5" t="s">
        <v>55</v>
      </c>
    </row>
    <row r="481" customFormat="false" ht="24" hidden="false" customHeight="true" outlineLevel="0" collapsed="false">
      <c r="A481" s="1" t="s">
        <v>280</v>
      </c>
      <c r="B481" s="8" t="n">
        <v>5</v>
      </c>
      <c r="C481" s="1" t="s">
        <v>570</v>
      </c>
      <c r="D481" s="5" t="s">
        <v>55</v>
      </c>
    </row>
    <row r="482" customFormat="false" ht="24" hidden="false" customHeight="true" outlineLevel="0" collapsed="false">
      <c r="A482" s="1" t="s">
        <v>280</v>
      </c>
      <c r="B482" s="8" t="n">
        <v>6</v>
      </c>
      <c r="C482" s="1" t="s">
        <v>352</v>
      </c>
      <c r="D482" s="5" t="s">
        <v>56</v>
      </c>
    </row>
    <row r="483" customFormat="false" ht="24" hidden="false" customHeight="true" outlineLevel="0" collapsed="false">
      <c r="A483" s="1" t="s">
        <v>280</v>
      </c>
      <c r="B483" s="8" t="n">
        <v>7</v>
      </c>
      <c r="C483" s="1" t="s">
        <v>383</v>
      </c>
      <c r="D483" s="5" t="s">
        <v>56</v>
      </c>
    </row>
    <row r="484" customFormat="false" ht="24" hidden="false" customHeight="true" outlineLevel="0" collapsed="false">
      <c r="A484" s="1" t="s">
        <v>280</v>
      </c>
      <c r="B484" s="8" t="n">
        <v>8</v>
      </c>
      <c r="C484" s="1" t="s">
        <v>414</v>
      </c>
      <c r="D484" s="5" t="s">
        <v>348</v>
      </c>
    </row>
    <row r="485" customFormat="false" ht="24" hidden="false" customHeight="true" outlineLevel="0" collapsed="false">
      <c r="A485" s="1" t="s">
        <v>280</v>
      </c>
      <c r="B485" s="8" t="n">
        <v>9</v>
      </c>
      <c r="C485" s="1" t="s">
        <v>571</v>
      </c>
      <c r="D485" s="5" t="s">
        <v>57</v>
      </c>
    </row>
    <row r="486" customFormat="false" ht="24" hidden="false" customHeight="true" outlineLevel="0" collapsed="false">
      <c r="A486" s="1" t="s">
        <v>280</v>
      </c>
      <c r="B486" s="8" t="n">
        <v>10</v>
      </c>
      <c r="C486" s="1" t="s">
        <v>572</v>
      </c>
      <c r="D486" s="5" t="s">
        <v>57</v>
      </c>
    </row>
    <row r="487" customFormat="false" ht="24" hidden="false" customHeight="true" outlineLevel="0" collapsed="false">
      <c r="A487" s="1" t="s">
        <v>280</v>
      </c>
      <c r="B487" s="8" t="n">
        <v>11</v>
      </c>
      <c r="C487" s="1" t="s">
        <v>403</v>
      </c>
      <c r="D487" s="5" t="s">
        <v>57</v>
      </c>
    </row>
    <row r="488" customFormat="false" ht="24" hidden="false" customHeight="true" outlineLevel="0" collapsed="false">
      <c r="A488" s="1" t="s">
        <v>280</v>
      </c>
      <c r="B488" s="8" t="n">
        <v>12</v>
      </c>
      <c r="C488" s="1" t="s">
        <v>353</v>
      </c>
      <c r="D488" s="5" t="s">
        <v>348</v>
      </c>
    </row>
    <row r="489" customFormat="false" ht="24" hidden="false" customHeight="true" outlineLevel="0" collapsed="false">
      <c r="A489" s="1" t="s">
        <v>285</v>
      </c>
      <c r="B489" s="8" t="n">
        <v>1</v>
      </c>
      <c r="C489" s="1" t="s">
        <v>573</v>
      </c>
      <c r="D489" s="5" t="s">
        <v>46</v>
      </c>
    </row>
    <row r="490" customFormat="false" ht="24" hidden="false" customHeight="true" outlineLevel="0" collapsed="false">
      <c r="A490" s="1" t="s">
        <v>285</v>
      </c>
      <c r="B490" s="8" t="n">
        <v>2</v>
      </c>
      <c r="C490" s="1" t="s">
        <v>574</v>
      </c>
      <c r="D490" s="5" t="s">
        <v>46</v>
      </c>
    </row>
    <row r="491" customFormat="false" ht="24" hidden="false" customHeight="true" outlineLevel="0" collapsed="false">
      <c r="A491" s="1" t="s">
        <v>285</v>
      </c>
      <c r="B491" s="8" t="n">
        <v>3</v>
      </c>
      <c r="C491" s="1" t="s">
        <v>406</v>
      </c>
      <c r="D491" s="5" t="s">
        <v>46</v>
      </c>
    </row>
    <row r="492" customFormat="false" ht="24" hidden="false" customHeight="true" outlineLevel="0" collapsed="false">
      <c r="A492" s="1" t="s">
        <v>285</v>
      </c>
      <c r="B492" s="8" t="n">
        <v>4</v>
      </c>
      <c r="C492" s="1" t="s">
        <v>575</v>
      </c>
      <c r="D492" s="5" t="s">
        <v>348</v>
      </c>
    </row>
    <row r="493" customFormat="false" ht="24" hidden="false" customHeight="true" outlineLevel="0" collapsed="false">
      <c r="A493" s="1" t="s">
        <v>285</v>
      </c>
      <c r="B493" s="8" t="n">
        <v>5</v>
      </c>
      <c r="C493" s="1" t="s">
        <v>547</v>
      </c>
      <c r="D493" s="5" t="s">
        <v>44</v>
      </c>
    </row>
    <row r="494" customFormat="false" ht="24" hidden="false" customHeight="true" outlineLevel="0" collapsed="false">
      <c r="A494" s="1" t="s">
        <v>285</v>
      </c>
      <c r="B494" s="8" t="n">
        <v>6</v>
      </c>
      <c r="C494" s="1" t="s">
        <v>347</v>
      </c>
      <c r="D494" s="5" t="s">
        <v>348</v>
      </c>
    </row>
    <row r="495" customFormat="false" ht="24" hidden="false" customHeight="true" outlineLevel="0" collapsed="false">
      <c r="A495" s="1" t="s">
        <v>285</v>
      </c>
      <c r="B495" s="8" t="n">
        <v>7</v>
      </c>
      <c r="C495" s="1" t="s">
        <v>408</v>
      </c>
      <c r="D495" s="5" t="s">
        <v>53</v>
      </c>
    </row>
    <row r="496" customFormat="false" ht="24" hidden="false" customHeight="true" outlineLevel="0" collapsed="false">
      <c r="A496" s="1" t="s">
        <v>285</v>
      </c>
      <c r="B496" s="8" t="n">
        <v>8</v>
      </c>
      <c r="C496" s="1" t="s">
        <v>576</v>
      </c>
      <c r="D496" s="5" t="s">
        <v>53</v>
      </c>
    </row>
    <row r="497" customFormat="false" ht="24" hidden="false" customHeight="true" outlineLevel="0" collapsed="false">
      <c r="A497" s="1" t="s">
        <v>285</v>
      </c>
      <c r="B497" s="8" t="n">
        <v>9</v>
      </c>
      <c r="C497" s="1" t="s">
        <v>359</v>
      </c>
      <c r="D497" s="5" t="s">
        <v>56</v>
      </c>
    </row>
    <row r="498" customFormat="false" ht="24" hidden="false" customHeight="true" outlineLevel="0" collapsed="false">
      <c r="A498" s="1" t="s">
        <v>285</v>
      </c>
      <c r="B498" s="8" t="n">
        <v>10</v>
      </c>
      <c r="C498" s="1" t="s">
        <v>358</v>
      </c>
      <c r="D498" s="5" t="s">
        <v>56</v>
      </c>
    </row>
    <row r="499" customFormat="false" ht="24" hidden="false" customHeight="true" outlineLevel="0" collapsed="false">
      <c r="A499" s="1" t="s">
        <v>285</v>
      </c>
      <c r="B499" s="8" t="n">
        <v>11</v>
      </c>
      <c r="C499" s="1" t="s">
        <v>353</v>
      </c>
      <c r="D499" s="5" t="s">
        <v>348</v>
      </c>
    </row>
    <row r="500" customFormat="false" ht="24" hidden="false" customHeight="true" outlineLevel="0" collapsed="false">
      <c r="A500" s="1" t="s">
        <v>290</v>
      </c>
      <c r="B500" s="8" t="n">
        <v>1</v>
      </c>
      <c r="C500" s="1" t="s">
        <v>538</v>
      </c>
      <c r="D500" s="5" t="s">
        <v>44</v>
      </c>
    </row>
    <row r="501" customFormat="false" ht="24" hidden="false" customHeight="true" outlineLevel="0" collapsed="false">
      <c r="A501" s="1" t="s">
        <v>290</v>
      </c>
      <c r="B501" s="8" t="n">
        <v>2</v>
      </c>
      <c r="C501" s="1" t="s">
        <v>416</v>
      </c>
      <c r="D501" s="5" t="s">
        <v>51</v>
      </c>
    </row>
    <row r="502" customFormat="false" ht="24" hidden="false" customHeight="true" outlineLevel="0" collapsed="false">
      <c r="A502" s="1" t="s">
        <v>290</v>
      </c>
      <c r="B502" s="8" t="n">
        <v>3</v>
      </c>
      <c r="C502" s="1" t="s">
        <v>571</v>
      </c>
      <c r="D502" s="5" t="s">
        <v>45</v>
      </c>
    </row>
    <row r="503" customFormat="false" ht="24" hidden="false" customHeight="true" outlineLevel="0" collapsed="false">
      <c r="A503" s="1" t="s">
        <v>290</v>
      </c>
      <c r="B503" s="8" t="n">
        <v>4</v>
      </c>
      <c r="C503" s="1" t="s">
        <v>541</v>
      </c>
      <c r="D503" s="5" t="s">
        <v>45</v>
      </c>
    </row>
    <row r="504" customFormat="false" ht="24" hidden="false" customHeight="true" outlineLevel="0" collapsed="false">
      <c r="A504" s="1" t="s">
        <v>290</v>
      </c>
      <c r="B504" s="8" t="n">
        <v>5</v>
      </c>
      <c r="C504" s="1" t="s">
        <v>347</v>
      </c>
      <c r="D504" s="5" t="s">
        <v>348</v>
      </c>
    </row>
    <row r="505" customFormat="false" ht="24" hidden="false" customHeight="true" outlineLevel="0" collapsed="false">
      <c r="A505" s="1" t="s">
        <v>290</v>
      </c>
      <c r="B505" s="8" t="n">
        <v>6</v>
      </c>
      <c r="C505" s="1" t="s">
        <v>490</v>
      </c>
      <c r="D505" s="5" t="s">
        <v>55</v>
      </c>
    </row>
    <row r="506" customFormat="false" ht="24" hidden="false" customHeight="true" outlineLevel="0" collapsed="false">
      <c r="A506" s="1" t="s">
        <v>290</v>
      </c>
      <c r="B506" s="8" t="n">
        <v>7</v>
      </c>
      <c r="C506" s="1" t="s">
        <v>577</v>
      </c>
      <c r="D506" s="5" t="s">
        <v>55</v>
      </c>
    </row>
    <row r="507" customFormat="false" ht="24" hidden="false" customHeight="true" outlineLevel="0" collapsed="false">
      <c r="A507" s="1" t="s">
        <v>290</v>
      </c>
      <c r="B507" s="8" t="n">
        <v>8</v>
      </c>
      <c r="C507" s="1" t="s">
        <v>399</v>
      </c>
      <c r="D507" s="5" t="s">
        <v>56</v>
      </c>
    </row>
    <row r="508" customFormat="false" ht="24" hidden="false" customHeight="true" outlineLevel="0" collapsed="false">
      <c r="A508" s="1" t="s">
        <v>290</v>
      </c>
      <c r="B508" s="8" t="n">
        <v>9</v>
      </c>
      <c r="C508" s="1" t="s">
        <v>383</v>
      </c>
      <c r="D508" s="5" t="s">
        <v>56</v>
      </c>
    </row>
    <row r="509" customFormat="false" ht="24" hidden="false" customHeight="true" outlineLevel="0" collapsed="false">
      <c r="A509" s="1" t="s">
        <v>290</v>
      </c>
      <c r="B509" s="8" t="n">
        <v>10</v>
      </c>
      <c r="C509" s="1" t="s">
        <v>414</v>
      </c>
      <c r="D509" s="5" t="s">
        <v>348</v>
      </c>
    </row>
    <row r="510" customFormat="false" ht="24" hidden="false" customHeight="true" outlineLevel="0" collapsed="false">
      <c r="A510" s="1" t="s">
        <v>290</v>
      </c>
      <c r="B510" s="8" t="n">
        <v>11</v>
      </c>
      <c r="C510" s="1" t="s">
        <v>578</v>
      </c>
      <c r="D510" s="5" t="s">
        <v>348</v>
      </c>
    </row>
    <row r="511" customFormat="false" ht="24" hidden="false" customHeight="true" outlineLevel="0" collapsed="false">
      <c r="A511" s="1" t="s">
        <v>290</v>
      </c>
      <c r="B511" s="8" t="n">
        <v>12</v>
      </c>
      <c r="C511" s="1" t="s">
        <v>412</v>
      </c>
      <c r="D511" s="5" t="s">
        <v>348</v>
      </c>
    </row>
    <row r="512" customFormat="false" ht="24" hidden="false" customHeight="true" outlineLevel="0" collapsed="false">
      <c r="A512" s="1" t="s">
        <v>290</v>
      </c>
      <c r="B512" s="8" t="n">
        <v>13</v>
      </c>
      <c r="C512" s="1" t="s">
        <v>468</v>
      </c>
      <c r="D512" s="5" t="s">
        <v>348</v>
      </c>
    </row>
    <row r="513" customFormat="false" ht="24" hidden="false" customHeight="true" outlineLevel="0" collapsed="false">
      <c r="A513" s="1" t="s">
        <v>290</v>
      </c>
      <c r="B513" s="8" t="n">
        <v>14</v>
      </c>
      <c r="C513" s="1" t="s">
        <v>353</v>
      </c>
      <c r="D513" s="5" t="s">
        <v>348</v>
      </c>
    </row>
    <row r="514" customFormat="false" ht="24" hidden="false" customHeight="true" outlineLevel="0" collapsed="false">
      <c r="A514" s="1" t="s">
        <v>295</v>
      </c>
      <c r="B514" s="8" t="n">
        <v>1</v>
      </c>
      <c r="C514" s="1" t="s">
        <v>579</v>
      </c>
      <c r="D514" s="5" t="s">
        <v>56</v>
      </c>
    </row>
    <row r="515" customFormat="false" ht="24" hidden="false" customHeight="true" outlineLevel="0" collapsed="false">
      <c r="A515" s="1" t="s">
        <v>295</v>
      </c>
      <c r="B515" s="8" t="n">
        <v>2</v>
      </c>
      <c r="C515" s="1" t="s">
        <v>382</v>
      </c>
      <c r="D515" s="5" t="s">
        <v>56</v>
      </c>
    </row>
    <row r="516" customFormat="false" ht="24" hidden="false" customHeight="true" outlineLevel="0" collapsed="false">
      <c r="A516" s="1" t="s">
        <v>295</v>
      </c>
      <c r="B516" s="8" t="n">
        <v>3</v>
      </c>
      <c r="C516" s="1" t="s">
        <v>414</v>
      </c>
      <c r="D516" s="5" t="s">
        <v>348</v>
      </c>
    </row>
    <row r="517" customFormat="false" ht="24" hidden="false" customHeight="true" outlineLevel="0" collapsed="false">
      <c r="A517" s="1" t="s">
        <v>295</v>
      </c>
      <c r="B517" s="8" t="n">
        <v>4</v>
      </c>
      <c r="C517" s="1" t="s">
        <v>547</v>
      </c>
      <c r="D517" s="5" t="s">
        <v>44</v>
      </c>
    </row>
    <row r="518" customFormat="false" ht="24" hidden="false" customHeight="true" outlineLevel="0" collapsed="false">
      <c r="A518" s="1" t="s">
        <v>295</v>
      </c>
      <c r="B518" s="8" t="n">
        <v>5</v>
      </c>
      <c r="C518" s="1" t="s">
        <v>539</v>
      </c>
      <c r="D518" s="5" t="s">
        <v>51</v>
      </c>
    </row>
    <row r="519" customFormat="false" ht="24" hidden="false" customHeight="true" outlineLevel="0" collapsed="false">
      <c r="A519" s="1" t="s">
        <v>295</v>
      </c>
      <c r="B519" s="8" t="n">
        <v>6</v>
      </c>
      <c r="C519" s="1" t="s">
        <v>580</v>
      </c>
      <c r="D519" s="5" t="s">
        <v>45</v>
      </c>
    </row>
    <row r="520" customFormat="false" ht="24" hidden="false" customHeight="true" outlineLevel="0" collapsed="false">
      <c r="A520" s="1" t="s">
        <v>295</v>
      </c>
      <c r="B520" s="8" t="n">
        <v>7</v>
      </c>
      <c r="C520" s="1" t="s">
        <v>581</v>
      </c>
      <c r="D520" s="5" t="s">
        <v>45</v>
      </c>
    </row>
    <row r="521" customFormat="false" ht="24" hidden="false" customHeight="true" outlineLevel="0" collapsed="false">
      <c r="A521" s="1" t="s">
        <v>295</v>
      </c>
      <c r="B521" s="8" t="n">
        <v>8</v>
      </c>
      <c r="C521" s="1" t="s">
        <v>347</v>
      </c>
      <c r="D521" s="5" t="s">
        <v>348</v>
      </c>
    </row>
    <row r="522" customFormat="false" ht="24" hidden="false" customHeight="true" outlineLevel="0" collapsed="false">
      <c r="A522" s="1" t="s">
        <v>295</v>
      </c>
      <c r="B522" s="8" t="n">
        <v>9</v>
      </c>
      <c r="C522" s="1" t="s">
        <v>349</v>
      </c>
      <c r="D522" s="5" t="s">
        <v>53</v>
      </c>
    </row>
    <row r="523" customFormat="false" ht="24" hidden="false" customHeight="true" outlineLevel="0" collapsed="false">
      <c r="A523" s="1" t="s">
        <v>295</v>
      </c>
      <c r="B523" s="8" t="n">
        <v>10</v>
      </c>
      <c r="C523" s="1" t="s">
        <v>582</v>
      </c>
      <c r="D523" s="5" t="s">
        <v>53</v>
      </c>
    </row>
    <row r="524" customFormat="false" ht="24" hidden="false" customHeight="true" outlineLevel="0" collapsed="false">
      <c r="A524" s="1" t="s">
        <v>295</v>
      </c>
      <c r="B524" s="8" t="n">
        <v>11</v>
      </c>
      <c r="C524" s="1" t="s">
        <v>353</v>
      </c>
      <c r="D524" s="5" t="s">
        <v>348</v>
      </c>
    </row>
    <row r="525" customFormat="false" ht="24" hidden="false" customHeight="true" outlineLevel="0" collapsed="false">
      <c r="A525" s="1" t="s">
        <v>301</v>
      </c>
      <c r="B525" s="8" t="n">
        <v>1</v>
      </c>
      <c r="C525" s="1" t="s">
        <v>583</v>
      </c>
      <c r="D525" s="5" t="s">
        <v>348</v>
      </c>
    </row>
    <row r="526" customFormat="false" ht="24" hidden="false" customHeight="true" outlineLevel="0" collapsed="false">
      <c r="A526" s="1" t="s">
        <v>301</v>
      </c>
      <c r="B526" s="8" t="n">
        <v>2</v>
      </c>
      <c r="C526" s="1" t="s">
        <v>528</v>
      </c>
      <c r="D526" s="5" t="s">
        <v>53</v>
      </c>
    </row>
    <row r="527" customFormat="false" ht="24" hidden="false" customHeight="true" outlineLevel="0" collapsed="false">
      <c r="A527" s="1" t="s">
        <v>301</v>
      </c>
      <c r="B527" s="8" t="n">
        <v>3</v>
      </c>
      <c r="C527" s="1" t="s">
        <v>584</v>
      </c>
      <c r="D527" s="5" t="s">
        <v>53</v>
      </c>
    </row>
    <row r="528" customFormat="false" ht="24" hidden="false" customHeight="true" outlineLevel="0" collapsed="false">
      <c r="A528" s="1" t="s">
        <v>301</v>
      </c>
      <c r="B528" s="8" t="n">
        <v>4</v>
      </c>
      <c r="C528" s="1" t="s">
        <v>399</v>
      </c>
      <c r="D528" s="5" t="s">
        <v>56</v>
      </c>
    </row>
    <row r="529" customFormat="false" ht="24" hidden="false" customHeight="true" outlineLevel="0" collapsed="false">
      <c r="A529" s="1" t="s">
        <v>301</v>
      </c>
      <c r="B529" s="8" t="n">
        <v>5</v>
      </c>
      <c r="C529" s="1" t="s">
        <v>371</v>
      </c>
      <c r="D529" s="5" t="s">
        <v>56</v>
      </c>
    </row>
    <row r="530" customFormat="false" ht="24" hidden="false" customHeight="true" outlineLevel="0" collapsed="false">
      <c r="A530" s="1" t="s">
        <v>301</v>
      </c>
      <c r="B530" s="8" t="n">
        <v>6</v>
      </c>
      <c r="C530" s="1" t="s">
        <v>414</v>
      </c>
      <c r="D530" s="5" t="s">
        <v>348</v>
      </c>
    </row>
    <row r="531" customFormat="false" ht="24" hidden="false" customHeight="true" outlineLevel="0" collapsed="false">
      <c r="A531" s="1" t="s">
        <v>301</v>
      </c>
      <c r="B531" s="8" t="n">
        <v>7</v>
      </c>
      <c r="C531" s="1" t="s">
        <v>304</v>
      </c>
      <c r="D531" s="5" t="s">
        <v>348</v>
      </c>
    </row>
    <row r="532" customFormat="false" ht="24" hidden="false" customHeight="true" outlineLevel="0" collapsed="false">
      <c r="A532" s="1" t="s">
        <v>301</v>
      </c>
      <c r="B532" s="8" t="n">
        <v>8</v>
      </c>
      <c r="C532" s="1" t="s">
        <v>585</v>
      </c>
      <c r="D532" s="5" t="s">
        <v>348</v>
      </c>
    </row>
    <row r="533" customFormat="false" ht="24" hidden="false" customHeight="true" outlineLevel="0" collapsed="false">
      <c r="A533" s="1" t="s">
        <v>301</v>
      </c>
      <c r="B533" s="8" t="n">
        <v>9</v>
      </c>
      <c r="C533" s="1" t="s">
        <v>547</v>
      </c>
      <c r="D533" s="5" t="s">
        <v>48</v>
      </c>
    </row>
    <row r="534" customFormat="false" ht="24" hidden="false" customHeight="true" outlineLevel="0" collapsed="false">
      <c r="A534" s="1" t="s">
        <v>301</v>
      </c>
      <c r="B534" s="8" t="n">
        <v>10</v>
      </c>
      <c r="C534" s="1" t="s">
        <v>586</v>
      </c>
      <c r="D534" s="5" t="s">
        <v>348</v>
      </c>
    </row>
    <row r="535" customFormat="false" ht="24" hidden="false" customHeight="true" outlineLevel="0" collapsed="false">
      <c r="A535" s="1" t="s">
        <v>301</v>
      </c>
      <c r="B535" s="8" t="n">
        <v>11</v>
      </c>
      <c r="C535" s="1" t="s">
        <v>587</v>
      </c>
      <c r="D535" s="5" t="s">
        <v>348</v>
      </c>
    </row>
    <row r="536" customFormat="false" ht="24" hidden="false" customHeight="true" outlineLevel="0" collapsed="false">
      <c r="A536" s="1" t="s">
        <v>301</v>
      </c>
      <c r="B536" s="8" t="n">
        <v>12</v>
      </c>
      <c r="C536" s="1" t="s">
        <v>588</v>
      </c>
      <c r="D536" s="5" t="s">
        <v>348</v>
      </c>
    </row>
    <row r="537" customFormat="false" ht="24" hidden="false" customHeight="true" outlineLevel="0" collapsed="false">
      <c r="A537" s="1" t="s">
        <v>301</v>
      </c>
      <c r="B537" s="8" t="n">
        <v>13</v>
      </c>
      <c r="C537" s="1" t="s">
        <v>387</v>
      </c>
      <c r="D537" s="5" t="s">
        <v>348</v>
      </c>
    </row>
    <row r="538" customFormat="false" ht="24" hidden="false" customHeight="true" outlineLevel="0" collapsed="false">
      <c r="A538" s="1" t="s">
        <v>301</v>
      </c>
      <c r="B538" s="8" t="n">
        <v>14</v>
      </c>
      <c r="C538" s="1" t="s">
        <v>589</v>
      </c>
      <c r="D538" s="5" t="s">
        <v>348</v>
      </c>
    </row>
    <row r="539" customFormat="false" ht="24" hidden="false" customHeight="true" outlineLevel="0" collapsed="false">
      <c r="A539" s="1" t="s">
        <v>301</v>
      </c>
      <c r="B539" s="8" t="n">
        <v>15</v>
      </c>
      <c r="C539" s="1" t="s">
        <v>590</v>
      </c>
      <c r="D539" s="5" t="s">
        <v>348</v>
      </c>
    </row>
    <row r="540" customFormat="false" ht="24" hidden="false" customHeight="true" outlineLevel="0" collapsed="false">
      <c r="A540" s="1" t="s">
        <v>301</v>
      </c>
      <c r="B540" s="8" t="n">
        <v>16</v>
      </c>
      <c r="C540" s="1" t="s">
        <v>591</v>
      </c>
      <c r="D540" s="5" t="s">
        <v>348</v>
      </c>
    </row>
    <row r="541" customFormat="false" ht="24" hidden="false" customHeight="true" outlineLevel="0" collapsed="false">
      <c r="A541" s="1" t="s">
        <v>301</v>
      </c>
      <c r="B541" s="8" t="n">
        <v>17</v>
      </c>
      <c r="C541" s="1" t="s">
        <v>373</v>
      </c>
      <c r="D541" s="5" t="s">
        <v>348</v>
      </c>
    </row>
    <row r="542" customFormat="false" ht="24" hidden="false" customHeight="true" outlineLevel="0" collapsed="false">
      <c r="A542" s="1" t="s">
        <v>301</v>
      </c>
      <c r="B542" s="8" t="n">
        <v>18</v>
      </c>
      <c r="C542" s="1" t="s">
        <v>353</v>
      </c>
      <c r="D542" s="5" t="s">
        <v>348</v>
      </c>
    </row>
    <row r="543" customFormat="false" ht="24" hidden="false" customHeight="true" outlineLevel="0" collapsed="false">
      <c r="A543" s="1" t="s">
        <v>306</v>
      </c>
      <c r="B543" s="8" t="n">
        <v>1</v>
      </c>
      <c r="C543" s="1" t="s">
        <v>362</v>
      </c>
      <c r="D543" s="5" t="s">
        <v>52</v>
      </c>
    </row>
    <row r="544" customFormat="false" ht="24" hidden="false" customHeight="true" outlineLevel="0" collapsed="false">
      <c r="A544" s="1" t="s">
        <v>306</v>
      </c>
      <c r="B544" s="8" t="n">
        <v>2</v>
      </c>
      <c r="C544" s="1" t="s">
        <v>492</v>
      </c>
      <c r="D544" s="5" t="s">
        <v>52</v>
      </c>
    </row>
    <row r="545" customFormat="false" ht="24" hidden="false" customHeight="true" outlineLevel="0" collapsed="false">
      <c r="A545" s="1" t="s">
        <v>306</v>
      </c>
      <c r="B545" s="8" t="n">
        <v>3</v>
      </c>
      <c r="C545" s="1" t="s">
        <v>592</v>
      </c>
      <c r="D545" s="5" t="s">
        <v>348</v>
      </c>
    </row>
    <row r="546" customFormat="false" ht="24" hidden="false" customHeight="true" outlineLevel="0" collapsed="false">
      <c r="A546" s="1" t="s">
        <v>306</v>
      </c>
      <c r="B546" s="8" t="n">
        <v>4</v>
      </c>
      <c r="C546" s="1" t="s">
        <v>593</v>
      </c>
      <c r="D546" s="5" t="s">
        <v>348</v>
      </c>
    </row>
    <row r="547" customFormat="false" ht="24" hidden="false" customHeight="true" outlineLevel="0" collapsed="false">
      <c r="A547" s="1" t="s">
        <v>306</v>
      </c>
      <c r="B547" s="8" t="n">
        <v>5</v>
      </c>
      <c r="C547" s="1" t="s">
        <v>594</v>
      </c>
      <c r="D547" s="5" t="s">
        <v>348</v>
      </c>
    </row>
    <row r="548" customFormat="false" ht="24" hidden="false" customHeight="true" outlineLevel="0" collapsed="false">
      <c r="A548" s="1" t="s">
        <v>306</v>
      </c>
      <c r="B548" s="8" t="n">
        <v>6</v>
      </c>
      <c r="C548" s="1" t="s">
        <v>595</v>
      </c>
      <c r="D548" s="5" t="s">
        <v>348</v>
      </c>
    </row>
    <row r="549" customFormat="false" ht="24" hidden="false" customHeight="true" outlineLevel="0" collapsed="false">
      <c r="A549" s="1" t="s">
        <v>306</v>
      </c>
      <c r="B549" s="8" t="n">
        <v>7</v>
      </c>
      <c r="C549" s="1" t="s">
        <v>489</v>
      </c>
      <c r="D549" s="5" t="s">
        <v>48</v>
      </c>
    </row>
    <row r="550" customFormat="false" ht="24" hidden="false" customHeight="true" outlineLevel="0" collapsed="false">
      <c r="A550" s="1" t="s">
        <v>306</v>
      </c>
      <c r="B550" s="8" t="n">
        <v>8</v>
      </c>
      <c r="C550" s="1" t="s">
        <v>347</v>
      </c>
      <c r="D550" s="5" t="s">
        <v>348</v>
      </c>
    </row>
    <row r="551" customFormat="false" ht="24" hidden="false" customHeight="true" outlineLevel="0" collapsed="false">
      <c r="A551" s="1" t="s">
        <v>306</v>
      </c>
      <c r="B551" s="8" t="n">
        <v>9</v>
      </c>
      <c r="C551" s="1" t="s">
        <v>596</v>
      </c>
      <c r="D551" s="5" t="s">
        <v>53</v>
      </c>
    </row>
    <row r="552" customFormat="false" ht="24" hidden="false" customHeight="true" outlineLevel="0" collapsed="false">
      <c r="A552" s="1" t="s">
        <v>306</v>
      </c>
      <c r="B552" s="8" t="n">
        <v>10</v>
      </c>
      <c r="C552" s="1" t="s">
        <v>597</v>
      </c>
      <c r="D552" s="5" t="s">
        <v>53</v>
      </c>
    </row>
    <row r="553" customFormat="false" ht="24" hidden="false" customHeight="true" outlineLevel="0" collapsed="false">
      <c r="A553" s="1" t="s">
        <v>306</v>
      </c>
      <c r="B553" s="8" t="n">
        <v>11</v>
      </c>
      <c r="C553" s="1" t="s">
        <v>370</v>
      </c>
      <c r="D553" s="5" t="s">
        <v>56</v>
      </c>
    </row>
    <row r="554" customFormat="false" ht="24" hidden="false" customHeight="true" outlineLevel="0" collapsed="false">
      <c r="A554" s="1" t="s">
        <v>306</v>
      </c>
      <c r="B554" s="8" t="n">
        <v>12</v>
      </c>
      <c r="C554" s="1" t="s">
        <v>383</v>
      </c>
      <c r="D554" s="5" t="s">
        <v>56</v>
      </c>
    </row>
    <row r="555" customFormat="false" ht="24" hidden="false" customHeight="true" outlineLevel="0" collapsed="false">
      <c r="A555" s="1" t="s">
        <v>306</v>
      </c>
      <c r="B555" s="8" t="n">
        <v>13</v>
      </c>
      <c r="C555" s="1" t="s">
        <v>387</v>
      </c>
      <c r="D555" s="5" t="s">
        <v>348</v>
      </c>
    </row>
    <row r="556" customFormat="false" ht="24" hidden="false" customHeight="true" outlineLevel="0" collapsed="false">
      <c r="A556" s="1" t="s">
        <v>306</v>
      </c>
      <c r="B556" s="8" t="n">
        <v>14</v>
      </c>
      <c r="C556" s="1" t="s">
        <v>598</v>
      </c>
      <c r="D556" s="5" t="s">
        <v>348</v>
      </c>
    </row>
    <row r="557" customFormat="false" ht="24" hidden="false" customHeight="true" outlineLevel="0" collapsed="false">
      <c r="A557" s="1" t="s">
        <v>306</v>
      </c>
      <c r="B557" s="8" t="n">
        <v>15</v>
      </c>
      <c r="C557" s="1" t="s">
        <v>411</v>
      </c>
      <c r="D557" s="5" t="s">
        <v>348</v>
      </c>
    </row>
    <row r="558" customFormat="false" ht="24" hidden="false" customHeight="true" outlineLevel="0" collapsed="false">
      <c r="A558" s="1" t="s">
        <v>306</v>
      </c>
      <c r="B558" s="8" t="n">
        <v>16</v>
      </c>
      <c r="C558" s="1" t="s">
        <v>511</v>
      </c>
      <c r="D558" s="5" t="s">
        <v>348</v>
      </c>
    </row>
    <row r="559" customFormat="false" ht="24" hidden="false" customHeight="true" outlineLevel="0" collapsed="false">
      <c r="A559" s="1" t="s">
        <v>306</v>
      </c>
      <c r="B559" s="8" t="n">
        <v>17</v>
      </c>
      <c r="C559" s="1" t="s">
        <v>512</v>
      </c>
      <c r="D559" s="5" t="s">
        <v>348</v>
      </c>
    </row>
    <row r="560" customFormat="false" ht="24" hidden="false" customHeight="true" outlineLevel="0" collapsed="false">
      <c r="A560" s="1" t="s">
        <v>306</v>
      </c>
      <c r="B560" s="8" t="n">
        <v>18</v>
      </c>
      <c r="C560" s="1" t="s">
        <v>353</v>
      </c>
      <c r="D560" s="5" t="s">
        <v>348</v>
      </c>
    </row>
    <row r="561" customFormat="false" ht="24" hidden="false" customHeight="true" outlineLevel="0" collapsed="false">
      <c r="A561" s="1" t="s">
        <v>309</v>
      </c>
      <c r="B561" s="8" t="n">
        <v>1</v>
      </c>
      <c r="C561" s="1" t="s">
        <v>599</v>
      </c>
      <c r="D561" s="5" t="s">
        <v>348</v>
      </c>
    </row>
    <row r="562" customFormat="false" ht="24" hidden="false" customHeight="true" outlineLevel="0" collapsed="false">
      <c r="A562" s="1" t="s">
        <v>309</v>
      </c>
      <c r="B562" s="8" t="n">
        <v>2</v>
      </c>
      <c r="C562" s="1" t="s">
        <v>600</v>
      </c>
      <c r="D562" s="5" t="s">
        <v>348</v>
      </c>
    </row>
    <row r="563" customFormat="false" ht="24" hidden="false" customHeight="true" outlineLevel="0" collapsed="false">
      <c r="A563" s="1" t="s">
        <v>309</v>
      </c>
      <c r="B563" s="8" t="n">
        <v>3</v>
      </c>
      <c r="C563" s="1" t="s">
        <v>601</v>
      </c>
      <c r="D563" s="5" t="s">
        <v>348</v>
      </c>
    </row>
    <row r="564" customFormat="false" ht="24" hidden="false" customHeight="true" outlineLevel="0" collapsed="false">
      <c r="A564" s="1" t="s">
        <v>309</v>
      </c>
      <c r="B564" s="8" t="n">
        <v>4</v>
      </c>
      <c r="C564" s="1" t="s">
        <v>602</v>
      </c>
      <c r="D564" s="5" t="s">
        <v>348</v>
      </c>
    </row>
    <row r="565" customFormat="false" ht="24" hidden="false" customHeight="true" outlineLevel="0" collapsed="false">
      <c r="A565" s="1" t="s">
        <v>309</v>
      </c>
      <c r="B565" s="8" t="n">
        <v>5</v>
      </c>
      <c r="C565" s="1" t="s">
        <v>433</v>
      </c>
      <c r="D565" s="5" t="s">
        <v>48</v>
      </c>
    </row>
    <row r="566" customFormat="false" ht="24" hidden="false" customHeight="true" outlineLevel="0" collapsed="false">
      <c r="A566" s="1" t="s">
        <v>309</v>
      </c>
      <c r="B566" s="8" t="n">
        <v>6</v>
      </c>
      <c r="C566" s="1" t="s">
        <v>347</v>
      </c>
      <c r="D566" s="5" t="s">
        <v>348</v>
      </c>
    </row>
    <row r="567" customFormat="false" ht="24" hidden="false" customHeight="true" outlineLevel="0" collapsed="false">
      <c r="A567" s="1" t="s">
        <v>309</v>
      </c>
      <c r="B567" s="8" t="n">
        <v>7</v>
      </c>
      <c r="C567" s="1" t="s">
        <v>503</v>
      </c>
      <c r="D567" s="5" t="s">
        <v>53</v>
      </c>
    </row>
    <row r="568" customFormat="false" ht="24" hidden="false" customHeight="true" outlineLevel="0" collapsed="false">
      <c r="A568" s="1" t="s">
        <v>309</v>
      </c>
      <c r="B568" s="8" t="n">
        <v>8</v>
      </c>
      <c r="C568" s="1" t="s">
        <v>603</v>
      </c>
      <c r="D568" s="5" t="s">
        <v>53</v>
      </c>
    </row>
    <row r="569" customFormat="false" ht="24" hidden="false" customHeight="true" outlineLevel="0" collapsed="false">
      <c r="A569" s="1" t="s">
        <v>309</v>
      </c>
      <c r="B569" s="8" t="n">
        <v>9</v>
      </c>
      <c r="C569" s="1" t="s">
        <v>604</v>
      </c>
      <c r="D569" s="5" t="s">
        <v>53</v>
      </c>
    </row>
    <row r="570" customFormat="false" ht="24" hidden="false" customHeight="true" outlineLevel="0" collapsed="false">
      <c r="A570" s="1" t="s">
        <v>309</v>
      </c>
      <c r="B570" s="8" t="n">
        <v>10</v>
      </c>
      <c r="C570" s="1" t="s">
        <v>382</v>
      </c>
      <c r="D570" s="5" t="s">
        <v>56</v>
      </c>
    </row>
    <row r="571" customFormat="false" ht="24" hidden="false" customHeight="true" outlineLevel="0" collapsed="false">
      <c r="A571" s="1" t="s">
        <v>309</v>
      </c>
      <c r="B571" s="8" t="n">
        <v>11</v>
      </c>
      <c r="C571" s="1" t="s">
        <v>371</v>
      </c>
      <c r="D571" s="5" t="s">
        <v>56</v>
      </c>
    </row>
    <row r="572" customFormat="false" ht="24" hidden="false" customHeight="true" outlineLevel="0" collapsed="false">
      <c r="A572" s="1" t="s">
        <v>309</v>
      </c>
      <c r="B572" s="8" t="n">
        <v>12</v>
      </c>
      <c r="C572" s="1" t="s">
        <v>414</v>
      </c>
      <c r="D572" s="5" t="s">
        <v>348</v>
      </c>
    </row>
    <row r="573" customFormat="false" ht="24" hidden="false" customHeight="true" outlineLevel="0" collapsed="false">
      <c r="A573" s="1" t="s">
        <v>309</v>
      </c>
      <c r="B573" s="8" t="n">
        <v>13</v>
      </c>
      <c r="C573" s="1" t="s">
        <v>390</v>
      </c>
      <c r="D573" s="5" t="s">
        <v>348</v>
      </c>
    </row>
    <row r="574" customFormat="false" ht="24" hidden="false" customHeight="true" outlineLevel="0" collapsed="false">
      <c r="A574" s="1" t="s">
        <v>309</v>
      </c>
      <c r="B574" s="8" t="n">
        <v>14</v>
      </c>
      <c r="C574" s="1" t="s">
        <v>433</v>
      </c>
      <c r="D574" s="5" t="s">
        <v>348</v>
      </c>
    </row>
    <row r="575" customFormat="false" ht="24" hidden="false" customHeight="true" outlineLevel="0" collapsed="false">
      <c r="A575" s="1" t="s">
        <v>309</v>
      </c>
      <c r="B575" s="8" t="n">
        <v>15</v>
      </c>
      <c r="C575" s="1" t="s">
        <v>377</v>
      </c>
      <c r="D575" s="5" t="s">
        <v>348</v>
      </c>
    </row>
    <row r="576" customFormat="false" ht="24" hidden="false" customHeight="true" outlineLevel="0" collapsed="false">
      <c r="A576" s="1" t="s">
        <v>309</v>
      </c>
      <c r="B576" s="8" t="n">
        <v>16</v>
      </c>
      <c r="C576" s="1" t="s">
        <v>353</v>
      </c>
      <c r="D576" s="5" t="s">
        <v>348</v>
      </c>
    </row>
    <row r="577" customFormat="false" ht="24" hidden="false" customHeight="true" outlineLevel="0" collapsed="false">
      <c r="A577" s="1" t="s">
        <v>312</v>
      </c>
      <c r="B577" s="8" t="n">
        <v>1</v>
      </c>
      <c r="C577" s="1" t="s">
        <v>343</v>
      </c>
      <c r="D577" s="5" t="s">
        <v>48</v>
      </c>
    </row>
    <row r="578" customFormat="false" ht="24" hidden="false" customHeight="true" outlineLevel="0" collapsed="false">
      <c r="A578" s="1" t="s">
        <v>312</v>
      </c>
      <c r="B578" s="8" t="n">
        <v>2</v>
      </c>
      <c r="C578" s="1" t="s">
        <v>575</v>
      </c>
      <c r="D578" s="5" t="s">
        <v>348</v>
      </c>
    </row>
    <row r="579" customFormat="false" ht="24" hidden="false" customHeight="true" outlineLevel="0" collapsed="false">
      <c r="A579" s="1" t="s">
        <v>312</v>
      </c>
      <c r="B579" s="8" t="n">
        <v>3</v>
      </c>
      <c r="C579" s="1" t="s">
        <v>373</v>
      </c>
      <c r="D579" s="5" t="s">
        <v>348</v>
      </c>
    </row>
    <row r="580" customFormat="false" ht="24" hidden="false" customHeight="true" outlineLevel="0" collapsed="false">
      <c r="A580" s="1" t="s">
        <v>312</v>
      </c>
      <c r="B580" s="8" t="n">
        <v>4</v>
      </c>
      <c r="C580" s="1" t="s">
        <v>347</v>
      </c>
      <c r="D580" s="5" t="s">
        <v>348</v>
      </c>
    </row>
    <row r="581" customFormat="false" ht="24" hidden="false" customHeight="true" outlineLevel="0" collapsed="false">
      <c r="A581" s="1" t="s">
        <v>312</v>
      </c>
      <c r="B581" s="8" t="n">
        <v>5</v>
      </c>
      <c r="C581" s="1" t="s">
        <v>558</v>
      </c>
      <c r="D581" s="5" t="s">
        <v>53</v>
      </c>
    </row>
    <row r="582" customFormat="false" ht="24" hidden="false" customHeight="true" outlineLevel="0" collapsed="false">
      <c r="A582" s="1" t="s">
        <v>312</v>
      </c>
      <c r="B582" s="8" t="n">
        <v>6</v>
      </c>
      <c r="C582" s="1" t="s">
        <v>605</v>
      </c>
      <c r="D582" s="5" t="s">
        <v>53</v>
      </c>
    </row>
    <row r="583" customFormat="false" ht="24" hidden="false" customHeight="true" outlineLevel="0" collapsed="false">
      <c r="A583" s="1" t="s">
        <v>312</v>
      </c>
      <c r="B583" s="8" t="n">
        <v>7</v>
      </c>
      <c r="C583" s="1" t="s">
        <v>359</v>
      </c>
      <c r="D583" s="5" t="s">
        <v>56</v>
      </c>
    </row>
    <row r="584" customFormat="false" ht="24" hidden="false" customHeight="true" outlineLevel="0" collapsed="false">
      <c r="A584" s="1" t="s">
        <v>312</v>
      </c>
      <c r="B584" s="8" t="n">
        <v>8</v>
      </c>
      <c r="C584" s="1" t="s">
        <v>370</v>
      </c>
      <c r="D584" s="5" t="s">
        <v>56</v>
      </c>
    </row>
    <row r="585" customFormat="false" ht="24" hidden="false" customHeight="true" outlineLevel="0" collapsed="false">
      <c r="A585" s="1" t="s">
        <v>312</v>
      </c>
      <c r="B585" s="8" t="n">
        <v>9</v>
      </c>
      <c r="C585" s="1" t="s">
        <v>606</v>
      </c>
      <c r="D585" s="5" t="s">
        <v>348</v>
      </c>
    </row>
    <row r="586" customFormat="false" ht="24" hidden="false" customHeight="true" outlineLevel="0" collapsed="false">
      <c r="A586" s="1" t="s">
        <v>312</v>
      </c>
      <c r="B586" s="8" t="n">
        <v>10</v>
      </c>
      <c r="C586" s="1" t="s">
        <v>586</v>
      </c>
      <c r="D586" s="5" t="s">
        <v>348</v>
      </c>
    </row>
    <row r="587" customFormat="false" ht="24" hidden="false" customHeight="true" outlineLevel="0" collapsed="false">
      <c r="A587" s="1" t="s">
        <v>312</v>
      </c>
      <c r="B587" s="8" t="n">
        <v>11</v>
      </c>
      <c r="C587" s="1" t="s">
        <v>607</v>
      </c>
      <c r="D587" s="5" t="s">
        <v>348</v>
      </c>
    </row>
    <row r="588" customFormat="false" ht="24" hidden="false" customHeight="true" outlineLevel="0" collapsed="false">
      <c r="A588" s="1" t="s">
        <v>312</v>
      </c>
      <c r="B588" s="8" t="n">
        <v>12</v>
      </c>
      <c r="C588" s="1" t="s">
        <v>608</v>
      </c>
      <c r="D588" s="5" t="s">
        <v>348</v>
      </c>
    </row>
    <row r="589" customFormat="false" ht="24" hidden="false" customHeight="true" outlineLevel="0" collapsed="false">
      <c r="A589" s="1" t="s">
        <v>312</v>
      </c>
      <c r="B589" s="8" t="n">
        <v>13</v>
      </c>
      <c r="C589" s="1" t="s">
        <v>387</v>
      </c>
      <c r="D589" s="5" t="s">
        <v>348</v>
      </c>
    </row>
    <row r="590" customFormat="false" ht="24" hidden="false" customHeight="true" outlineLevel="0" collapsed="false">
      <c r="A590" s="1" t="s">
        <v>312</v>
      </c>
      <c r="B590" s="8" t="n">
        <v>14</v>
      </c>
      <c r="C590" s="1" t="s">
        <v>609</v>
      </c>
      <c r="D590" s="5" t="s">
        <v>348</v>
      </c>
    </row>
    <row r="591" customFormat="false" ht="24" hidden="false" customHeight="true" outlineLevel="0" collapsed="false">
      <c r="A591" s="1" t="s">
        <v>312</v>
      </c>
      <c r="B591" s="8" t="n">
        <v>15</v>
      </c>
      <c r="C591" s="1" t="s">
        <v>610</v>
      </c>
      <c r="D591" s="5" t="s">
        <v>348</v>
      </c>
    </row>
    <row r="592" customFormat="false" ht="24" hidden="false" customHeight="true" outlineLevel="0" collapsed="false">
      <c r="A592" s="1" t="s">
        <v>312</v>
      </c>
      <c r="B592" s="8" t="n">
        <v>16</v>
      </c>
      <c r="C592" s="1" t="s">
        <v>611</v>
      </c>
      <c r="D592" s="5" t="s">
        <v>348</v>
      </c>
    </row>
    <row r="593" customFormat="false" ht="24" hidden="false" customHeight="true" outlineLevel="0" collapsed="false">
      <c r="A593" s="1" t="s">
        <v>312</v>
      </c>
      <c r="B593" s="8" t="n">
        <v>17</v>
      </c>
      <c r="C593" s="1" t="s">
        <v>353</v>
      </c>
      <c r="D593" s="5" t="s">
        <v>348</v>
      </c>
    </row>
    <row r="594" customFormat="false" ht="24" hidden="false" customHeight="true" outlineLevel="0" collapsed="false">
      <c r="A594" s="1" t="s">
        <v>315</v>
      </c>
      <c r="B594" s="8" t="n">
        <v>1</v>
      </c>
      <c r="C594" s="1" t="s">
        <v>319</v>
      </c>
      <c r="D594" s="5" t="s">
        <v>52</v>
      </c>
    </row>
    <row r="595" customFormat="false" ht="24" hidden="false" customHeight="true" outlineLevel="0" collapsed="false">
      <c r="A595" s="1" t="s">
        <v>315</v>
      </c>
      <c r="B595" s="8" t="n">
        <v>2</v>
      </c>
      <c r="C595" s="1" t="s">
        <v>612</v>
      </c>
      <c r="D595" s="5" t="s">
        <v>348</v>
      </c>
    </row>
    <row r="596" customFormat="false" ht="24" hidden="false" customHeight="true" outlineLevel="0" collapsed="false">
      <c r="A596" s="1" t="s">
        <v>315</v>
      </c>
      <c r="B596" s="8" t="n">
        <v>3</v>
      </c>
      <c r="C596" s="1" t="s">
        <v>613</v>
      </c>
      <c r="D596" s="5" t="s">
        <v>348</v>
      </c>
    </row>
    <row r="597" customFormat="false" ht="24" hidden="false" customHeight="true" outlineLevel="0" collapsed="false">
      <c r="A597" s="1" t="s">
        <v>315</v>
      </c>
      <c r="B597" s="8" t="n">
        <v>4</v>
      </c>
      <c r="C597" s="1" t="s">
        <v>357</v>
      </c>
      <c r="D597" s="5" t="s">
        <v>48</v>
      </c>
    </row>
    <row r="598" customFormat="false" ht="24" hidden="false" customHeight="true" outlineLevel="0" collapsed="false">
      <c r="A598" s="1" t="s">
        <v>315</v>
      </c>
      <c r="B598" s="8" t="n">
        <v>5</v>
      </c>
      <c r="C598" s="1" t="s">
        <v>347</v>
      </c>
      <c r="D598" s="5" t="s">
        <v>348</v>
      </c>
    </row>
    <row r="599" customFormat="false" ht="24" hidden="false" customHeight="true" outlineLevel="0" collapsed="false">
      <c r="A599" s="1" t="s">
        <v>315</v>
      </c>
      <c r="B599" s="8" t="n">
        <v>6</v>
      </c>
      <c r="C599" s="1" t="s">
        <v>367</v>
      </c>
      <c r="D599" s="5" t="s">
        <v>53</v>
      </c>
    </row>
    <row r="600" customFormat="false" ht="24" hidden="false" customHeight="true" outlineLevel="0" collapsed="false">
      <c r="A600" s="1" t="s">
        <v>315</v>
      </c>
      <c r="B600" s="8" t="n">
        <v>7</v>
      </c>
      <c r="C600" s="1" t="s">
        <v>614</v>
      </c>
      <c r="D600" s="5" t="s">
        <v>53</v>
      </c>
    </row>
    <row r="601" customFormat="false" ht="24" hidden="false" customHeight="true" outlineLevel="0" collapsed="false">
      <c r="A601" s="1" t="s">
        <v>315</v>
      </c>
      <c r="B601" s="8" t="n">
        <v>8</v>
      </c>
      <c r="C601" s="1" t="s">
        <v>615</v>
      </c>
      <c r="D601" s="5" t="s">
        <v>56</v>
      </c>
    </row>
    <row r="602" customFormat="false" ht="24" hidden="false" customHeight="true" outlineLevel="0" collapsed="false">
      <c r="A602" s="1" t="s">
        <v>315</v>
      </c>
      <c r="B602" s="8" t="n">
        <v>9</v>
      </c>
      <c r="C602" s="1" t="s">
        <v>616</v>
      </c>
      <c r="D602" s="5" t="s">
        <v>56</v>
      </c>
    </row>
    <row r="603" customFormat="false" ht="24" hidden="false" customHeight="true" outlineLevel="0" collapsed="false">
      <c r="A603" s="1" t="s">
        <v>315</v>
      </c>
      <c r="B603" s="8" t="n">
        <v>10</v>
      </c>
      <c r="C603" s="1" t="s">
        <v>387</v>
      </c>
      <c r="D603" s="5" t="s">
        <v>348</v>
      </c>
    </row>
    <row r="604" customFormat="false" ht="24" hidden="false" customHeight="true" outlineLevel="0" collapsed="false">
      <c r="A604" s="1" t="s">
        <v>315</v>
      </c>
      <c r="B604" s="8" t="n">
        <v>11</v>
      </c>
      <c r="C604" s="1" t="s">
        <v>617</v>
      </c>
      <c r="D604" s="5" t="s">
        <v>348</v>
      </c>
    </row>
    <row r="605" customFormat="false" ht="24" hidden="false" customHeight="true" outlineLevel="0" collapsed="false">
      <c r="A605" s="1" t="s">
        <v>315</v>
      </c>
      <c r="B605" s="8" t="n">
        <v>12</v>
      </c>
      <c r="C605" s="1" t="s">
        <v>618</v>
      </c>
      <c r="D605" s="5" t="s">
        <v>348</v>
      </c>
    </row>
    <row r="606" customFormat="false" ht="24" hidden="false" customHeight="true" outlineLevel="0" collapsed="false">
      <c r="A606" s="1" t="s">
        <v>315</v>
      </c>
      <c r="B606" s="8" t="n">
        <v>13</v>
      </c>
      <c r="C606" s="1" t="s">
        <v>619</v>
      </c>
      <c r="D606" s="5" t="s">
        <v>348</v>
      </c>
    </row>
    <row r="607" customFormat="false" ht="24" hidden="false" customHeight="true" outlineLevel="0" collapsed="false">
      <c r="A607" s="1" t="s">
        <v>315</v>
      </c>
      <c r="B607" s="8" t="n">
        <v>14</v>
      </c>
      <c r="C607" s="1" t="s">
        <v>411</v>
      </c>
      <c r="D607" s="5" t="s">
        <v>348</v>
      </c>
    </row>
    <row r="608" customFormat="false" ht="24" hidden="false" customHeight="true" outlineLevel="0" collapsed="false">
      <c r="A608" s="1" t="s">
        <v>315</v>
      </c>
      <c r="B608" s="8" t="n">
        <v>15</v>
      </c>
      <c r="C608" s="1" t="s">
        <v>511</v>
      </c>
      <c r="D608" s="5" t="s">
        <v>348</v>
      </c>
    </row>
    <row r="609" customFormat="false" ht="24" hidden="false" customHeight="true" outlineLevel="0" collapsed="false">
      <c r="A609" s="1" t="s">
        <v>315</v>
      </c>
      <c r="B609" s="8" t="n">
        <v>16</v>
      </c>
      <c r="C609" s="1" t="s">
        <v>353</v>
      </c>
      <c r="D609" s="5" t="s">
        <v>348</v>
      </c>
    </row>
    <row r="610" customFormat="false" ht="24" hidden="false" customHeight="true" outlineLevel="0" collapsed="false">
      <c r="A610" s="1" t="s">
        <v>320</v>
      </c>
      <c r="B610" s="8" t="n">
        <v>1</v>
      </c>
      <c r="C610" s="1" t="s">
        <v>620</v>
      </c>
      <c r="D610" s="5" t="s">
        <v>52</v>
      </c>
    </row>
    <row r="611" customFormat="false" ht="24" hidden="false" customHeight="true" outlineLevel="0" collapsed="false">
      <c r="A611" s="1" t="s">
        <v>320</v>
      </c>
      <c r="B611" s="8" t="n">
        <v>2</v>
      </c>
      <c r="C611" s="1" t="s">
        <v>621</v>
      </c>
      <c r="D611" s="5" t="s">
        <v>52</v>
      </c>
    </row>
    <row r="612" customFormat="false" ht="24" hidden="false" customHeight="true" outlineLevel="0" collapsed="false">
      <c r="A612" s="1" t="s">
        <v>320</v>
      </c>
      <c r="B612" s="8" t="n">
        <v>3</v>
      </c>
      <c r="C612" s="1" t="s">
        <v>622</v>
      </c>
      <c r="D612" s="5" t="s">
        <v>348</v>
      </c>
    </row>
    <row r="613" customFormat="false" ht="24" hidden="false" customHeight="true" outlineLevel="0" collapsed="false">
      <c r="A613" s="1" t="s">
        <v>320</v>
      </c>
      <c r="B613" s="8" t="n">
        <v>4</v>
      </c>
      <c r="C613" s="1" t="s">
        <v>450</v>
      </c>
      <c r="D613" s="5" t="s">
        <v>348</v>
      </c>
    </row>
    <row r="614" customFormat="false" ht="24" hidden="false" customHeight="true" outlineLevel="0" collapsed="false">
      <c r="A614" s="1" t="s">
        <v>320</v>
      </c>
      <c r="B614" s="8" t="n">
        <v>5</v>
      </c>
      <c r="C614" s="1" t="s">
        <v>489</v>
      </c>
      <c r="D614" s="5" t="s">
        <v>48</v>
      </c>
    </row>
    <row r="615" customFormat="false" ht="24" hidden="false" customHeight="true" outlineLevel="0" collapsed="false">
      <c r="A615" s="1" t="s">
        <v>320</v>
      </c>
      <c r="B615" s="8" t="n">
        <v>6</v>
      </c>
      <c r="C615" s="1" t="s">
        <v>347</v>
      </c>
      <c r="D615" s="5" t="s">
        <v>348</v>
      </c>
    </row>
    <row r="616" customFormat="false" ht="24" hidden="false" customHeight="true" outlineLevel="0" collapsed="false">
      <c r="A616" s="1" t="s">
        <v>320</v>
      </c>
      <c r="B616" s="8" t="n">
        <v>7</v>
      </c>
      <c r="C616" s="1" t="s">
        <v>360</v>
      </c>
      <c r="D616" s="5" t="s">
        <v>53</v>
      </c>
    </row>
    <row r="617" customFormat="false" ht="24" hidden="false" customHeight="true" outlineLevel="0" collapsed="false">
      <c r="A617" s="1" t="s">
        <v>320</v>
      </c>
      <c r="B617" s="8" t="n">
        <v>8</v>
      </c>
      <c r="C617" s="1" t="s">
        <v>623</v>
      </c>
      <c r="D617" s="5" t="s">
        <v>53</v>
      </c>
    </row>
    <row r="618" customFormat="false" ht="24" hidden="false" customHeight="true" outlineLevel="0" collapsed="false">
      <c r="A618" s="1" t="s">
        <v>320</v>
      </c>
      <c r="B618" s="8" t="n">
        <v>9</v>
      </c>
      <c r="C618" s="1" t="s">
        <v>358</v>
      </c>
      <c r="D618" s="5" t="s">
        <v>56</v>
      </c>
    </row>
    <row r="619" customFormat="false" ht="24" hidden="false" customHeight="true" outlineLevel="0" collapsed="false">
      <c r="A619" s="1" t="s">
        <v>320</v>
      </c>
      <c r="B619" s="8" t="n">
        <v>10</v>
      </c>
      <c r="C619" s="1" t="s">
        <v>383</v>
      </c>
      <c r="D619" s="5" t="s">
        <v>56</v>
      </c>
    </row>
    <row r="620" customFormat="false" ht="24" hidden="false" customHeight="true" outlineLevel="0" collapsed="false">
      <c r="A620" s="1" t="s">
        <v>320</v>
      </c>
      <c r="B620" s="8" t="n">
        <v>11</v>
      </c>
      <c r="C620" s="1" t="s">
        <v>387</v>
      </c>
      <c r="D620" s="5" t="s">
        <v>348</v>
      </c>
    </row>
    <row r="621" customFormat="false" ht="24" hidden="false" customHeight="true" outlineLevel="0" collapsed="false">
      <c r="A621" s="1" t="s">
        <v>320</v>
      </c>
      <c r="B621" s="8" t="n">
        <v>12</v>
      </c>
      <c r="C621" s="1" t="s">
        <v>624</v>
      </c>
      <c r="D621" s="5" t="s">
        <v>348</v>
      </c>
    </row>
    <row r="622" customFormat="false" ht="24" hidden="false" customHeight="true" outlineLevel="0" collapsed="false">
      <c r="A622" s="1" t="s">
        <v>320</v>
      </c>
      <c r="B622" s="8" t="n">
        <v>13</v>
      </c>
      <c r="C622" s="1" t="s">
        <v>598</v>
      </c>
      <c r="D622" s="5" t="s">
        <v>348</v>
      </c>
    </row>
    <row r="623" customFormat="false" ht="24" hidden="false" customHeight="true" outlineLevel="0" collapsed="false">
      <c r="A623" s="1" t="s">
        <v>320</v>
      </c>
      <c r="B623" s="8" t="n">
        <v>14</v>
      </c>
      <c r="C623" s="1" t="s">
        <v>625</v>
      </c>
      <c r="D623" s="5" t="s">
        <v>348</v>
      </c>
    </row>
    <row r="624" customFormat="false" ht="24" hidden="false" customHeight="true" outlineLevel="0" collapsed="false">
      <c r="A624" s="1" t="s">
        <v>320</v>
      </c>
      <c r="B624" s="8" t="n">
        <v>15</v>
      </c>
      <c r="C624" s="1" t="s">
        <v>626</v>
      </c>
      <c r="D624" s="5" t="s">
        <v>348</v>
      </c>
    </row>
    <row r="625" customFormat="false" ht="24" hidden="false" customHeight="true" outlineLevel="0" collapsed="false">
      <c r="A625" s="1" t="s">
        <v>320</v>
      </c>
      <c r="B625" s="8" t="n">
        <v>16</v>
      </c>
      <c r="C625" s="1" t="s">
        <v>389</v>
      </c>
      <c r="D625" s="5" t="s">
        <v>348</v>
      </c>
    </row>
    <row r="626" customFormat="false" ht="24" hidden="false" customHeight="true" outlineLevel="0" collapsed="false">
      <c r="A626" s="1" t="s">
        <v>320</v>
      </c>
      <c r="B626" s="8" t="n">
        <v>17</v>
      </c>
      <c r="C626" s="1" t="s">
        <v>353</v>
      </c>
      <c r="D626" s="5" t="s">
        <v>348</v>
      </c>
    </row>
    <row r="627" customFormat="false" ht="24" hidden="false" customHeight="true" outlineLevel="0" collapsed="false">
      <c r="A627" s="1" t="s">
        <v>324</v>
      </c>
      <c r="B627" s="8" t="n">
        <v>1</v>
      </c>
      <c r="C627" s="1" t="s">
        <v>327</v>
      </c>
      <c r="D627" s="5" t="s">
        <v>52</v>
      </c>
    </row>
    <row r="628" customFormat="false" ht="24" hidden="false" customHeight="true" outlineLevel="0" collapsed="false">
      <c r="A628" s="1" t="s">
        <v>324</v>
      </c>
      <c r="B628" s="8" t="n">
        <v>2</v>
      </c>
      <c r="C628" s="1" t="s">
        <v>627</v>
      </c>
      <c r="D628" s="5" t="s">
        <v>348</v>
      </c>
    </row>
    <row r="629" customFormat="false" ht="24" hidden="false" customHeight="true" outlineLevel="0" collapsed="false">
      <c r="A629" s="1" t="s">
        <v>324</v>
      </c>
      <c r="B629" s="8" t="n">
        <v>3</v>
      </c>
      <c r="C629" s="1" t="s">
        <v>628</v>
      </c>
      <c r="D629" s="5" t="s">
        <v>348</v>
      </c>
    </row>
    <row r="630" customFormat="false" ht="24" hidden="false" customHeight="true" outlineLevel="0" collapsed="false">
      <c r="A630" s="1" t="s">
        <v>324</v>
      </c>
      <c r="B630" s="8" t="n">
        <v>4</v>
      </c>
      <c r="C630" s="1" t="s">
        <v>629</v>
      </c>
      <c r="D630" s="5" t="s">
        <v>348</v>
      </c>
    </row>
    <row r="631" customFormat="false" ht="24" hidden="false" customHeight="true" outlineLevel="0" collapsed="false">
      <c r="A631" s="1" t="s">
        <v>324</v>
      </c>
      <c r="B631" s="8" t="n">
        <v>5</v>
      </c>
      <c r="C631" s="1" t="s">
        <v>433</v>
      </c>
      <c r="D631" s="5" t="s">
        <v>48</v>
      </c>
    </row>
    <row r="632" customFormat="false" ht="24" hidden="false" customHeight="true" outlineLevel="0" collapsed="false">
      <c r="A632" s="1" t="s">
        <v>324</v>
      </c>
      <c r="B632" s="8" t="n">
        <v>6</v>
      </c>
      <c r="C632" s="1" t="s">
        <v>347</v>
      </c>
      <c r="D632" s="5" t="s">
        <v>348</v>
      </c>
    </row>
    <row r="633" customFormat="false" ht="24" hidden="false" customHeight="true" outlineLevel="0" collapsed="false">
      <c r="A633" s="1" t="s">
        <v>324</v>
      </c>
      <c r="B633" s="8" t="n">
        <v>7</v>
      </c>
      <c r="C633" s="1" t="s">
        <v>445</v>
      </c>
      <c r="D633" s="5" t="s">
        <v>53</v>
      </c>
    </row>
    <row r="634" customFormat="false" ht="24" hidden="false" customHeight="true" outlineLevel="0" collapsed="false">
      <c r="A634" s="1" t="s">
        <v>324</v>
      </c>
      <c r="B634" s="8" t="n">
        <v>8</v>
      </c>
      <c r="C634" s="1" t="s">
        <v>476</v>
      </c>
      <c r="D634" s="5" t="s">
        <v>53</v>
      </c>
    </row>
    <row r="635" customFormat="false" ht="24" hidden="false" customHeight="true" outlineLevel="0" collapsed="false">
      <c r="A635" s="1" t="s">
        <v>324</v>
      </c>
      <c r="B635" s="8" t="n">
        <v>9</v>
      </c>
      <c r="C635" s="1" t="s">
        <v>370</v>
      </c>
      <c r="D635" s="5" t="s">
        <v>56</v>
      </c>
    </row>
    <row r="636" customFormat="false" ht="24" hidden="false" customHeight="true" outlineLevel="0" collapsed="false">
      <c r="A636" s="1" t="s">
        <v>324</v>
      </c>
      <c r="B636" s="8" t="n">
        <v>10</v>
      </c>
      <c r="C636" s="1" t="s">
        <v>371</v>
      </c>
      <c r="D636" s="5" t="s">
        <v>56</v>
      </c>
    </row>
    <row r="637" customFormat="false" ht="24" hidden="false" customHeight="true" outlineLevel="0" collapsed="false">
      <c r="A637" s="1" t="s">
        <v>324</v>
      </c>
      <c r="B637" s="8" t="n">
        <v>11</v>
      </c>
      <c r="C637" s="1" t="s">
        <v>387</v>
      </c>
      <c r="D637" s="5" t="s">
        <v>348</v>
      </c>
    </row>
    <row r="638" customFormat="false" ht="24" hidden="false" customHeight="true" outlineLevel="0" collapsed="false">
      <c r="A638" s="1" t="s">
        <v>324</v>
      </c>
      <c r="B638" s="8" t="n">
        <v>12</v>
      </c>
      <c r="C638" s="1" t="s">
        <v>371</v>
      </c>
      <c r="D638" s="5" t="s">
        <v>348</v>
      </c>
    </row>
    <row r="639" customFormat="false" ht="24" hidden="false" customHeight="true" outlineLevel="0" collapsed="false">
      <c r="A639" s="1" t="s">
        <v>324</v>
      </c>
      <c r="B639" s="8" t="n">
        <v>13</v>
      </c>
      <c r="C639" s="1" t="s">
        <v>630</v>
      </c>
      <c r="D639" s="5" t="s">
        <v>348</v>
      </c>
    </row>
    <row r="640" customFormat="false" ht="24" hidden="false" customHeight="true" outlineLevel="0" collapsed="false">
      <c r="A640" s="1" t="s">
        <v>324</v>
      </c>
      <c r="B640" s="8" t="n">
        <v>14</v>
      </c>
      <c r="C640" s="1" t="s">
        <v>414</v>
      </c>
      <c r="D640" s="5" t="s">
        <v>348</v>
      </c>
    </row>
    <row r="641" customFormat="false" ht="24" hidden="false" customHeight="true" outlineLevel="0" collapsed="false">
      <c r="A641" s="1" t="s">
        <v>324</v>
      </c>
      <c r="B641" s="8" t="n">
        <v>15</v>
      </c>
      <c r="C641" s="1" t="s">
        <v>578</v>
      </c>
      <c r="D641" s="5" t="s">
        <v>348</v>
      </c>
    </row>
    <row r="642" customFormat="false" ht="24" hidden="false" customHeight="true" outlineLevel="0" collapsed="false">
      <c r="A642" s="1" t="s">
        <v>324</v>
      </c>
      <c r="B642" s="8" t="n">
        <v>16</v>
      </c>
      <c r="C642" s="1" t="s">
        <v>626</v>
      </c>
      <c r="D642" s="5" t="s">
        <v>348</v>
      </c>
    </row>
    <row r="643" customFormat="false" ht="24" hidden="false" customHeight="true" outlineLevel="0" collapsed="false">
      <c r="A643" s="1" t="s">
        <v>324</v>
      </c>
      <c r="B643" s="8" t="n">
        <v>17</v>
      </c>
      <c r="C643" s="1" t="s">
        <v>631</v>
      </c>
      <c r="D643" s="5" t="s">
        <v>348</v>
      </c>
    </row>
    <row r="644" customFormat="false" ht="24" hidden="false" customHeight="true" outlineLevel="0" collapsed="false">
      <c r="A644" s="1" t="s">
        <v>324</v>
      </c>
      <c r="B644" s="8" t="n">
        <v>18</v>
      </c>
      <c r="C644" s="1" t="s">
        <v>353</v>
      </c>
      <c r="D644" s="5" t="s">
        <v>348</v>
      </c>
    </row>
    <row r="645" customFormat="false" ht="24" hidden="false" customHeight="true" outlineLevel="0" collapsed="false">
      <c r="A645" s="1" t="s">
        <v>328</v>
      </c>
      <c r="B645" s="8" t="n">
        <v>1</v>
      </c>
      <c r="C645" s="1" t="s">
        <v>331</v>
      </c>
      <c r="D645" s="5" t="s">
        <v>52</v>
      </c>
    </row>
    <row r="646" customFormat="false" ht="24" hidden="false" customHeight="true" outlineLevel="0" collapsed="false">
      <c r="A646" s="1" t="s">
        <v>328</v>
      </c>
      <c r="B646" s="8" t="n">
        <v>2</v>
      </c>
      <c r="C646" s="1" t="s">
        <v>632</v>
      </c>
      <c r="D646" s="5" t="s">
        <v>348</v>
      </c>
    </row>
    <row r="647" customFormat="false" ht="24" hidden="false" customHeight="true" outlineLevel="0" collapsed="false">
      <c r="A647" s="1" t="s">
        <v>328</v>
      </c>
      <c r="B647" s="8" t="n">
        <v>3</v>
      </c>
      <c r="C647" s="1" t="s">
        <v>633</v>
      </c>
      <c r="D647" s="5" t="s">
        <v>348</v>
      </c>
    </row>
    <row r="648" customFormat="false" ht="24" hidden="false" customHeight="true" outlineLevel="0" collapsed="false">
      <c r="A648" s="1" t="s">
        <v>328</v>
      </c>
      <c r="B648" s="8" t="n">
        <v>4</v>
      </c>
      <c r="C648" s="1" t="s">
        <v>357</v>
      </c>
      <c r="D648" s="5" t="s">
        <v>48</v>
      </c>
    </row>
    <row r="649" customFormat="false" ht="24" hidden="false" customHeight="true" outlineLevel="0" collapsed="false">
      <c r="A649" s="1" t="s">
        <v>328</v>
      </c>
      <c r="B649" s="8" t="n">
        <v>5</v>
      </c>
      <c r="C649" s="1" t="s">
        <v>634</v>
      </c>
      <c r="D649" s="5" t="s">
        <v>348</v>
      </c>
    </row>
    <row r="650" customFormat="false" ht="24" hidden="false" customHeight="true" outlineLevel="0" collapsed="false">
      <c r="A650" s="1" t="s">
        <v>328</v>
      </c>
      <c r="B650" s="8" t="n">
        <v>6</v>
      </c>
      <c r="C650" s="1" t="s">
        <v>486</v>
      </c>
      <c r="D650" s="5" t="s">
        <v>56</v>
      </c>
    </row>
    <row r="651" customFormat="false" ht="24" hidden="false" customHeight="true" outlineLevel="0" collapsed="false">
      <c r="A651" s="1" t="s">
        <v>328</v>
      </c>
      <c r="B651" s="8" t="n">
        <v>7</v>
      </c>
      <c r="C651" s="1" t="s">
        <v>371</v>
      </c>
      <c r="D651" s="5" t="s">
        <v>56</v>
      </c>
    </row>
    <row r="652" customFormat="false" ht="24" hidden="false" customHeight="true" outlineLevel="0" collapsed="false">
      <c r="A652" s="1" t="s">
        <v>328</v>
      </c>
      <c r="B652" s="8" t="n">
        <v>8</v>
      </c>
      <c r="C652" s="1" t="s">
        <v>387</v>
      </c>
      <c r="D652" s="5" t="s">
        <v>348</v>
      </c>
    </row>
    <row r="653" customFormat="false" ht="24" hidden="false" customHeight="true" outlineLevel="0" collapsed="false">
      <c r="A653" s="1" t="s">
        <v>328</v>
      </c>
      <c r="B653" s="8" t="n">
        <v>9</v>
      </c>
      <c r="C653" s="1" t="s">
        <v>635</v>
      </c>
      <c r="D653" s="5" t="s">
        <v>348</v>
      </c>
    </row>
    <row r="654" customFormat="false" ht="24" hidden="false" customHeight="true" outlineLevel="0" collapsed="false">
      <c r="A654" s="1" t="s">
        <v>328</v>
      </c>
      <c r="B654" s="8" t="n">
        <v>10</v>
      </c>
      <c r="C654" s="1" t="s">
        <v>561</v>
      </c>
      <c r="D654" s="5" t="s">
        <v>348</v>
      </c>
    </row>
    <row r="655" customFormat="false" ht="24" hidden="false" customHeight="true" outlineLevel="0" collapsed="false">
      <c r="A655" s="1" t="s">
        <v>328</v>
      </c>
      <c r="B655" s="8" t="n">
        <v>11</v>
      </c>
      <c r="C655" s="1" t="s">
        <v>636</v>
      </c>
      <c r="D655" s="5" t="s">
        <v>348</v>
      </c>
    </row>
    <row r="656" customFormat="false" ht="24" hidden="false" customHeight="true" outlineLevel="0" collapsed="false">
      <c r="A656" s="1" t="s">
        <v>328</v>
      </c>
      <c r="B656" s="8" t="n">
        <v>12</v>
      </c>
      <c r="C656" s="1" t="s">
        <v>637</v>
      </c>
      <c r="D656" s="5" t="s">
        <v>348</v>
      </c>
    </row>
    <row r="657" customFormat="false" ht="24" hidden="false" customHeight="true" outlineLevel="0" collapsed="false">
      <c r="A657" s="1" t="s">
        <v>328</v>
      </c>
      <c r="B657" s="8" t="n">
        <v>13</v>
      </c>
      <c r="C657" s="1" t="s">
        <v>638</v>
      </c>
      <c r="D657" s="5" t="s">
        <v>348</v>
      </c>
    </row>
    <row r="658" customFormat="false" ht="24" hidden="false" customHeight="true" outlineLevel="0" collapsed="false">
      <c r="A658" s="1" t="s">
        <v>328</v>
      </c>
      <c r="B658" s="8" t="n">
        <v>14</v>
      </c>
      <c r="C658" s="1" t="s">
        <v>353</v>
      </c>
      <c r="D658" s="5" t="s">
        <v>348</v>
      </c>
    </row>
    <row r="659" customFormat="false" ht="24" hidden="false" customHeight="true" outlineLevel="0" collapsed="false">
      <c r="A659" s="1" t="s">
        <v>332</v>
      </c>
      <c r="B659" s="8" t="n">
        <v>1</v>
      </c>
      <c r="C659" s="1" t="s">
        <v>639</v>
      </c>
      <c r="D659" s="5" t="s">
        <v>348</v>
      </c>
    </row>
    <row r="660" customFormat="false" ht="24" hidden="false" customHeight="true" outlineLevel="0" collapsed="false">
      <c r="A660" s="1" t="s">
        <v>332</v>
      </c>
      <c r="B660" s="8" t="n">
        <v>2</v>
      </c>
      <c r="C660" s="1" t="s">
        <v>640</v>
      </c>
      <c r="D660" s="5" t="s">
        <v>348</v>
      </c>
    </row>
    <row r="661" customFormat="false" ht="24" hidden="false" customHeight="true" outlineLevel="0" collapsed="false">
      <c r="A661" s="1" t="s">
        <v>332</v>
      </c>
      <c r="B661" s="8" t="n">
        <v>3</v>
      </c>
      <c r="C661" s="1" t="s">
        <v>641</v>
      </c>
      <c r="D661" s="5" t="s">
        <v>348</v>
      </c>
    </row>
    <row r="662" customFormat="false" ht="24" hidden="false" customHeight="true" outlineLevel="0" collapsed="false">
      <c r="A662" s="1" t="s">
        <v>332</v>
      </c>
      <c r="B662" s="8" t="n">
        <v>4</v>
      </c>
      <c r="C662" s="1" t="s">
        <v>547</v>
      </c>
      <c r="D662" s="5" t="s">
        <v>48</v>
      </c>
    </row>
    <row r="663" customFormat="false" ht="24" hidden="false" customHeight="true" outlineLevel="0" collapsed="false">
      <c r="A663" s="1" t="s">
        <v>332</v>
      </c>
      <c r="B663" s="8" t="n">
        <v>5</v>
      </c>
      <c r="C663" s="1" t="s">
        <v>347</v>
      </c>
      <c r="D663" s="5" t="s">
        <v>348</v>
      </c>
    </row>
    <row r="664" customFormat="false" ht="24" hidden="false" customHeight="true" outlineLevel="0" collapsed="false">
      <c r="A664" s="1" t="s">
        <v>332</v>
      </c>
      <c r="B664" s="8" t="n">
        <v>6</v>
      </c>
      <c r="C664" s="1" t="s">
        <v>642</v>
      </c>
      <c r="D664" s="5" t="s">
        <v>348</v>
      </c>
    </row>
    <row r="665" customFormat="false" ht="24" hidden="false" customHeight="true" outlineLevel="0" collapsed="false">
      <c r="A665" s="1" t="s">
        <v>332</v>
      </c>
      <c r="B665" s="8" t="n">
        <v>7</v>
      </c>
      <c r="C665" s="1" t="s">
        <v>643</v>
      </c>
      <c r="D665" s="5" t="s">
        <v>348</v>
      </c>
    </row>
    <row r="666" customFormat="false" ht="24" hidden="false" customHeight="true" outlineLevel="0" collapsed="false">
      <c r="A666" s="1" t="s">
        <v>332</v>
      </c>
      <c r="B666" s="8" t="n">
        <v>8</v>
      </c>
      <c r="C666" s="1" t="s">
        <v>644</v>
      </c>
      <c r="D666" s="5" t="s">
        <v>348</v>
      </c>
    </row>
    <row r="667" customFormat="false" ht="24" hidden="false" customHeight="true" outlineLevel="0" collapsed="false">
      <c r="A667" s="1" t="s">
        <v>332</v>
      </c>
      <c r="B667" s="8" t="n">
        <v>9</v>
      </c>
      <c r="C667" s="1" t="s">
        <v>304</v>
      </c>
      <c r="D667" s="5" t="s">
        <v>52</v>
      </c>
    </row>
    <row r="668" customFormat="false" ht="24" hidden="false" customHeight="true" outlineLevel="0" collapsed="false">
      <c r="A668" s="1" t="s">
        <v>332</v>
      </c>
      <c r="B668" s="8" t="n">
        <v>10</v>
      </c>
      <c r="C668" s="1" t="s">
        <v>444</v>
      </c>
      <c r="D668" s="5" t="s">
        <v>52</v>
      </c>
    </row>
    <row r="669" customFormat="false" ht="24" hidden="false" customHeight="true" outlineLevel="0" collapsed="false">
      <c r="A669" s="1" t="s">
        <v>332</v>
      </c>
      <c r="B669" s="8" t="n">
        <v>11</v>
      </c>
      <c r="C669" s="1" t="s">
        <v>382</v>
      </c>
      <c r="D669" s="5" t="s">
        <v>56</v>
      </c>
    </row>
    <row r="670" customFormat="false" ht="24" hidden="false" customHeight="true" outlineLevel="0" collapsed="false">
      <c r="A670" s="1" t="s">
        <v>332</v>
      </c>
      <c r="B670" s="8" t="n">
        <v>12</v>
      </c>
      <c r="C670" s="1" t="s">
        <v>383</v>
      </c>
      <c r="D670" s="5" t="s">
        <v>56</v>
      </c>
    </row>
    <row r="671" customFormat="false" ht="24" hidden="false" customHeight="true" outlineLevel="0" collapsed="false">
      <c r="A671" s="1" t="s">
        <v>332</v>
      </c>
      <c r="B671" s="8" t="n">
        <v>13</v>
      </c>
      <c r="C671" s="1" t="s">
        <v>387</v>
      </c>
      <c r="D671" s="5" t="s">
        <v>348</v>
      </c>
    </row>
    <row r="672" customFormat="false" ht="24" hidden="false" customHeight="true" outlineLevel="0" collapsed="false">
      <c r="A672" s="1" t="s">
        <v>332</v>
      </c>
      <c r="B672" s="8" t="n">
        <v>14</v>
      </c>
      <c r="C672" s="1" t="s">
        <v>645</v>
      </c>
      <c r="D672" s="5" t="s">
        <v>348</v>
      </c>
    </row>
    <row r="673" customFormat="false" ht="24" hidden="false" customHeight="true" outlineLevel="0" collapsed="false">
      <c r="A673" s="1" t="s">
        <v>332</v>
      </c>
      <c r="B673" s="8" t="n">
        <v>15</v>
      </c>
      <c r="C673" s="1" t="s">
        <v>646</v>
      </c>
      <c r="D673" s="5" t="s">
        <v>348</v>
      </c>
    </row>
    <row r="674" customFormat="false" ht="24" hidden="false" customHeight="true" outlineLevel="0" collapsed="false">
      <c r="A674" s="1" t="s">
        <v>332</v>
      </c>
      <c r="B674" s="8" t="n">
        <v>16</v>
      </c>
      <c r="C674" s="1" t="s">
        <v>353</v>
      </c>
      <c r="D674" s="5" t="s">
        <v>348</v>
      </c>
    </row>
    <row r="675" customFormat="false" ht="24" hidden="false" customHeight="true" outlineLevel="0" collapsed="false">
      <c r="A675" s="1" t="s">
        <v>335</v>
      </c>
      <c r="B675" s="8" t="n">
        <v>1</v>
      </c>
      <c r="C675" s="1" t="s">
        <v>338</v>
      </c>
      <c r="D675" s="5" t="s">
        <v>52</v>
      </c>
    </row>
    <row r="676" customFormat="false" ht="24" hidden="false" customHeight="true" outlineLevel="0" collapsed="false">
      <c r="A676" s="1" t="s">
        <v>335</v>
      </c>
      <c r="B676" s="8" t="n">
        <v>2</v>
      </c>
      <c r="C676" s="1" t="s">
        <v>647</v>
      </c>
      <c r="D676" s="5" t="s">
        <v>348</v>
      </c>
    </row>
    <row r="677" customFormat="false" ht="24" hidden="false" customHeight="true" outlineLevel="0" collapsed="false">
      <c r="A677" s="1" t="s">
        <v>335</v>
      </c>
      <c r="B677" s="8" t="n">
        <v>3</v>
      </c>
      <c r="C677" s="1" t="s">
        <v>648</v>
      </c>
      <c r="D677" s="5" t="s">
        <v>348</v>
      </c>
    </row>
    <row r="678" customFormat="false" ht="24" hidden="false" customHeight="true" outlineLevel="0" collapsed="false">
      <c r="A678" s="1" t="s">
        <v>335</v>
      </c>
      <c r="B678" s="8" t="n">
        <v>4</v>
      </c>
      <c r="C678" s="1" t="s">
        <v>489</v>
      </c>
      <c r="D678" s="5" t="s">
        <v>48</v>
      </c>
    </row>
    <row r="679" customFormat="false" ht="24" hidden="false" customHeight="true" outlineLevel="0" collapsed="false">
      <c r="A679" s="1" t="s">
        <v>335</v>
      </c>
      <c r="B679" s="8" t="n">
        <v>5</v>
      </c>
      <c r="C679" s="1" t="s">
        <v>649</v>
      </c>
      <c r="D679" s="5" t="s">
        <v>348</v>
      </c>
    </row>
    <row r="680" customFormat="false" ht="24" hidden="false" customHeight="true" outlineLevel="0" collapsed="false">
      <c r="A680" s="1" t="s">
        <v>335</v>
      </c>
      <c r="B680" s="8" t="n">
        <v>6</v>
      </c>
      <c r="C680" s="1" t="s">
        <v>347</v>
      </c>
      <c r="D680" s="5" t="s">
        <v>348</v>
      </c>
    </row>
    <row r="681" customFormat="false" ht="24" hidden="false" customHeight="true" outlineLevel="0" collapsed="false">
      <c r="A681" s="1" t="s">
        <v>335</v>
      </c>
      <c r="B681" s="8" t="n">
        <v>7</v>
      </c>
      <c r="C681" s="1" t="s">
        <v>650</v>
      </c>
      <c r="D681" s="5" t="s">
        <v>53</v>
      </c>
    </row>
    <row r="682" customFormat="false" ht="24" hidden="false" customHeight="true" outlineLevel="0" collapsed="false">
      <c r="A682" s="1" t="s">
        <v>335</v>
      </c>
      <c r="B682" s="8" t="n">
        <v>8</v>
      </c>
      <c r="C682" s="1" t="s">
        <v>476</v>
      </c>
      <c r="D682" s="5" t="s">
        <v>53</v>
      </c>
    </row>
    <row r="683" customFormat="false" ht="24" hidden="false" customHeight="true" outlineLevel="0" collapsed="false">
      <c r="A683" s="1" t="s">
        <v>335</v>
      </c>
      <c r="B683" s="8" t="n">
        <v>9</v>
      </c>
      <c r="C683" s="1" t="s">
        <v>399</v>
      </c>
      <c r="D683" s="5" t="s">
        <v>56</v>
      </c>
    </row>
    <row r="684" customFormat="false" ht="24" hidden="false" customHeight="true" outlineLevel="0" collapsed="false">
      <c r="A684" s="1" t="s">
        <v>335</v>
      </c>
      <c r="B684" s="8" t="n">
        <v>10</v>
      </c>
      <c r="C684" s="1" t="s">
        <v>383</v>
      </c>
      <c r="D684" s="5" t="s">
        <v>56</v>
      </c>
    </row>
    <row r="685" customFormat="false" ht="24" hidden="false" customHeight="true" outlineLevel="0" collapsed="false">
      <c r="A685" s="1" t="s">
        <v>335</v>
      </c>
      <c r="B685" s="8" t="n">
        <v>11</v>
      </c>
      <c r="C685" s="1" t="s">
        <v>414</v>
      </c>
      <c r="D685" s="5" t="s">
        <v>348</v>
      </c>
    </row>
    <row r="686" customFormat="false" ht="24" hidden="false" customHeight="true" outlineLevel="0" collapsed="false">
      <c r="A686" s="1" t="s">
        <v>335</v>
      </c>
      <c r="B686" s="8" t="n">
        <v>12</v>
      </c>
      <c r="C686" s="1" t="s">
        <v>578</v>
      </c>
      <c r="D686" s="5" t="s">
        <v>348</v>
      </c>
    </row>
    <row r="687" customFormat="false" ht="24" hidden="false" customHeight="true" outlineLevel="0" collapsed="false">
      <c r="A687" s="1" t="s">
        <v>335</v>
      </c>
      <c r="B687" s="8" t="n">
        <v>13</v>
      </c>
      <c r="C687" s="1" t="s">
        <v>651</v>
      </c>
      <c r="D687" s="5" t="s">
        <v>348</v>
      </c>
    </row>
    <row r="688" customFormat="false" ht="24" hidden="false" customHeight="true" outlineLevel="0" collapsed="false">
      <c r="A688" s="1" t="s">
        <v>335</v>
      </c>
      <c r="B688" s="8" t="n">
        <v>14</v>
      </c>
      <c r="C688" s="1" t="s">
        <v>511</v>
      </c>
      <c r="D688" s="5" t="s">
        <v>348</v>
      </c>
    </row>
    <row r="689" customFormat="false" ht="24" hidden="false" customHeight="true" outlineLevel="0" collapsed="false">
      <c r="A689" s="1" t="s">
        <v>335</v>
      </c>
      <c r="B689" s="8" t="n">
        <v>15</v>
      </c>
      <c r="C689" s="1" t="s">
        <v>652</v>
      </c>
      <c r="D689" s="5" t="s">
        <v>348</v>
      </c>
    </row>
    <row r="690" customFormat="false" ht="24" hidden="false" customHeight="true" outlineLevel="0" collapsed="false">
      <c r="A690" s="1" t="s">
        <v>335</v>
      </c>
      <c r="B690" s="8" t="n">
        <v>16</v>
      </c>
      <c r="C690" s="1" t="s">
        <v>353</v>
      </c>
      <c r="D690" s="5" t="s">
        <v>348</v>
      </c>
    </row>
  </sheetData>
  <dataValidations count="1">
    <dataValidation allowBlank="false" errorStyle="stop" operator="between" showDropDown="false" showErrorMessage="false" showInputMessage="false" sqref="D6:D690" type="list">
      <formula1>"O,ACCIDENT-EVENT,AFFECTEDOBJECTS-ARG,DEATHVICTIM-ARG,EARTHQUAKE-EVENT,FALSE-EVENT,FIRE-EVENT,FLOOD-EVENT,INFORMATION-ARG,OFFICER-ARG,PLACE-ARG,REASON-ARG,STREET-ARG,TIME-ARG,WOUNDVICTIM-ARG"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2026-10-20T13:39:39Z</dcterms:created>
  <dc:creator>openpyxl</dc:creator>
  <dc:description/>
  <dc:language>en-US</dc:language>
  <cp:lastModifiedBy/>
  <dcterms:modified xsi:type="dcterms:W3CDTF">2026-10-20T13:39:39Z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